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350" firstSheet="1" activeTab="3"/>
  </bookViews>
  <sheets>
    <sheet name="06.30, 07.30, &amp; 12.00" sheetId="7" r:id="rId1"/>
    <sheet name="R-2, TPTW, Persentase TTD" sheetId="5" r:id="rId2"/>
    <sheet name="Pickup &amp; Retur Non Ecom" sheetId="8" r:id="rId3"/>
    <sheet name="ALL DP DATA" sheetId="21" r:id="rId4"/>
    <sheet name="Fr&amp;Ag" sheetId="22" r:id="rId5"/>
  </sheets>
  <externalReferences>
    <externalReference r:id="rId6"/>
  </externalReferences>
  <definedNames>
    <definedName name="_xlnm._FilterDatabase" localSheetId="3" hidden="1">'ALL DP DATA'!$C$8:$AV$1684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<sst xmlns="http://schemas.openxmlformats.org/spreadsheetml/2006/main" count="16821" uniqueCount="1739">
  <si>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</si>
  <si>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</si>
  <si>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</si>
  <si>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</si>
  <si>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</si>
  <si>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</si>
  <si>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</si>
  <si>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Target</t>
  </si>
  <si>
    <t>Pencapaian Bulanan</t>
  </si>
  <si>
    <t>Jawa - Bali</t>
  </si>
  <si>
    <t>TANGERANG</t>
  </si>
  <si>
    <t>AGENT12</t>
  </si>
  <si>
    <t>BEKASI</t>
  </si>
  <si>
    <t>AGENT13</t>
  </si>
  <si>
    <t>BOGOR</t>
  </si>
  <si>
    <t>AGENT14</t>
  </si>
  <si>
    <t>DEPOK</t>
  </si>
  <si>
    <t>AGENT15</t>
  </si>
  <si>
    <t>BANDUNG</t>
  </si>
  <si>
    <t>AGENT16</t>
  </si>
  <si>
    <t>SEMARANG</t>
  </si>
  <si>
    <t>AGENT17</t>
  </si>
  <si>
    <t>YOGYAKARTA</t>
  </si>
  <si>
    <t>AGENT18</t>
  </si>
  <si>
    <t>SURABAYA</t>
  </si>
  <si>
    <t>AGENT19</t>
  </si>
  <si>
    <t>BALI</t>
  </si>
  <si>
    <t>AGENT21</t>
  </si>
  <si>
    <t>JAKARTA</t>
  </si>
  <si>
    <t>AGENT40</t>
  </si>
  <si>
    <t>合计 Total</t>
  </si>
  <si>
    <t>-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</si>
  <si>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</si>
  <si>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</si>
  <si>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</si>
  <si>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</si>
  <si>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</si>
  <si>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PICKUP NON-ECOMMERCE</t>
  </si>
  <si>
    <t>RETUR COD NON-ECOMMERCE</t>
  </si>
  <si>
    <t>目标
Target</t>
  </si>
  <si>
    <t>Date</t>
  </si>
  <si>
    <t>report kualitas agent</t>
  </si>
  <si>
    <t>report ramadan</t>
  </si>
  <si>
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</si>
  <si>
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</si>
  <si>
    <t>代理区 
Agent</t>
  </si>
  <si>
    <t>代理区编码 Kode Agent</t>
  </si>
  <si>
    <t>网点
Nama Drop point</t>
  </si>
  <si>
    <t>Nama agent</t>
  </si>
  <si>
    <t>一派质量达成
Penilaian Kualitas Delivery Ritase Pertama</t>
  </si>
  <si>
    <t>二派质量达成
Penilaian Kualitas Delivery Ritase Kedua</t>
  </si>
  <si>
    <r>
      <rPr>
        <b/>
        <sz val="11"/>
        <color rgb="FFFFFFFF"/>
        <rFont val="SimSun"/>
        <charset val="134"/>
      </rPr>
      <t>全天收派质量达成</t>
    </r>
    <r>
      <rPr>
        <b/>
        <sz val="11"/>
        <color rgb="FFFFFFFF"/>
        <rFont val="Aptos"/>
        <charset val="134"/>
      </rPr>
      <t xml:space="preserve">
Pencapaian Kualitas Operasional Harian</t>
    </r>
  </si>
  <si>
    <t xml:space="preserve">快递员出勤准点率
Tingkat Ketepatan Waktu Kehadiran Spirnter </t>
  </si>
  <si>
    <t>0730出仓率
Persenase Keluar Gudang 0730</t>
  </si>
  <si>
    <r>
      <rPr>
        <b/>
        <sz val="11"/>
        <color rgb="FFFFFFFF"/>
        <rFont val="Aptos"/>
        <charset val="134"/>
      </rPr>
      <t>1200</t>
    </r>
    <r>
      <rPr>
        <b/>
        <sz val="11"/>
        <color rgb="FFFFFFFF"/>
        <rFont val="SimSun"/>
        <charset val="134"/>
      </rPr>
      <t>签收率</t>
    </r>
    <r>
      <rPr>
        <b/>
        <sz val="11"/>
        <color rgb="FFFFFFFF"/>
        <rFont val="Aptos"/>
        <charset val="134"/>
      </rPr>
      <t xml:space="preserve">
Persentase TTD 1200</t>
    </r>
  </si>
  <si>
    <r>
      <rPr>
        <b/>
        <sz val="11"/>
        <color rgb="FFFFFFFF"/>
        <rFont val="Microsoft YaHei"/>
        <charset val="134"/>
      </rPr>
      <t xml:space="preserve">二派签收率
</t>
    </r>
    <r>
      <rPr>
        <b/>
        <sz val="11"/>
        <color rgb="FFFFFFFF"/>
        <rFont val="Aptos"/>
        <charset val="134"/>
      </rPr>
      <t>Persentase TTD Delivery Kedua</t>
    </r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</si>
  <si>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</si>
  <si>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</si>
  <si>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</si>
  <si>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</si>
  <si>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月度达成
Pencapaian Bulanan</t>
  </si>
  <si>
    <t>JAKARTA雅加达</t>
  </si>
  <si>
    <t>CP_PLUIT_PERMAI</t>
  </si>
  <si>
    <t>CP_DANAUSUNTER_UTARA</t>
  </si>
  <si>
    <t>KAMAL_MUARA</t>
  </si>
  <si>
    <t>TELUK_GONG</t>
  </si>
  <si>
    <t>CP_TELUK_GONG_RAYA</t>
  </si>
  <si>
    <t>CP_PADEMANGAN_4</t>
  </si>
  <si>
    <t>CP_ANCOL_SELATAN_1</t>
  </si>
  <si>
    <t>KEPULAUAN_SERIBU</t>
  </si>
  <si>
    <t>TANAH_ABANG</t>
  </si>
  <si>
    <t>SENEN</t>
  </si>
  <si>
    <t>CP_PINANGSIA_RAYA</t>
  </si>
  <si>
    <t>JOHAR_BARU_01</t>
  </si>
  <si>
    <t>CP_ZAINUL_ARIFIN</t>
  </si>
  <si>
    <t>CP_MANGGA_BESAR_2</t>
  </si>
  <si>
    <t>CP_CEGER</t>
  </si>
  <si>
    <t>KAMPUNG_TENGAH</t>
  </si>
  <si>
    <t>CP_CIJANTUNG</t>
  </si>
  <si>
    <t>DC_MAKASAR</t>
  </si>
  <si>
    <t>DC_CIRACAS</t>
  </si>
  <si>
    <t>CP_RAYA_KELAPA</t>
  </si>
  <si>
    <t>CP_PONDOK_BAMBU</t>
  </si>
  <si>
    <t>DC_JATINEGARA</t>
  </si>
  <si>
    <t>SETIABUDI</t>
  </si>
  <si>
    <t>KLENDER</t>
  </si>
  <si>
    <t>CP_JATINEGARA_BARAT</t>
  </si>
  <si>
    <t>TEBET</t>
  </si>
  <si>
    <t>CP_HAJI_NAMAN_1</t>
  </si>
  <si>
    <t>PULOGEBANG_01</t>
  </si>
  <si>
    <t>DC_PULO_GADUNG</t>
  </si>
  <si>
    <t>ROROTAN</t>
  </si>
  <si>
    <t>DC_UJUNG_MENTENG</t>
  </si>
  <si>
    <t>CP_UTAN_KAYU</t>
  </si>
  <si>
    <t>KALIBARU_01</t>
  </si>
  <si>
    <t>DC_CAKUNG</t>
  </si>
  <si>
    <t>KEDOYA_UTARA</t>
  </si>
  <si>
    <t>DC_GAMBIR</t>
  </si>
  <si>
    <t>TAMBORA</t>
  </si>
  <si>
    <t>CP_ANGGREK_2</t>
  </si>
  <si>
    <t>CP_KEBON_JERUK_RAYA</t>
  </si>
  <si>
    <t>CP_KEMBANGAN</t>
  </si>
  <si>
    <t>CP_ANGKE_INDAH</t>
  </si>
  <si>
    <t>DC_KEBAYORAN_BARU</t>
  </si>
  <si>
    <t>JATIPADANG_01</t>
  </si>
  <si>
    <t>DC_KALIBATA_UTARA</t>
  </si>
  <si>
    <t>CP_BANGKA</t>
  </si>
  <si>
    <t>CP_TANJUNG_BARAT</t>
  </si>
  <si>
    <t>CP_SRENGSENG_SAWAH</t>
  </si>
  <si>
    <t>DC_PASAR_MINGGU</t>
  </si>
  <si>
    <t>CP_CIGANJUR</t>
  </si>
  <si>
    <t>CP_TEGAL_PARANG</t>
  </si>
  <si>
    <t>DC_PALMERAH</t>
  </si>
  <si>
    <t>CP_KEBAYORAN_2</t>
  </si>
  <si>
    <t>CP_PONDOK_PINANG_2</t>
  </si>
  <si>
    <t>DC_GELORA</t>
  </si>
  <si>
    <t>DC_PESANGGRAHAN</t>
  </si>
  <si>
    <t>CP_LEBAK_BULUS</t>
  </si>
  <si>
    <t>GUNUNG_SAHARI_01</t>
  </si>
  <si>
    <t>CP_KEDOYA_RAYA_2</t>
  </si>
  <si>
    <t>GADING_GRIYA_L</t>
  </si>
  <si>
    <t>DC_KELAPA_GADING</t>
  </si>
  <si>
    <t>DC_KEMAYORAN</t>
  </si>
  <si>
    <t>CP_KOJA_1</t>
  </si>
  <si>
    <t>CP_TANJUNG_DUREN_2</t>
  </si>
  <si>
    <t>CP_KOSAMBI_BARU_1</t>
  </si>
  <si>
    <t>CP_RAWA_BUAYA_2</t>
  </si>
  <si>
    <t>CP_PERMATA_PALEM_1</t>
  </si>
  <si>
    <t>CP_KALIDERES</t>
  </si>
  <si>
    <t>CP_NEW_KAPUK</t>
  </si>
  <si>
    <t>KAPUK_RAYA</t>
  </si>
  <si>
    <t>DC_PEGADUNGAN</t>
  </si>
  <si>
    <t>TANGERANG唐格朗</t>
  </si>
  <si>
    <t>SERANG_JAYA</t>
  </si>
  <si>
    <t>KASEMEN_JAYA</t>
  </si>
  <si>
    <t>KALODRAN_CIRUAS</t>
  </si>
  <si>
    <t>CIPOCOK_JAYA</t>
  </si>
  <si>
    <t>PEJATEN_MAS</t>
  </si>
  <si>
    <t>PELABUHAN_MERAK</t>
  </si>
  <si>
    <t>PERUMNAS_RAYA</t>
  </si>
  <si>
    <t>PALKA_CIOMAS</t>
  </si>
  <si>
    <t>CITANGKIL</t>
  </si>
  <si>
    <t>DP_PANGGUNGRAWI</t>
  </si>
  <si>
    <t>PONTANG_RAYA</t>
  </si>
  <si>
    <t>CIL05B</t>
  </si>
  <si>
    <t>PANTAI_ANYER</t>
  </si>
  <si>
    <t>CIWANDAN</t>
  </si>
  <si>
    <t>TAKTAKAN_JAYA</t>
  </si>
  <si>
    <t>UNYUR_JAYA</t>
  </si>
  <si>
    <t>SURADITA_CISAUK</t>
  </si>
  <si>
    <t>BAKTI_JAYA</t>
  </si>
  <si>
    <t>RODA_HIAS</t>
  </si>
  <si>
    <t>TERAS_KOTA</t>
  </si>
  <si>
    <t>PONDOK_PUCUNG</t>
  </si>
  <si>
    <t>PONDOKJAYA</t>
  </si>
  <si>
    <t>PAKOJAN</t>
  </si>
  <si>
    <t>SENTRA_JATIUWUNG</t>
  </si>
  <si>
    <t>TGR54B</t>
  </si>
  <si>
    <t>CIMONE_RAYA</t>
  </si>
  <si>
    <t>CIBODAS_RAYA</t>
  </si>
  <si>
    <t>BUARAN_INDAH</t>
  </si>
  <si>
    <t>MODERN_PARK</t>
  </si>
  <si>
    <t>KAVLING_KENANGA</t>
  </si>
  <si>
    <t>TANGCITY_MALL</t>
  </si>
  <si>
    <t>ARCADIA_BATUCEPER</t>
  </si>
  <si>
    <t>BAL01C</t>
  </si>
  <si>
    <t>HUSEIN_SASTRANEGARA</t>
  </si>
  <si>
    <t>SALEMBARAN</t>
  </si>
  <si>
    <t>PINANG_CIPONDOH</t>
  </si>
  <si>
    <t>RKS08B</t>
  </si>
  <si>
    <t>DC_LABUAN</t>
  </si>
  <si>
    <t>BAYAH</t>
  </si>
  <si>
    <t>PANIMBANG</t>
  </si>
  <si>
    <t>CIBALIUNG</t>
  </si>
  <si>
    <t>CIKEUSIK</t>
  </si>
  <si>
    <t>CILANGKAHAN</t>
  </si>
  <si>
    <t>SUDIRMAN_LABUAN</t>
  </si>
  <si>
    <t>GAJRUG</t>
  </si>
  <si>
    <t>LEUWIDAMAR</t>
  </si>
  <si>
    <t>SUKANAGARA_JAYA</t>
  </si>
  <si>
    <t>MAJASARI_PANDEGLANG</t>
  </si>
  <si>
    <t>BANJAR_KENCANA</t>
  </si>
  <si>
    <t>CIKULUR</t>
  </si>
  <si>
    <t>CITRA_MAJA</t>
  </si>
  <si>
    <t>CILELES_KENCANA</t>
  </si>
  <si>
    <t>WARUNG_BANTEN</t>
  </si>
  <si>
    <t>MUNJUL_FLAMBOYANT</t>
  </si>
  <si>
    <t>CIGADUNG_INOVASI</t>
  </si>
  <si>
    <t>MANDALA_RANGKAS</t>
  </si>
  <si>
    <t>CIMANUK</t>
  </si>
  <si>
    <t>WANASALAM</t>
  </si>
  <si>
    <t>MENES</t>
  </si>
  <si>
    <t>INFINITY_BIZPARK</t>
  </si>
  <si>
    <t>WANAKERTA_SINJAY</t>
  </si>
  <si>
    <t>PANGKALAN_TELUKNAGA</t>
  </si>
  <si>
    <t>DC_SEPATAN</t>
  </si>
  <si>
    <t>RAJEG</t>
  </si>
  <si>
    <t>MAUK_2</t>
  </si>
  <si>
    <t>PAKUHAJI</t>
  </si>
  <si>
    <t>BAL15E</t>
  </si>
  <si>
    <t>BAL15D</t>
  </si>
  <si>
    <t>SEPATAN</t>
  </si>
  <si>
    <t>TGR05D</t>
  </si>
  <si>
    <t>PIK_2_RIVERSIDE</t>
  </si>
  <si>
    <t>PERIUK</t>
  </si>
  <si>
    <t>TERITI_KUTABUMI</t>
  </si>
  <si>
    <t>CANGKUDU</t>
  </si>
  <si>
    <t>CISOKA</t>
  </si>
  <si>
    <t>CIKUPA_RAYA</t>
  </si>
  <si>
    <t>KATOMAS_RAYA</t>
  </si>
  <si>
    <t>KIBIN_RAYA</t>
  </si>
  <si>
    <t>CIKANDE_RAYA</t>
  </si>
  <si>
    <t>HARENDONG</t>
  </si>
  <si>
    <t>JAMBE_RAYA</t>
  </si>
  <si>
    <t>DP_PETIR</t>
  </si>
  <si>
    <t>KRAGILAN</t>
  </si>
  <si>
    <t>DUKUH_RAYA</t>
  </si>
  <si>
    <t>TALAGA_PASGAD</t>
  </si>
  <si>
    <t>PANONGAN_RAYA</t>
  </si>
  <si>
    <t>TUNJUNG_TEJA</t>
  </si>
  <si>
    <t>JAYANTI</t>
  </si>
  <si>
    <t>MATAGARA</t>
  </si>
  <si>
    <t>TANAH_TINGAL</t>
  </si>
  <si>
    <t>ALAM_SEGAR</t>
  </si>
  <si>
    <t>CIPUTAT_TIMUR</t>
  </si>
  <si>
    <t>GAPLEK</t>
  </si>
  <si>
    <t>DIAN_MANSION</t>
  </si>
  <si>
    <t>LARANGAN_2</t>
  </si>
  <si>
    <t>RADEN_SALEH</t>
  </si>
  <si>
    <t>SERUA_INDAH_CIPUTAT</t>
  </si>
  <si>
    <t>PONDOK_BETUNG</t>
  </si>
  <si>
    <t>CURUG_RAYA</t>
  </si>
  <si>
    <t>GRAHA_SUTERA</t>
  </si>
  <si>
    <t>GADING_KELAPA_DUA</t>
  </si>
  <si>
    <t>EDISON</t>
  </si>
  <si>
    <t>EAST_FORESTA</t>
  </si>
  <si>
    <t>PRIMA_JAYA</t>
  </si>
  <si>
    <t>KADU_JAYA</t>
  </si>
  <si>
    <t>TUGU_LEGOK</t>
  </si>
  <si>
    <t>GADING_CARTENZ</t>
  </si>
  <si>
    <t>SP_ALAM_SUTERA</t>
  </si>
  <si>
    <t>BEKASI勿加西</t>
  </si>
  <si>
    <t>DC_BEKASI_UTARA_01</t>
  </si>
  <si>
    <t>KALIABANG_TENGAH_02</t>
  </si>
  <si>
    <t>HARAPAN_BARU</t>
  </si>
  <si>
    <t>JATI_SAMPURNA</t>
  </si>
  <si>
    <t>PONDOK_GEDE_01</t>
  </si>
  <si>
    <t>JATIBENING_01</t>
  </si>
  <si>
    <t>JATIBENING_02</t>
  </si>
  <si>
    <t>BEKASI_BARAT_01</t>
  </si>
  <si>
    <t>BINTARA_JAYA_01</t>
  </si>
  <si>
    <t>BANTAR_GEBANG</t>
  </si>
  <si>
    <t>MANGUNJAYA_01</t>
  </si>
  <si>
    <t>TAMBUN_SELATAN_01</t>
  </si>
  <si>
    <t>DC_CIBITUNG_01</t>
  </si>
  <si>
    <t>CIBUNTU_01</t>
  </si>
  <si>
    <t>DP_MUKTIWARI_01</t>
  </si>
  <si>
    <t>HARAPAN_INDAH</t>
  </si>
  <si>
    <t>TAMBUN_UTARA</t>
  </si>
  <si>
    <t>DP_BABELAN_KOTA_01</t>
  </si>
  <si>
    <t>BABELAN</t>
  </si>
  <si>
    <t>DC_TAMBUN</t>
  </si>
  <si>
    <t>DC_JATIASIH</t>
  </si>
  <si>
    <t>DC_MUSTIKA_JAYA</t>
  </si>
  <si>
    <t>DC_PONDOK_MELATI</t>
  </si>
  <si>
    <t>DC_BEKASI_TIMUR</t>
  </si>
  <si>
    <t>DC_MEDAN_SATRIA</t>
  </si>
  <si>
    <t>DC_BEKASI_SELATAN</t>
  </si>
  <si>
    <t>TAMBUN_UTARA_02</t>
  </si>
  <si>
    <t>TARUMAJAYA_02</t>
  </si>
  <si>
    <t>BABELAN_02</t>
  </si>
  <si>
    <t>SETU_02</t>
  </si>
  <si>
    <t>RAWALUMBU_02</t>
  </si>
  <si>
    <t>CIKARANG</t>
  </si>
  <si>
    <t>DELTA_MAS</t>
  </si>
  <si>
    <t>SUKATANI</t>
  </si>
  <si>
    <t>KEDUNG_WARINGIN</t>
  </si>
  <si>
    <t>SERANG_BARU_01</t>
  </si>
  <si>
    <t>CIBARUSAH_JAYA</t>
  </si>
  <si>
    <t>PASIR_GOMBONG</t>
  </si>
  <si>
    <t>TELAGA_MURNI</t>
  </si>
  <si>
    <t>KARANG_BAHAGIA</t>
  </si>
  <si>
    <t>DC_CIKARANG_SELATAN</t>
  </si>
  <si>
    <t>DC_CIKARANG_BARAT</t>
  </si>
  <si>
    <t>DC_CIKARANG_UTARA</t>
  </si>
  <si>
    <t>DC_CIBARUSAH</t>
  </si>
  <si>
    <t>DC_CIKARANG_PUSAT</t>
  </si>
  <si>
    <t>JATI_WANGI</t>
  </si>
  <si>
    <t>CABANG_BUNGIN</t>
  </si>
  <si>
    <t>BOGOR茂物</t>
  </si>
  <si>
    <t>CIB11A</t>
  </si>
  <si>
    <t>CIBATOK</t>
  </si>
  <si>
    <t>DC_CIGUDEG</t>
  </si>
  <si>
    <t>DC_DRAMAGA</t>
  </si>
  <si>
    <t>DC_JASINGA</t>
  </si>
  <si>
    <t>CIAMPEA</t>
  </si>
  <si>
    <t>DC_NANGGUNG</t>
  </si>
  <si>
    <t>DRAMAGA_2</t>
  </si>
  <si>
    <t>CIBATOK_RAYA</t>
  </si>
  <si>
    <t>LEUWILIANG1</t>
  </si>
  <si>
    <t>CP_PAMIJAHAN</t>
  </si>
  <si>
    <t>DRAMAGA_CANTIK</t>
  </si>
  <si>
    <t>LEUWISADENG</t>
  </si>
  <si>
    <t>TENJOLAYA</t>
  </si>
  <si>
    <t>BGR06D</t>
  </si>
  <si>
    <t>DC_BOGOR_KOTA</t>
  </si>
  <si>
    <t>BOGOR_UTARA</t>
  </si>
  <si>
    <t>CILEBUT_RAYA</t>
  </si>
  <si>
    <t>AIR_MANCUR</t>
  </si>
  <si>
    <t>GUNUNG_BATU</t>
  </si>
  <si>
    <t>SAWOJAJAR</t>
  </si>
  <si>
    <t>SEMPLAK_RAYA</t>
  </si>
  <si>
    <t>TAMAN_CIMANGGU</t>
  </si>
  <si>
    <t>CP_BCC</t>
  </si>
  <si>
    <t>MARGAJAYA</t>
  </si>
  <si>
    <t>SINDANG_BARANG</t>
  </si>
  <si>
    <t>YASMIN</t>
  </si>
  <si>
    <t>CIOMAS</t>
  </si>
  <si>
    <t>DC_CIOMAS</t>
  </si>
  <si>
    <t>TAJUR_4</t>
  </si>
  <si>
    <t>MUARASARI</t>
  </si>
  <si>
    <t>CILEUNGSI_2</t>
  </si>
  <si>
    <t>DC_CILEUNGSI</t>
  </si>
  <si>
    <t>DC_JONGGOL</t>
  </si>
  <si>
    <t>GUNUNG_PUTRI_4</t>
  </si>
  <si>
    <t>PASAR_GANDOANG</t>
  </si>
  <si>
    <t>CARIU_2</t>
  </si>
  <si>
    <t>GUNUNG_PUTRI</t>
  </si>
  <si>
    <t>BOJONG_KULUR</t>
  </si>
  <si>
    <t>CILEUNGSI</t>
  </si>
  <si>
    <t>JONGGOL</t>
  </si>
  <si>
    <t>GUNUNG_PUTRI_RAYA</t>
  </si>
  <si>
    <t>METLAND_TRANSYOGI</t>
  </si>
  <si>
    <t>CITEUREUP</t>
  </si>
  <si>
    <t>PAKANSARI_2</t>
  </si>
  <si>
    <t>DC_GUNUNG_SINDUR</t>
  </si>
  <si>
    <t>DC_KEMANG</t>
  </si>
  <si>
    <t>DC_PARUNG</t>
  </si>
  <si>
    <t>KEMANG_2</t>
  </si>
  <si>
    <t>PARUNG_PANJANG</t>
  </si>
  <si>
    <t>SASAK_PANJANG</t>
  </si>
  <si>
    <t>PARUNG</t>
  </si>
  <si>
    <t>CISEENG</t>
  </si>
  <si>
    <t>CP_PEMBANGUNAN</t>
  </si>
  <si>
    <t>JAMPANG</t>
  </si>
  <si>
    <t>KEMANG_TONJONG</t>
  </si>
  <si>
    <t>SALABENDA</t>
  </si>
  <si>
    <t>RUMPIN_1</t>
  </si>
  <si>
    <t>KEDUNG_HALANG</t>
  </si>
  <si>
    <t>SUKARAJA_1</t>
  </si>
  <si>
    <t>DC_PAKANSARI</t>
  </si>
  <si>
    <t>GAPERI_BOJONG</t>
  </si>
  <si>
    <t>KARADENAN_RAYA</t>
  </si>
  <si>
    <t>CITAYAM_PABUARAN</t>
  </si>
  <si>
    <t>CIB01F</t>
  </si>
  <si>
    <t>RAGAJAYA</t>
  </si>
  <si>
    <t>PABUARAN_ASRI</t>
  </si>
  <si>
    <t>WON_CIMANDALA</t>
  </si>
  <si>
    <t>PAKANSARI_3</t>
  </si>
  <si>
    <t>BABAKAN_MANDANG</t>
  </si>
  <si>
    <t>CP_MAYOR_OKING</t>
  </si>
  <si>
    <t>PAKANSARI_4</t>
  </si>
  <si>
    <t>DC_CISARUA</t>
  </si>
  <si>
    <t>DC_TAJUR</t>
  </si>
  <si>
    <t>DC_CIAWI</t>
  </si>
  <si>
    <t>DC_MEGAMENDUNG</t>
  </si>
  <si>
    <t>CIGOMBONG</t>
  </si>
  <si>
    <t>CP_CARINGIN_1</t>
  </si>
  <si>
    <t>MAYOR_KH</t>
  </si>
  <si>
    <t>PUNCAK_CISARUA</t>
  </si>
  <si>
    <t>CIBEDUG</t>
  </si>
  <si>
    <t>CIJERUK</t>
  </si>
  <si>
    <t>BOGOR_SELATAN</t>
  </si>
  <si>
    <t>CIAPUS_RAYA</t>
  </si>
  <si>
    <t>PAHLAWAN_SUKSES</t>
  </si>
  <si>
    <t>PAMOYANAN_BOGOR</t>
  </si>
  <si>
    <t>CP_BNR</t>
  </si>
  <si>
    <t>DEPOK德波</t>
  </si>
  <si>
    <t>MAMPANG_DEPOK</t>
  </si>
  <si>
    <t>RANGKAPAN_JAYA</t>
  </si>
  <si>
    <t>CISALAK_PASAR</t>
  </si>
  <si>
    <t>TUGU_DEPOK</t>
  </si>
  <si>
    <t>SAWANGAN_LAMA</t>
  </si>
  <si>
    <t>ABADIJAYA</t>
  </si>
  <si>
    <t>MEKARJAYA</t>
  </si>
  <si>
    <t>GROGOL_DEPOK</t>
  </si>
  <si>
    <t>TANAH_BARU</t>
  </si>
  <si>
    <t>MARGONDA_RAYA_BARU</t>
  </si>
  <si>
    <t>SUKAMAJU_BARU</t>
  </si>
  <si>
    <t>CINERE_BARU</t>
  </si>
  <si>
    <t>PANGKALAN_JATI_BARU</t>
  </si>
  <si>
    <t>JATIMULYA</t>
  </si>
  <si>
    <t>CILODONG_BARU</t>
  </si>
  <si>
    <t>BOJONGSARI_LAMA</t>
  </si>
  <si>
    <t>SERUA_DEPOK</t>
  </si>
  <si>
    <t>PONDOK_JAYA_DEPOK</t>
  </si>
  <si>
    <t>CP_ARIF_RAHMAN_HAKIM</t>
  </si>
  <si>
    <t>CP_CINERE</t>
  </si>
  <si>
    <t>CP_CIPAYUNG_JAYA</t>
  </si>
  <si>
    <t>CP_PENGASINAN</t>
  </si>
  <si>
    <t>DEPOK_SALES</t>
  </si>
  <si>
    <t>BANDUNG万隆</t>
  </si>
  <si>
    <t>KADIPATEN_2</t>
  </si>
  <si>
    <t>MJA13C</t>
  </si>
  <si>
    <t>MJA20B</t>
  </si>
  <si>
    <t>JATIWANGI_2</t>
  </si>
  <si>
    <t>RAJAGALUH_2</t>
  </si>
  <si>
    <t>MJA22A</t>
  </si>
  <si>
    <t>MJA19A</t>
  </si>
  <si>
    <t>MJA07B</t>
  </si>
  <si>
    <t>TELAGA_2</t>
  </si>
  <si>
    <t>MAJALENGKA_2</t>
  </si>
  <si>
    <t>MJA02B</t>
  </si>
  <si>
    <t>JATITUJUH_2</t>
  </si>
  <si>
    <t>MJA14A</t>
  </si>
  <si>
    <t>SARIJADI</t>
  </si>
  <si>
    <t>DC_CIMAHI_TENGAH</t>
  </si>
  <si>
    <t>DC_DUNGUS_CARIANG</t>
  </si>
  <si>
    <t>DC_SARIWANGI</t>
  </si>
  <si>
    <t>DC_CIMAHI_UTARA</t>
  </si>
  <si>
    <t>DC_CIDADAP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</si>
  <si>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</si>
  <si>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</si>
  <si>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</si>
  <si>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</si>
  <si>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</si>
  <si>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</si>
  <si>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</si>
  <si>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</si>
  <si>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</si>
  <si>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</si>
  <si>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</si>
  <si>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</si>
  <si>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</si>
  <si>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</si>
  <si>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</si>
  <si>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</si>
  <si>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</si>
  <si>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</si>
  <si>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</si>
  <si>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</si>
  <si>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</si>
  <si>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</si>
  <si>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</si>
  <si>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</si>
  <si>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</si>
  <si>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</si>
  <si>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</si>
  <si>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</si>
  <si>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</si>
  <si>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</si>
  <si>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</si>
  <si>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</si>
  <si>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</si>
  <si>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</si>
  <si>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</si>
  <si>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</si>
  <si>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</si>
  <si>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</si>
  <si>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</si>
  <si>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BABAKAN_CIPARAY_2</t>
  </si>
  <si>
    <t>KUTAWARINGIN_2</t>
  </si>
  <si>
    <t>DC_HOLIS</t>
  </si>
  <si>
    <t>WARGALUYU</t>
  </si>
  <si>
    <t>PENGALENGAN_CIPINANG</t>
  </si>
  <si>
    <t>CILUNCAT</t>
  </si>
  <si>
    <t>DC_BOJONGLOA_KALER</t>
  </si>
  <si>
    <t>DC_MARGAHAYU_SELATAN</t>
  </si>
  <si>
    <t>DC_BANDUNG_SELATAN</t>
  </si>
  <si>
    <t>WARNASARI</t>
  </si>
  <si>
    <t>DC_KATAPANG</t>
  </si>
  <si>
    <t>DC_CIBADUYUT_RAYA</t>
  </si>
  <si>
    <t>SOG25C</t>
  </si>
  <si>
    <t>CIWIDEY</t>
  </si>
  <si>
    <t>DC_MARGAASIH</t>
  </si>
  <si>
    <t>SOG31E</t>
  </si>
  <si>
    <t>CANGKUANG_3</t>
  </si>
  <si>
    <t>DC_KARAWANG_BARAT</t>
  </si>
  <si>
    <t>PANGKAL_PERJUANGAN</t>
  </si>
  <si>
    <t>TEMPURAN</t>
  </si>
  <si>
    <t>PULOJAYA</t>
  </si>
  <si>
    <t>KARAWANG_WETAN</t>
  </si>
  <si>
    <t>CIBUAYA</t>
  </si>
  <si>
    <t>LOJI_2</t>
  </si>
  <si>
    <t>DC_KOSAMBI</t>
  </si>
  <si>
    <t>CIAMPEL</t>
  </si>
  <si>
    <t>NAGASARI_3</t>
  </si>
  <si>
    <t>TELUK_JAMBE_BARAT</t>
  </si>
  <si>
    <t>DC_MAJA</t>
  </si>
  <si>
    <t>KRW20F</t>
  </si>
  <si>
    <t>DC_GALUH_MAS</t>
  </si>
  <si>
    <t>SUKAHARJA_KRW</t>
  </si>
  <si>
    <t>BATUJAYA</t>
  </si>
  <si>
    <t>KRW17A</t>
  </si>
  <si>
    <t>TELAGASARI</t>
  </si>
  <si>
    <t>DAUWAN_T</t>
  </si>
  <si>
    <t>CKM_CITY</t>
  </si>
  <si>
    <t>DC_BATULAYANG</t>
  </si>
  <si>
    <t>CIKAMUNING</t>
  </si>
  <si>
    <t>NGP05B</t>
  </si>
  <si>
    <t>NGP09A</t>
  </si>
  <si>
    <t>CIPONGKOR</t>
  </si>
  <si>
    <t>SIRNAJAYA</t>
  </si>
  <si>
    <t>DC_LEMBANG</t>
  </si>
  <si>
    <t>DC_PADALARANG</t>
  </si>
  <si>
    <t>CISARUA</t>
  </si>
  <si>
    <t>NGP02E</t>
  </si>
  <si>
    <t>NGP07A</t>
  </si>
  <si>
    <t>CIPATAT</t>
  </si>
  <si>
    <t>CITAPEN</t>
  </si>
  <si>
    <t>NGP16B</t>
  </si>
  <si>
    <t>DC_NGAMPRAH</t>
  </si>
  <si>
    <t>BANJAR_PATROMAN</t>
  </si>
  <si>
    <t>PGR01C</t>
  </si>
  <si>
    <t>LANGENSARI_3</t>
  </si>
  <si>
    <t>PGR04B</t>
  </si>
  <si>
    <t>CIAMIS</t>
  </si>
  <si>
    <t>CMI01B</t>
  </si>
  <si>
    <t>PARUNGLESANG_3</t>
  </si>
  <si>
    <t>PANUMBANGAN</t>
  </si>
  <si>
    <t>SINDANGKASIH</t>
  </si>
  <si>
    <t>WINDURAJA</t>
  </si>
  <si>
    <t>CMI13C</t>
  </si>
  <si>
    <t>BJA04A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</si>
  <si>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</si>
  <si>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</si>
  <si>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</si>
  <si>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</si>
  <si>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</si>
  <si>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</si>
  <si>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</si>
  <si>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</si>
  <si>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</si>
  <si>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</si>
  <si>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</si>
  <si>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</si>
  <si>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</si>
  <si>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</si>
  <si>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</si>
  <si>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</si>
  <si>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</si>
  <si>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SUKARAJA</t>
  </si>
  <si>
    <t>DC_CITAMIANG</t>
  </si>
  <si>
    <t>DC_PONDOKASO_LANDEUH</t>
  </si>
  <si>
    <t>SMI17B</t>
  </si>
  <si>
    <t>CICANTAYAN</t>
  </si>
  <si>
    <t>SMI02A</t>
  </si>
  <si>
    <t>CIBADAK</t>
  </si>
  <si>
    <t>PER06C</t>
  </si>
  <si>
    <t>SMI29B</t>
  </si>
  <si>
    <t>DC_BOJONG_KEMBAR</t>
  </si>
  <si>
    <t>SMI09B</t>
  </si>
  <si>
    <t>DC_CIKOLE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</si>
  <si>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</si>
  <si>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</si>
  <si>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</si>
  <si>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</si>
  <si>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</si>
  <si>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</si>
  <si>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</si>
  <si>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</si>
  <si>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</si>
  <si>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</si>
  <si>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</si>
  <si>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</si>
  <si>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</si>
  <si>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DC_CISAAT</t>
  </si>
  <si>
    <t>SMI35A</t>
  </si>
  <si>
    <t>SMI20A</t>
  </si>
  <si>
    <t>TANGGULUN_BARAT_2</t>
  </si>
  <si>
    <t>SBG16A</t>
  </si>
  <si>
    <t>GEMBOR_4</t>
  </si>
  <si>
    <t>SUKAMANDIJAYA_2</t>
  </si>
  <si>
    <t>PUSAKARATU_4</t>
  </si>
  <si>
    <t>KALIANGSANA_2</t>
  </si>
  <si>
    <t>SBG01B</t>
  </si>
  <si>
    <t>LENGKONGJAYA_2</t>
  </si>
  <si>
    <t>SBG21B</t>
  </si>
  <si>
    <t>SBG29A</t>
  </si>
  <si>
    <t>SBG08C</t>
  </si>
  <si>
    <t>CIBOGO_SBG</t>
  </si>
  <si>
    <t>SOKLAT_4</t>
  </si>
  <si>
    <t>PATOKBEUSI_2</t>
  </si>
  <si>
    <t>CISALAK_4</t>
  </si>
  <si>
    <t>SUKARESMI_3</t>
  </si>
  <si>
    <t>SBG27A</t>
  </si>
  <si>
    <t>CIEUNDEUR</t>
  </si>
  <si>
    <t>CJR22A</t>
  </si>
  <si>
    <t>CJR16B</t>
  </si>
  <si>
    <t>CIRANJANG</t>
  </si>
  <si>
    <t>CJR26B</t>
  </si>
  <si>
    <t>CJR09B</t>
  </si>
  <si>
    <t>CJR13B</t>
  </si>
  <si>
    <t>CILAKU</t>
  </si>
  <si>
    <t>CJR06A</t>
  </si>
  <si>
    <t>CJR04A</t>
  </si>
  <si>
    <t>DC_SOLOKPANDAN</t>
  </si>
  <si>
    <t>CJR17A</t>
  </si>
  <si>
    <t>CJR14B</t>
  </si>
  <si>
    <t>SADAMAYA</t>
  </si>
  <si>
    <t>MUKA</t>
  </si>
  <si>
    <t>CIPANAS</t>
  </si>
  <si>
    <t>PACET_CJR_2</t>
  </si>
  <si>
    <t>CJR18C</t>
  </si>
  <si>
    <t>CJR07B</t>
  </si>
  <si>
    <t>PWK05B</t>
  </si>
  <si>
    <t>JATISARI_BARU</t>
  </si>
  <si>
    <t>PWK01B</t>
  </si>
  <si>
    <t>PASAR_PERMAI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</si>
  <si>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</si>
  <si>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</si>
  <si>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</si>
  <si>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</si>
  <si>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</si>
  <si>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</si>
  <si>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</si>
  <si>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</si>
  <si>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</si>
  <si>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</si>
  <si>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DC_KOTABARU</t>
  </si>
  <si>
    <t>KRW28B</t>
  </si>
  <si>
    <t>PWK07D</t>
  </si>
  <si>
    <t>PWK15M</t>
  </si>
  <si>
    <t>MANONJAYA</t>
  </si>
  <si>
    <t>SIN03A</t>
  </si>
  <si>
    <t>SIN07A</t>
  </si>
  <si>
    <t>TARAJU_2</t>
  </si>
  <si>
    <t>TSK03E</t>
  </si>
  <si>
    <t>KAWALU</t>
  </si>
  <si>
    <t>DC_KAMASAN</t>
  </si>
  <si>
    <t>TAMANSARI</t>
  </si>
  <si>
    <t>CIKATOMAS</t>
  </si>
  <si>
    <t>SINGAPARNA</t>
  </si>
  <si>
    <t>SALAWU_2</t>
  </si>
  <si>
    <t>TASIKMALAYA</t>
  </si>
  <si>
    <t>INDIHIANG_2</t>
  </si>
  <si>
    <t>SINDANGRERET</t>
  </si>
  <si>
    <t>CIPEDES_4</t>
  </si>
  <si>
    <t>SIN31</t>
  </si>
  <si>
    <t>SIN29B</t>
  </si>
  <si>
    <t>SIN20</t>
  </si>
  <si>
    <t>CIBEUREUM_2</t>
  </si>
  <si>
    <t>SUKAMANTRI_CIAWI</t>
  </si>
  <si>
    <t>DC_ARGASARI</t>
  </si>
  <si>
    <t>SIN26A</t>
  </si>
  <si>
    <t>CIGANITRI</t>
  </si>
  <si>
    <t>RANCAMANYAR_3</t>
  </si>
  <si>
    <t>DC_SAMOJA</t>
  </si>
  <si>
    <t>BEC</t>
  </si>
  <si>
    <t>DC_ANTAPANI_WETAN</t>
  </si>
  <si>
    <t>SOG07A</t>
  </si>
  <si>
    <t>DC_BALEENDAH</t>
  </si>
  <si>
    <t>DC_MAJALAYA</t>
  </si>
  <si>
    <t>SOG05A</t>
  </si>
  <si>
    <t>PACET</t>
  </si>
  <si>
    <t>DC_BURANGRANG</t>
  </si>
  <si>
    <t>DC_CIJAGRA</t>
  </si>
  <si>
    <t>DC_BINONG</t>
  </si>
  <si>
    <t>PARAKAN_SAAT</t>
  </si>
  <si>
    <t>SERANGMEKAR_2</t>
  </si>
  <si>
    <t>CIRENDANG</t>
  </si>
  <si>
    <t>KOJENGKANG</t>
  </si>
  <si>
    <t>KADUGEDE</t>
  </si>
  <si>
    <t>KNG18</t>
  </si>
  <si>
    <t>KNG03A</t>
  </si>
  <si>
    <t>INDANGKERTA</t>
  </si>
  <si>
    <t>KNG26</t>
  </si>
  <si>
    <t>DC_PANAWUAN</t>
  </si>
  <si>
    <t>SOG12E</t>
  </si>
  <si>
    <t>DC_RANCASARI</t>
  </si>
  <si>
    <t>DC_CIBIRU</t>
  </si>
  <si>
    <t>SOG02C</t>
  </si>
  <si>
    <t>SOG13C</t>
  </si>
  <si>
    <t>DC_MARGACINTA</t>
  </si>
  <si>
    <t>DC_PANYAWANGAN</t>
  </si>
  <si>
    <t>SOG11E</t>
  </si>
  <si>
    <t>DC_PEUNDEUY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</si>
  <si>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</si>
  <si>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</si>
  <si>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</si>
  <si>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</si>
  <si>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</si>
  <si>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</si>
  <si>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</si>
  <si>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</si>
  <si>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</si>
  <si>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</si>
  <si>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</si>
  <si>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</si>
  <si>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</si>
  <si>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DC_CIREBON_BARAT</t>
  </si>
  <si>
    <t>SMB03C</t>
  </si>
  <si>
    <t>SMB28C</t>
  </si>
  <si>
    <t>SEMARANG三宝垄</t>
  </si>
  <si>
    <t>BANJARNEGARA</t>
  </si>
  <si>
    <t>KLAMPOK</t>
  </si>
  <si>
    <t>KARANG_KOBAR</t>
  </si>
  <si>
    <t>BAWANG</t>
  </si>
  <si>
    <t>WANADADI</t>
  </si>
  <si>
    <t>SIGALUH</t>
  </si>
  <si>
    <t>PUNGGELAN01</t>
  </si>
  <si>
    <t>MANDIRAJA01</t>
  </si>
  <si>
    <t>PEJAWARAN</t>
  </si>
  <si>
    <t>KAJEN</t>
  </si>
  <si>
    <t>BOJONG</t>
  </si>
  <si>
    <t>KARANGSARI_KAJEN</t>
  </si>
  <si>
    <t>DORO</t>
  </si>
  <si>
    <t>PANINGGARAN</t>
  </si>
  <si>
    <t>TIRTO01</t>
  </si>
  <si>
    <t>KESESI01</t>
  </si>
  <si>
    <t>WONOPRINGGO01</t>
  </si>
  <si>
    <t>KEDUNGWUNI01</t>
  </si>
  <si>
    <t>KARANGDADAP01</t>
  </si>
  <si>
    <t>TEMANGGUNG</t>
  </si>
  <si>
    <t>NGADIREJO</t>
  </si>
  <si>
    <t>CANDIROTO</t>
  </si>
  <si>
    <t>PARAKAN</t>
  </si>
  <si>
    <t>KRANGGAN</t>
  </si>
  <si>
    <t>KEDU</t>
  </si>
  <si>
    <t>WADAS</t>
  </si>
  <si>
    <t>PRINGSURAT_TIMUR</t>
  </si>
  <si>
    <t>BLORA</t>
  </si>
  <si>
    <t>NGAWEN</t>
  </si>
  <si>
    <t>JEPON</t>
  </si>
  <si>
    <t>KUNDURAN</t>
  </si>
  <si>
    <t>CEPU</t>
  </si>
  <si>
    <t>RANDUBLATUNG</t>
  </si>
  <si>
    <t>KEDUNGTUBAN</t>
  </si>
  <si>
    <t>TUNJUNGAN</t>
  </si>
  <si>
    <t>JATI_BLORA</t>
  </si>
  <si>
    <t>SAMBONG</t>
  </si>
  <si>
    <t>SUMOWONO</t>
  </si>
  <si>
    <t>AMBARAWA</t>
  </si>
  <si>
    <t>UNGARAN</t>
  </si>
  <si>
    <t>BAWEN</t>
  </si>
  <si>
    <t>BERGAS</t>
  </si>
  <si>
    <t>BANYUBIRU</t>
  </si>
  <si>
    <t>CANDIREJO</t>
  </si>
  <si>
    <t>PRINGAPUS</t>
  </si>
  <si>
    <t>SALATIGA</t>
  </si>
  <si>
    <t>SURUH</t>
  </si>
  <si>
    <t>BRINGIN</t>
  </si>
  <si>
    <t>TINGKIR</t>
  </si>
  <si>
    <t>TENGARAN</t>
  </si>
  <si>
    <t>AJIBARANG</t>
  </si>
  <si>
    <t>BANYUMAS</t>
  </si>
  <si>
    <t>PATIKRAJA</t>
  </si>
  <si>
    <t>SUMPIUH</t>
  </si>
  <si>
    <t>WANGON</t>
  </si>
  <si>
    <t>KEMBARAN</t>
  </si>
  <si>
    <t>KARANGLEWAS</t>
  </si>
  <si>
    <t>CILONGOK</t>
  </si>
  <si>
    <t>RAWALO</t>
  </si>
  <si>
    <t>SOMAGEDE</t>
  </si>
  <si>
    <t>PURWOKERTO_UTARA</t>
  </si>
  <si>
    <t>PEKUNCEN</t>
  </si>
  <si>
    <t>SUMBANG01</t>
  </si>
  <si>
    <t>KEMRANJEN01</t>
  </si>
  <si>
    <t>KARANGRAYUNG</t>
  </si>
  <si>
    <t>PURWODADI</t>
  </si>
  <si>
    <t>GODONG</t>
  </si>
  <si>
    <t>WIROSARI</t>
  </si>
  <si>
    <t>GUBUG</t>
  </si>
  <si>
    <t>KRADENAN</t>
  </si>
  <si>
    <t>GROBOGAN</t>
  </si>
  <si>
    <t>TEGOWANU</t>
  </si>
  <si>
    <t>PULOKULON</t>
  </si>
  <si>
    <t>PENAWANGAN</t>
  </si>
  <si>
    <t>TANGGUNGHARJO01</t>
  </si>
  <si>
    <t>GEYER</t>
  </si>
  <si>
    <t>GEMUH</t>
  </si>
  <si>
    <t>KENDAL</t>
  </si>
  <si>
    <t>WELERI</t>
  </si>
  <si>
    <t>BOJA</t>
  </si>
  <si>
    <t>SUKOREJO</t>
  </si>
  <si>
    <t>KALIWUNGU</t>
  </si>
  <si>
    <t>BRANGSONG</t>
  </si>
  <si>
    <t>TAMPINGAN</t>
  </si>
  <si>
    <t>PAGERUYUNG</t>
  </si>
  <si>
    <t>MEJOBO</t>
  </si>
  <si>
    <t>KUDUS</t>
  </si>
  <si>
    <t>JEKULO</t>
  </si>
  <si>
    <t>JATI</t>
  </si>
  <si>
    <t>DAWE</t>
  </si>
  <si>
    <t>UNDAAN</t>
  </si>
  <si>
    <t>KALIWUNGU_KUDUS</t>
  </si>
  <si>
    <t>GEBOG</t>
  </si>
  <si>
    <t>REJOSARI_KUDUS</t>
  </si>
  <si>
    <t>KEDUNG</t>
  </si>
  <si>
    <t>JEPARA</t>
  </si>
  <si>
    <t>BANGSRI</t>
  </si>
  <si>
    <t>PECANGAAN</t>
  </si>
  <si>
    <t>WONOREJO</t>
  </si>
  <si>
    <t>MAYONG</t>
  </si>
  <si>
    <t>TAHUNAN</t>
  </si>
  <si>
    <t>KELET</t>
  </si>
  <si>
    <t>WELAHAN</t>
  </si>
  <si>
    <t>KALINYAMATAN</t>
  </si>
  <si>
    <t>SENENAN</t>
  </si>
  <si>
    <t>NALUMSARI</t>
  </si>
  <si>
    <t>TULIS</t>
  </si>
  <si>
    <t>WARUNGASEM</t>
  </si>
  <si>
    <t>REBAN</t>
  </si>
  <si>
    <t>GRINGSING_LAMA</t>
  </si>
  <si>
    <t>BATANG_UTARA</t>
  </si>
  <si>
    <t>BATANG01</t>
  </si>
  <si>
    <t>BANDAR01</t>
  </si>
  <si>
    <t>LIMPUNG01</t>
  </si>
  <si>
    <t>SUBAH01</t>
  </si>
  <si>
    <t>TERSONO</t>
  </si>
  <si>
    <t>BLADO01</t>
  </si>
  <si>
    <t>PEKALONGAN</t>
  </si>
  <si>
    <t>WIRADESA</t>
  </si>
  <si>
    <t>BUARAN</t>
  </si>
  <si>
    <t>JATILONDO</t>
  </si>
  <si>
    <t>WONOKERTO</t>
  </si>
  <si>
    <t>KLEGO</t>
  </si>
  <si>
    <t>MEDONO</t>
  </si>
  <si>
    <t>KURIPAN</t>
  </si>
  <si>
    <t>PANJANG01</t>
  </si>
  <si>
    <t>GUNUNG_PATI</t>
  </si>
  <si>
    <t>TUGU</t>
  </si>
  <si>
    <t>MIJEN</t>
  </si>
  <si>
    <t>PLALANGAN</t>
  </si>
  <si>
    <t>BRINGIN_SEMARANG</t>
  </si>
  <si>
    <t>SILAYUR</t>
  </si>
  <si>
    <t>SEMARANG_TENGAH</t>
  </si>
  <si>
    <t>HASANUDIN</t>
  </si>
  <si>
    <t>ANJASMORO</t>
  </si>
  <si>
    <t>S_PARMAN</t>
  </si>
  <si>
    <t>SIMONGAN</t>
  </si>
  <si>
    <t>GRAHAPADMA_01</t>
  </si>
  <si>
    <t>PATI</t>
  </si>
  <si>
    <t>JUWANA</t>
  </si>
  <si>
    <t>TAMBAKROMO</t>
  </si>
  <si>
    <t>MARGOYOSO</t>
  </si>
  <si>
    <t>TAYU</t>
  </si>
  <si>
    <t>JAKENAN</t>
  </si>
  <si>
    <t>KAYEN</t>
  </si>
  <si>
    <t>WEDARIJAKSA</t>
  </si>
  <si>
    <t>BATANGAN</t>
  </si>
  <si>
    <t>TLOGOWUNGU_PTI</t>
  </si>
  <si>
    <t>WINONG</t>
  </si>
  <si>
    <t>DUKUHSETI</t>
  </si>
  <si>
    <t>PATI_KIDUL</t>
  </si>
  <si>
    <t>SUKOLILO</t>
  </si>
  <si>
    <t>TRANGKIL</t>
  </si>
  <si>
    <t>GABUS</t>
  </si>
  <si>
    <t>CLUWAK</t>
  </si>
  <si>
    <t>JUWANA_TIMUR</t>
  </si>
  <si>
    <t>REMBANG</t>
  </si>
  <si>
    <t>LASEM</t>
  </si>
  <si>
    <t>KRAGAN</t>
  </si>
  <si>
    <t>PAMOTAN</t>
  </si>
  <si>
    <t>SEDAN</t>
  </si>
  <si>
    <t>BULU</t>
  </si>
  <si>
    <t>SLUKE</t>
  </si>
  <si>
    <t>SARANG</t>
  </si>
  <si>
    <t>PANCUR</t>
  </si>
  <si>
    <t>BANYUMANIK</t>
  </si>
  <si>
    <t>TENTARA_PELAJAR</t>
  </si>
  <si>
    <t>SENDANGMULYO</t>
  </si>
  <si>
    <t>KETILENG_RAYA</t>
  </si>
  <si>
    <t>SUPRIYADI_FNC</t>
  </si>
  <si>
    <t>TLOGOSARI_FNC</t>
  </si>
  <si>
    <t>WOLTER_FNC</t>
  </si>
  <si>
    <t>SIDODADI</t>
  </si>
  <si>
    <t>GENUK</t>
  </si>
  <si>
    <t>PURBALINGGA</t>
  </si>
  <si>
    <t>BOBOTSARI</t>
  </si>
  <si>
    <t>KALIGONDANG</t>
  </si>
  <si>
    <t>BOJONGSARI</t>
  </si>
  <si>
    <t>SUMAMPIR</t>
  </si>
  <si>
    <t>PURBALINGGA_LOR</t>
  </si>
  <si>
    <t>KEMANGKON01</t>
  </si>
  <si>
    <t>KARANGREJA01</t>
  </si>
  <si>
    <t>MOJOTENGAH</t>
  </si>
  <si>
    <t>KEJAJAR</t>
  </si>
  <si>
    <t>KALIWIRO</t>
  </si>
  <si>
    <t>MADUKORO_01</t>
  </si>
  <si>
    <t>SELOMERTO_01</t>
  </si>
  <si>
    <t>SAPURAN_01</t>
  </si>
  <si>
    <t>KALIKAJAR</t>
  </si>
  <si>
    <t>SLAWI</t>
  </si>
  <si>
    <t>SURADADI</t>
  </si>
  <si>
    <t>BUMIJAWA</t>
  </si>
  <si>
    <t>SLAWI_KULON</t>
  </si>
  <si>
    <t>MARGASARI</t>
  </si>
  <si>
    <t>KRAMAT_SLAWI</t>
  </si>
  <si>
    <t>BALAPULANG</t>
  </si>
  <si>
    <t>TALANG</t>
  </si>
  <si>
    <t>TARUB</t>
  </si>
  <si>
    <t>DUKUHWARU</t>
  </si>
  <si>
    <t>KEDUNGBANTENG</t>
  </si>
  <si>
    <t>BANDARSARI</t>
  </si>
  <si>
    <t>WONOSALAM</t>
  </si>
  <si>
    <t>DEMAK</t>
  </si>
  <si>
    <t>MRANGGEN</t>
  </si>
  <si>
    <t>GAJAH</t>
  </si>
  <si>
    <t>WEDUNG</t>
  </si>
  <si>
    <t>DEMPET</t>
  </si>
  <si>
    <t>SAYUNG</t>
  </si>
  <si>
    <t>BATURSARI</t>
  </si>
  <si>
    <t>GUNTUR</t>
  </si>
  <si>
    <t>BONANG</t>
  </si>
  <si>
    <t>KARANGANYAR</t>
  </si>
  <si>
    <t>BREBES</t>
  </si>
  <si>
    <t>BUMIAYU</t>
  </si>
  <si>
    <t>KETANGGUNGAN</t>
  </si>
  <si>
    <t>LOSARI</t>
  </si>
  <si>
    <t>JATIBARANG_KIDUL</t>
  </si>
  <si>
    <t>BULAKAMBA</t>
  </si>
  <si>
    <t>LARANGAN_BREBES</t>
  </si>
  <si>
    <t>WANASARI_BREBES</t>
  </si>
  <si>
    <t>BANJARHARJO</t>
  </si>
  <si>
    <t>TONJONG</t>
  </si>
  <si>
    <t>SALEM</t>
  </si>
  <si>
    <t>BANTARKAWUNG</t>
  </si>
  <si>
    <t>PAGUYANGAN</t>
  </si>
  <si>
    <t>TANJUNG_BREBES</t>
  </si>
  <si>
    <t>SIRAMPOG01</t>
  </si>
  <si>
    <t>PEMALANG</t>
  </si>
  <si>
    <t>RANDUDONGKAL</t>
  </si>
  <si>
    <t>COMAL</t>
  </si>
  <si>
    <t>AMBOKULON</t>
  </si>
  <si>
    <t>KEBANGGAN</t>
  </si>
  <si>
    <t>BANJARDAWA</t>
  </si>
  <si>
    <t>PETARUKAN</t>
  </si>
  <si>
    <t>BODEH</t>
  </si>
  <si>
    <t>BELIK</t>
  </si>
  <si>
    <t>WATUKUMPUL</t>
  </si>
  <si>
    <t>BANTARBOLANG</t>
  </si>
  <si>
    <t>MULYOHARJO01</t>
  </si>
  <si>
    <t>TEGAL</t>
  </si>
  <si>
    <t>MARGADANA</t>
  </si>
  <si>
    <t>TEGAL_BARAT</t>
  </si>
  <si>
    <t>DUKUHTURI</t>
  </si>
  <si>
    <t>PURWOKERTO</t>
  </si>
  <si>
    <t>KEBASEN</t>
  </si>
  <si>
    <t>SRG_SALES</t>
  </si>
  <si>
    <t>PROTOMULYO</t>
  </si>
  <si>
    <t>NGALIYAN</t>
  </si>
  <si>
    <t>BSB_SEMARANG</t>
  </si>
  <si>
    <t>GAJAHMUNGKUR</t>
  </si>
  <si>
    <t>PANGGUNG_LOR</t>
  </si>
  <si>
    <t>PUDAKPAYUNG</t>
  </si>
  <si>
    <t>TEMBALANG</t>
  </si>
  <si>
    <t>BUGANGAN</t>
  </si>
  <si>
    <t>DEBONG</t>
  </si>
  <si>
    <t>YOGYAKARTA日惹</t>
  </si>
  <si>
    <t>BANTUL</t>
  </si>
  <si>
    <t>KASIHAN</t>
  </si>
  <si>
    <t>SEWON</t>
  </si>
  <si>
    <t>DIRO</t>
  </si>
  <si>
    <t>GOSE</t>
  </si>
  <si>
    <t>PERWITA</t>
  </si>
  <si>
    <t>TAMANAN</t>
  </si>
  <si>
    <t>WONOCATUR</t>
  </si>
  <si>
    <t>SITIMULYO</t>
  </si>
  <si>
    <t>BOYOLALI</t>
  </si>
  <si>
    <t>TERAS</t>
  </si>
  <si>
    <t>AMPEL</t>
  </si>
  <si>
    <t>BYL03A</t>
  </si>
  <si>
    <t>SIMO</t>
  </si>
  <si>
    <t>BYL04A</t>
  </si>
  <si>
    <t>NGEMPLAK</t>
  </si>
  <si>
    <t>PULISEN</t>
  </si>
  <si>
    <t>ANDONG</t>
  </si>
  <si>
    <t>SAWIT</t>
  </si>
  <si>
    <t>KARANGGEDE</t>
  </si>
  <si>
    <t>BYL12</t>
  </si>
  <si>
    <t>CILACAP</t>
  </si>
  <si>
    <t>MAJENANG</t>
  </si>
  <si>
    <t>KROYA</t>
  </si>
  <si>
    <t>CLP03A</t>
  </si>
  <si>
    <t>SIDAREJA</t>
  </si>
  <si>
    <t>ADIPALA</t>
  </si>
  <si>
    <t>KAWUNGANTEN</t>
  </si>
  <si>
    <t>CIMANGGU</t>
  </si>
  <si>
    <t>MERTASINGA</t>
  </si>
  <si>
    <t>SALIWANGI</t>
  </si>
  <si>
    <t>NUSAWUNGU</t>
  </si>
  <si>
    <t>CLP13A</t>
  </si>
  <si>
    <t>WANAREJA</t>
  </si>
  <si>
    <t>UMBULHARJO</t>
  </si>
  <si>
    <t>KATAMSO</t>
  </si>
  <si>
    <t>SURYOWIJAYAN</t>
  </si>
  <si>
    <t>GEDONG_KUNING</t>
  </si>
  <si>
    <t>GIWANGAN</t>
  </si>
  <si>
    <t>COLOMADU</t>
  </si>
  <si>
    <t>TASIKMADU</t>
  </si>
  <si>
    <t>GONDANGREJO</t>
  </si>
  <si>
    <t>KARANG_PANDAN</t>
  </si>
  <si>
    <t>MATESI</t>
  </si>
  <si>
    <t>BEJEN</t>
  </si>
  <si>
    <t>NGRINGO</t>
  </si>
  <si>
    <t>MOJOGEDANG</t>
  </si>
  <si>
    <t>TUGU_BOTO</t>
  </si>
  <si>
    <t>JUMAPOLO</t>
  </si>
  <si>
    <t>KEBAKKRAMAT</t>
  </si>
  <si>
    <t>GOMBONG</t>
  </si>
  <si>
    <t>KBM02A</t>
  </si>
  <si>
    <t>PREMBUN</t>
  </si>
  <si>
    <t>KEBUMEN_KOTA</t>
  </si>
  <si>
    <t>AYAH</t>
  </si>
  <si>
    <t>PETANAHAN</t>
  </si>
  <si>
    <t>KUTOWINANGUN</t>
  </si>
  <si>
    <t>CANDI_KEBUMEN</t>
  </si>
  <si>
    <t>KBM17</t>
  </si>
  <si>
    <t>WATES</t>
  </si>
  <si>
    <t>SENTOLO</t>
  </si>
  <si>
    <t>KULONPROGO</t>
  </si>
  <si>
    <t>NANGGULAN</t>
  </si>
  <si>
    <t>KLATEN_SELATAN</t>
  </si>
  <si>
    <t>PRAMBANAN</t>
  </si>
  <si>
    <t>DELANGGU</t>
  </si>
  <si>
    <t>BELANG_WETAN</t>
  </si>
  <si>
    <t>PEDAN</t>
  </si>
  <si>
    <t>KLATEN_TENGAH</t>
  </si>
  <si>
    <t>KARANGDOWO</t>
  </si>
  <si>
    <t>DC_KLATEN</t>
  </si>
  <si>
    <t>MOJAYAN</t>
  </si>
  <si>
    <t>MAYUNGAN</t>
  </si>
  <si>
    <t>TULUNG</t>
  </si>
  <si>
    <t>KLT26</t>
  </si>
  <si>
    <t>MAGELANG</t>
  </si>
  <si>
    <t>KUPATAN</t>
  </si>
  <si>
    <t>MUNGKID</t>
  </si>
  <si>
    <t>GRABAG</t>
  </si>
  <si>
    <t>SALAM</t>
  </si>
  <si>
    <t>SECANG</t>
  </si>
  <si>
    <t>MERTOYUDAN</t>
  </si>
  <si>
    <t>BOROBUDUR</t>
  </si>
  <si>
    <t>KEDUNGDOWO</t>
  </si>
  <si>
    <t>TEGALREJO</t>
  </si>
  <si>
    <t>TEMPURAN_MUNGKID</t>
  </si>
  <si>
    <t>PURWOREJO</t>
  </si>
  <si>
    <t>LOANO</t>
  </si>
  <si>
    <t>BUTUH</t>
  </si>
  <si>
    <t>BAGELEN</t>
  </si>
  <si>
    <t>WIRUN</t>
  </si>
  <si>
    <t>DC_BANYUURIP</t>
  </si>
  <si>
    <t>SLEMAN</t>
  </si>
  <si>
    <t>GODEAN</t>
  </si>
  <si>
    <t>NGAGLIK</t>
  </si>
  <si>
    <t>SLM03A</t>
  </si>
  <si>
    <t>DENGGUNG</t>
  </si>
  <si>
    <t>MAGUWOHARJO</t>
  </si>
  <si>
    <t>CATUR_TUNGGAL</t>
  </si>
  <si>
    <t>SETURAN</t>
  </si>
  <si>
    <t>KALASAN</t>
  </si>
  <si>
    <t>SLM10A</t>
  </si>
  <si>
    <t>BERJO</t>
  </si>
  <si>
    <t>GEJAYAN</t>
  </si>
  <si>
    <t>PALAGAN</t>
  </si>
  <si>
    <t>SLM17A</t>
  </si>
  <si>
    <t>JOMBOR</t>
  </si>
  <si>
    <t>TRIDADI</t>
  </si>
  <si>
    <t>GAMPING</t>
  </si>
  <si>
    <t>KENTUNGAN</t>
  </si>
  <si>
    <t>SOLO</t>
  </si>
  <si>
    <t>KARTASURA</t>
  </si>
  <si>
    <t>SERENGAN</t>
  </si>
  <si>
    <t>MOJOSONGO</t>
  </si>
  <si>
    <t>SUMBER_BANJARSARI</t>
  </si>
  <si>
    <t>TIPES</t>
  </si>
  <si>
    <t>JAGALAN</t>
  </si>
  <si>
    <t>BETENG</t>
  </si>
  <si>
    <t>TIMURAN</t>
  </si>
  <si>
    <t>SEMANGGI</t>
  </si>
  <si>
    <t>DANUKUSUMAN</t>
  </si>
  <si>
    <t>BUMI_LAWEYAN</t>
  </si>
  <si>
    <t>SEKIP_KADIPIRO</t>
  </si>
  <si>
    <t>DC_SOLO_BARAT</t>
  </si>
  <si>
    <t>IR_SUTAMI</t>
  </si>
  <si>
    <t>SAMPANGAN_SOLO</t>
  </si>
  <si>
    <t>SRAGEN</t>
  </si>
  <si>
    <t>GEMOLONG</t>
  </si>
  <si>
    <t>MASARAN</t>
  </si>
  <si>
    <t>GONDANG</t>
  </si>
  <si>
    <t>PILANGSARI</t>
  </si>
  <si>
    <t>TANON</t>
  </si>
  <si>
    <t>TUGU_GADING_MASARAN</t>
  </si>
  <si>
    <t>KARANGMALANG</t>
  </si>
  <si>
    <t>LANGENHARJO</t>
  </si>
  <si>
    <t>POLOKARTO</t>
  </si>
  <si>
    <t>BAKI</t>
  </si>
  <si>
    <t>TAWANGSARI</t>
  </si>
  <si>
    <t>PUCANGAN</t>
  </si>
  <si>
    <t>SLAMET_RIYADI_BARAT</t>
  </si>
  <si>
    <t>MOJOLABAN</t>
  </si>
  <si>
    <t>TELUKAN</t>
  </si>
  <si>
    <t>JETIS</t>
  </si>
  <si>
    <t>WONOGIRI</t>
  </si>
  <si>
    <t>BATURETNO</t>
  </si>
  <si>
    <t>NGADIROJO</t>
  </si>
  <si>
    <t>WURYANTORO</t>
  </si>
  <si>
    <t>SLOGOHIMO</t>
  </si>
  <si>
    <t>SELOGIRI</t>
  </si>
  <si>
    <t>PURWANTORO</t>
  </si>
  <si>
    <t>NGUNTORONADI</t>
  </si>
  <si>
    <t>JATISRONO_WGI</t>
  </si>
  <si>
    <t>WONOSARI</t>
  </si>
  <si>
    <t>NGLIPAR</t>
  </si>
  <si>
    <t>KARANGMOJO</t>
  </si>
  <si>
    <t>SURABAYA泗水</t>
  </si>
  <si>
    <t>PADANGAN</t>
  </si>
  <si>
    <t>KALITIDU</t>
  </si>
  <si>
    <t>SUMBEREJO</t>
  </si>
  <si>
    <t>DC_SRATU</t>
  </si>
  <si>
    <t>DC_KLANGON</t>
  </si>
  <si>
    <t>GAYAM</t>
  </si>
  <si>
    <t>NGRAHO</t>
  </si>
  <si>
    <t>DANDER</t>
  </si>
  <si>
    <t>BALEN_1</t>
  </si>
  <si>
    <t>KEDUNGADEM_1</t>
  </si>
  <si>
    <t>TUBAN</t>
  </si>
  <si>
    <t>JATIROGO</t>
  </si>
  <si>
    <t>KEREK</t>
  </si>
  <si>
    <t>PLUMPANG</t>
  </si>
  <si>
    <t>PARENGAN</t>
  </si>
  <si>
    <t>TAMBAKBOYO</t>
  </si>
  <si>
    <t>RENGEL_1</t>
  </si>
  <si>
    <t>MERAKURAK_1</t>
  </si>
  <si>
    <t>TUBAN_1</t>
  </si>
  <si>
    <t>PALANG_1</t>
  </si>
  <si>
    <t>DRIYOREJO</t>
  </si>
  <si>
    <t>PANCENG</t>
  </si>
  <si>
    <t>MANYAR_2</t>
  </si>
  <si>
    <t>BAWEAN</t>
  </si>
  <si>
    <t>CERME</t>
  </si>
  <si>
    <t>KEBON</t>
  </si>
  <si>
    <t>MENGANTI</t>
  </si>
  <si>
    <t>KEDAMEAN</t>
  </si>
  <si>
    <t>BUNGAH_1</t>
  </si>
  <si>
    <t>DUKUN_2</t>
  </si>
  <si>
    <t>WRINGINANOM</t>
  </si>
  <si>
    <t>KEBOMAS_1</t>
  </si>
  <si>
    <t>BALONGPANGGANG_1</t>
  </si>
  <si>
    <t>DUDUKSAMPEYAN_1</t>
  </si>
  <si>
    <t>BABAT</t>
  </si>
  <si>
    <t>KEDUNGPRING_2</t>
  </si>
  <si>
    <t>PACIRAN</t>
  </si>
  <si>
    <t>MANTUP_1</t>
  </si>
  <si>
    <t>KARANGGENENG</t>
  </si>
  <si>
    <t>LAMONGAN_2</t>
  </si>
  <si>
    <t>RAYA_PACIRAN</t>
  </si>
  <si>
    <t>MOROPELANG</t>
  </si>
  <si>
    <t>SAMBENG</t>
  </si>
  <si>
    <t>SUGIO_1</t>
  </si>
  <si>
    <t>GLAGAH_LMG_1</t>
  </si>
  <si>
    <t>TIKUNG_2</t>
  </si>
  <si>
    <t>BANGKALAN</t>
  </si>
  <si>
    <t>BLEGA</t>
  </si>
  <si>
    <t>BANGKALAN_KOTA</t>
  </si>
  <si>
    <t>SEPULU</t>
  </si>
  <si>
    <t>TANAH_MERAH_1</t>
  </si>
  <si>
    <t>BURNEH_1</t>
  </si>
  <si>
    <t>TANJUNG_BUMI_1</t>
  </si>
  <si>
    <t>KAMAL_1</t>
  </si>
  <si>
    <t>AROSBAYA_1</t>
  </si>
  <si>
    <t>GALIS_1</t>
  </si>
  <si>
    <t>PAMEKASAN</t>
  </si>
  <si>
    <t>PROPPO</t>
  </si>
  <si>
    <t>PAKONG</t>
  </si>
  <si>
    <t>LARANGAN_PAMEKASAN</t>
  </si>
  <si>
    <t>PALENGAAN_1</t>
  </si>
  <si>
    <t>PEGANTENAN</t>
  </si>
  <si>
    <t>PASEAN_1</t>
  </si>
  <si>
    <t>SUMENEP</t>
  </si>
  <si>
    <t>ARJASA</t>
  </si>
  <si>
    <t>AMBUNTEN</t>
  </si>
  <si>
    <t>BATUAN_1</t>
  </si>
  <si>
    <t>KALIANGET_1</t>
  </si>
  <si>
    <t>BLUTO_1</t>
  </si>
  <si>
    <t>GAPURA_1</t>
  </si>
  <si>
    <t>PRAGAAN_1</t>
  </si>
  <si>
    <t>KOTA_SUMENEP_1</t>
  </si>
  <si>
    <t>GUNUNG_SEKAR</t>
  </si>
  <si>
    <t>CAMPLONG</t>
  </si>
  <si>
    <t>KEDUNGDUNG_1</t>
  </si>
  <si>
    <t>SAMPANG_UTARA</t>
  </si>
  <si>
    <t>SOKOBANAH</t>
  </si>
  <si>
    <t>TORJUN_RAYA</t>
  </si>
  <si>
    <t>KARANGPENANG_1</t>
  </si>
  <si>
    <t>ROBATAL</t>
  </si>
  <si>
    <t>BANYUATES_1</t>
  </si>
  <si>
    <t>OMBEN_1</t>
  </si>
  <si>
    <t>TAMBELANGAN_1</t>
  </si>
  <si>
    <t>MADIUN_1</t>
  </si>
  <si>
    <t>MEJAYAN</t>
  </si>
  <si>
    <t>DOLOPO</t>
  </si>
  <si>
    <t>JIWAN</t>
  </si>
  <si>
    <t>TAMAN_PRAJA</t>
  </si>
  <si>
    <t>MUNENG</t>
  </si>
  <si>
    <t>DC_TUGU_PENDEKAR</t>
  </si>
  <si>
    <t>MAGETAN_2</t>
  </si>
  <si>
    <t>MAOSPATI_1</t>
  </si>
  <si>
    <t>TAKERAN_1</t>
  </si>
  <si>
    <t>PLAOSAN_2</t>
  </si>
  <si>
    <t>NGAWI</t>
  </si>
  <si>
    <t>WALIKUKUN</t>
  </si>
  <si>
    <t>DC_KARTONYONO</t>
  </si>
  <si>
    <t>PARON</t>
  </si>
  <si>
    <t>PACITAN</t>
  </si>
  <si>
    <t>BALEHARJO</t>
  </si>
  <si>
    <t>NGADIROJO_1</t>
  </si>
  <si>
    <t>ARJOSARI_2</t>
  </si>
  <si>
    <t>PONOROGO</t>
  </si>
  <si>
    <t>SUMOROTO</t>
  </si>
  <si>
    <t>BALONG</t>
  </si>
  <si>
    <t>BABADAN_RAYA</t>
  </si>
  <si>
    <t>SAMBIT_1</t>
  </si>
  <si>
    <t>KEDIRI</t>
  </si>
  <si>
    <t>GROGOL</t>
  </si>
  <si>
    <t>TOSAREN</t>
  </si>
  <si>
    <t>NGADILUWIH</t>
  </si>
  <si>
    <t>TIRTO_UDAN</t>
  </si>
  <si>
    <t>PLOSOKLATEN</t>
  </si>
  <si>
    <t>PAPAR</t>
  </si>
  <si>
    <t>DC_KEDIRI</t>
  </si>
  <si>
    <t>KDR_NGASEM_2</t>
  </si>
  <si>
    <t>MOJO</t>
  </si>
  <si>
    <t>KEPUNG_2</t>
  </si>
  <si>
    <t>RINGINREJO</t>
  </si>
  <si>
    <t>PARE_4</t>
  </si>
  <si>
    <t>PLEMAHAN_3</t>
  </si>
  <si>
    <t>TULUNG_AGUNG</t>
  </si>
  <si>
    <t>CAMPUR_DARAT</t>
  </si>
  <si>
    <t>NGUNUT</t>
  </si>
  <si>
    <t>KAUMAN</t>
  </si>
  <si>
    <t>BOYOLANGU</t>
  </si>
  <si>
    <t>GONDANGRAYA</t>
  </si>
  <si>
    <t>DC_TULUNG_AGUNG</t>
  </si>
  <si>
    <t>TRENGGALEK</t>
  </si>
  <si>
    <t>GANDUSARI_1</t>
  </si>
  <si>
    <t>POGALAN</t>
  </si>
  <si>
    <t>KARANGAN_1</t>
  </si>
  <si>
    <t>DIWEK_1</t>
  </si>
  <si>
    <t>MOJOAGUNG</t>
  </si>
  <si>
    <t>PERAK</t>
  </si>
  <si>
    <t>JOMBANG_2</t>
  </si>
  <si>
    <t>TEMBELANG_1</t>
  </si>
  <si>
    <t>KABUH</t>
  </si>
  <si>
    <t>MOJOWARNO</t>
  </si>
  <si>
    <t>NGANJUK_3</t>
  </si>
  <si>
    <t>KERTOSONO</t>
  </si>
  <si>
    <t>LOCERET</t>
  </si>
  <si>
    <t>WARUJAYENG</t>
  </si>
  <si>
    <t>PRAMBON</t>
  </si>
  <si>
    <t>NGANJUK_1</t>
  </si>
  <si>
    <t>MOJOSARI</t>
  </si>
  <si>
    <t>DC_MAJAPAHIT</t>
  </si>
  <si>
    <t>BRANGKAL</t>
  </si>
  <si>
    <t>DLANGGU</t>
  </si>
  <si>
    <t>TROWULAN</t>
  </si>
  <si>
    <t>JETIS_1</t>
  </si>
  <si>
    <t>KEMLAGI_1</t>
  </si>
  <si>
    <t>NGORO</t>
  </si>
  <si>
    <t>BANGSAL</t>
  </si>
  <si>
    <t>DC_GAJAH_MADA</t>
  </si>
  <si>
    <t>TEGALSARI_4</t>
  </si>
  <si>
    <t>BULAK_1</t>
  </si>
  <si>
    <t>DC_KENJERAN</t>
  </si>
  <si>
    <t>DUKUH_SETRO_2</t>
  </si>
  <si>
    <t>GUBENG_3</t>
  </si>
  <si>
    <t>SUB_GENTENG</t>
  </si>
  <si>
    <t>KARANG_EMPAT_BESAR_2</t>
  </si>
  <si>
    <t>GUBENG_2</t>
  </si>
  <si>
    <t>TAMBAKSARI_2</t>
  </si>
  <si>
    <t>ARIEF_RAHMAN_HAKIM</t>
  </si>
  <si>
    <t>DC_SUKOLILO</t>
  </si>
  <si>
    <t>KENJERAN_3</t>
  </si>
  <si>
    <t>KEPUTIH_2</t>
  </si>
  <si>
    <t>MULYOREJO</t>
  </si>
  <si>
    <t>MULYOREJO_1</t>
  </si>
  <si>
    <t>ABDUL_KARIM</t>
  </si>
  <si>
    <t>DC_KARANGPILANG</t>
  </si>
  <si>
    <t>GUNUNG_ANYAR</t>
  </si>
  <si>
    <t>SURABAYA_KIDUL</t>
  </si>
  <si>
    <t>WONOCOLO_2</t>
  </si>
  <si>
    <t>DUKUH_PAKIS_1</t>
  </si>
  <si>
    <t>DUKUH_PAKIS_2</t>
  </si>
  <si>
    <t>DC_ARJUNO</t>
  </si>
  <si>
    <t>DC_WIYUNG</t>
  </si>
  <si>
    <t>PETEMON_BARAT</t>
  </si>
  <si>
    <t>WONOKROMO_2</t>
  </si>
  <si>
    <t>PANJANG_JIWO_2</t>
  </si>
  <si>
    <t>RAYA_TENGGILIS</t>
  </si>
  <si>
    <t>RUNGKUT_2</t>
  </si>
  <si>
    <t>RUNGKUT_ALANG_ALANG</t>
  </si>
  <si>
    <t>KALI_RUNGKUT_1</t>
  </si>
  <si>
    <t>BUBUTAN_5</t>
  </si>
  <si>
    <t>DC_MADE</t>
  </si>
  <si>
    <t>LAKARSANTRI_2</t>
  </si>
  <si>
    <t>DC_PAKAL</t>
  </si>
  <si>
    <t>MAYJEND_BARAT</t>
  </si>
  <si>
    <t>PAKAL_2</t>
  </si>
  <si>
    <t>SAMBIKEREP</t>
  </si>
  <si>
    <t>SUKOMANUNGGAL_2</t>
  </si>
  <si>
    <t>TANDES_2</t>
  </si>
  <si>
    <t>PABEAN_CANTIAN_4</t>
  </si>
  <si>
    <t>PABEAN_CANTIAN_5</t>
  </si>
  <si>
    <t>SIMOKERTO_2</t>
  </si>
  <si>
    <t>SEMAMPIR_2</t>
  </si>
  <si>
    <t>SEMAMPIR_3</t>
  </si>
  <si>
    <t>AMBULU</t>
  </si>
  <si>
    <t>TANGGUL</t>
  </si>
  <si>
    <t>RAMBIPUJI</t>
  </si>
  <si>
    <t>PUGER_1</t>
  </si>
  <si>
    <t>BALUNG</t>
  </si>
  <si>
    <t>KENCONG</t>
  </si>
  <si>
    <t>WULUHAN</t>
  </si>
  <si>
    <t>SEMBORO</t>
  </si>
  <si>
    <t>BANGSALSARI</t>
  </si>
  <si>
    <t>GUMUKMAS_1</t>
  </si>
  <si>
    <t>SUMBERBARU_1</t>
  </si>
  <si>
    <t>PASIRIAN</t>
  </si>
  <si>
    <t>JATIROTO</t>
  </si>
  <si>
    <t>MAHAKAM</t>
  </si>
  <si>
    <t>SANDTOWN</t>
  </si>
  <si>
    <t>CENTRAL_LUMAJANG</t>
  </si>
  <si>
    <t>SENDURO</t>
  </si>
  <si>
    <t>TEMPEH</t>
  </si>
  <si>
    <t>YOSOWILANGUN_1</t>
  </si>
  <si>
    <t>KLAKAH_1</t>
  </si>
  <si>
    <t>RANDUAGUNG_1</t>
  </si>
  <si>
    <t>PRONOJIWO_1</t>
  </si>
  <si>
    <t>CANDIPURO_1</t>
  </si>
  <si>
    <t>MAYANGAN_1</t>
  </si>
  <si>
    <t>WONOASIH_2</t>
  </si>
  <si>
    <t>BANTARAN_1</t>
  </si>
  <si>
    <t>MARON</t>
  </si>
  <si>
    <t>GENDING</t>
  </si>
  <si>
    <t>KRAKSAAN_2</t>
  </si>
  <si>
    <t>BESUK</t>
  </si>
  <si>
    <t>TONGAS_1</t>
  </si>
  <si>
    <t>KOTAANYAR_1</t>
  </si>
  <si>
    <t>LECES_1</t>
  </si>
  <si>
    <t>SUMBERASIH_1</t>
  </si>
  <si>
    <t>GADING_1</t>
  </si>
  <si>
    <t>JEMBER</t>
  </si>
  <si>
    <t>KALISAT</t>
  </si>
  <si>
    <t>PATRANG</t>
  </si>
  <si>
    <t>KALIWATES_2</t>
  </si>
  <si>
    <t>SUMBERSARI</t>
  </si>
  <si>
    <t>MUMBULSARI_1</t>
  </si>
  <si>
    <t>MAYANG</t>
  </si>
  <si>
    <t>PAKUSARI</t>
  </si>
  <si>
    <t>JENGGAWAH</t>
  </si>
  <si>
    <t>JEMBER_LINTAS_UTARA</t>
  </si>
  <si>
    <t>SILO_1</t>
  </si>
  <si>
    <t>SUMBERSARI_1</t>
  </si>
  <si>
    <t>JBR_ARJASA_1</t>
  </si>
  <si>
    <t>BONDOWOSO_2</t>
  </si>
  <si>
    <t>PRAJEKAN</t>
  </si>
  <si>
    <t>MAESAN_1</t>
  </si>
  <si>
    <t>JAVA_IJEN</t>
  </si>
  <si>
    <t>KAMPUNG_DURIAN</t>
  </si>
  <si>
    <t>BONDOWOSO_3</t>
  </si>
  <si>
    <t>WRINGIN</t>
  </si>
  <si>
    <t>SUMBERWRINGIN_1</t>
  </si>
  <si>
    <t>SITUBONDO</t>
  </si>
  <si>
    <t>ASEMBAGUS</t>
  </si>
  <si>
    <t>BESUKI_CITY</t>
  </si>
  <si>
    <t>PANARUKAN</t>
  </si>
  <si>
    <t>ARJASA_SBD</t>
  </si>
  <si>
    <t>DC_PANJI</t>
  </si>
  <si>
    <t>MLANDINGAN_1</t>
  </si>
  <si>
    <t>BANYUPUTIH_1</t>
  </si>
  <si>
    <t>PURWOHARJO</t>
  </si>
  <si>
    <t>JAJAG</t>
  </si>
  <si>
    <t>MOJOPANGGUNG</t>
  </si>
  <si>
    <t>GENTENG_2</t>
  </si>
  <si>
    <t>GLENMORE_1</t>
  </si>
  <si>
    <t>KALIBARU_1</t>
  </si>
  <si>
    <t>KALIPURO</t>
  </si>
  <si>
    <t>SUMBERAYU</t>
  </si>
  <si>
    <t>BWI_TEGALSARI_2</t>
  </si>
  <si>
    <t>CLURING</t>
  </si>
  <si>
    <t>SRONO</t>
  </si>
  <si>
    <t>GLAGAH</t>
  </si>
  <si>
    <t>KABAT</t>
  </si>
  <si>
    <t>WONGSOREJO</t>
  </si>
  <si>
    <t>SEMPU_1</t>
  </si>
  <si>
    <t>BANGOREJO_1</t>
  </si>
  <si>
    <t>PESANGGARAN_1</t>
  </si>
  <si>
    <t>GENTENG_BWI_1</t>
  </si>
  <si>
    <t>BWI_GENTENG</t>
  </si>
  <si>
    <t>MALANG</t>
  </si>
  <si>
    <t>BLIMBING</t>
  </si>
  <si>
    <t>KLOJEN</t>
  </si>
  <si>
    <t>SOEHAT</t>
  </si>
  <si>
    <t>KALPATARU</t>
  </si>
  <si>
    <t>SUKUN_TANJUNG</t>
  </si>
  <si>
    <t>MALANG_HITS</t>
  </si>
  <si>
    <t>DC_SUDARMO</t>
  </si>
  <si>
    <t>OLD_CITY</t>
  </si>
  <si>
    <t>PARANG_ARGO</t>
  </si>
  <si>
    <t>KLOJEN_1</t>
  </si>
  <si>
    <t>LAWANG_1</t>
  </si>
  <si>
    <t>SINGOSARI_1</t>
  </si>
  <si>
    <t>MLG_SALES</t>
  </si>
  <si>
    <t>KARANG_PLOSO_1</t>
  </si>
  <si>
    <t>BATU</t>
  </si>
  <si>
    <t>PUJON</t>
  </si>
  <si>
    <t>NGANTANG</t>
  </si>
  <si>
    <t>BUMIAJI_1</t>
  </si>
  <si>
    <t>JUNREJO_1</t>
  </si>
  <si>
    <t>KASEMBON_1</t>
  </si>
  <si>
    <t>DAU_1</t>
  </si>
  <si>
    <t>BLITAR</t>
  </si>
  <si>
    <t>TALUN</t>
  </si>
  <si>
    <t>SRENGAT</t>
  </si>
  <si>
    <t>SUKOREJO_1</t>
  </si>
  <si>
    <t>KADEMANGAN</t>
  </si>
  <si>
    <t>PONGGOK</t>
  </si>
  <si>
    <t>KESAMBEN</t>
  </si>
  <si>
    <t>KEPANJEN</t>
  </si>
  <si>
    <t>TUREN</t>
  </si>
  <si>
    <t>SUMBERPUCUNG</t>
  </si>
  <si>
    <t>DAMPIT</t>
  </si>
  <si>
    <t>PAKISAJI</t>
  </si>
  <si>
    <t>SUPER_HERO</t>
  </si>
  <si>
    <t>BULULAWANG</t>
  </si>
  <si>
    <t>BANTUR</t>
  </si>
  <si>
    <t>TALANGAGUNG_KPJ</t>
  </si>
  <si>
    <t>TIRTOYUDO</t>
  </si>
  <si>
    <t>SUMBERMANJINGWETAN_1</t>
  </si>
  <si>
    <t>PAGAK_1</t>
  </si>
  <si>
    <t>RED_DEER</t>
  </si>
  <si>
    <t>TAJINAN_1</t>
  </si>
  <si>
    <t>BEAUTIFUL_BROMO</t>
  </si>
  <si>
    <t>KEDUNGKANDANG_1</t>
  </si>
  <si>
    <t>PAKIS_1</t>
  </si>
  <si>
    <t>PANDAAN</t>
  </si>
  <si>
    <t>SUKOREJO_PND</t>
  </si>
  <si>
    <t>PURWOSARI_PND</t>
  </si>
  <si>
    <t>PURWODADI_1</t>
  </si>
  <si>
    <t>TUTUR_1</t>
  </si>
  <si>
    <t>PANDAAN_2</t>
  </si>
  <si>
    <t>PASURUAN</t>
  </si>
  <si>
    <t>BANGIL</t>
  </si>
  <si>
    <t>GEMPOL</t>
  </si>
  <si>
    <t>BUGULKIDUL</t>
  </si>
  <si>
    <t>WONOREJO_PSR</t>
  </si>
  <si>
    <t>GONDANGWETAN</t>
  </si>
  <si>
    <t>BEJI_PSR</t>
  </si>
  <si>
    <t>GRATI</t>
  </si>
  <si>
    <t>PUSPO_2</t>
  </si>
  <si>
    <t>BANGIL_1</t>
  </si>
  <si>
    <t>KRATON_1</t>
  </si>
  <si>
    <t>DC_PORONG</t>
  </si>
  <si>
    <t>DC_TANGGULANGIN</t>
  </si>
  <si>
    <t>WONOAYU_3</t>
  </si>
  <si>
    <t>PRAMBON_1</t>
  </si>
  <si>
    <t>BALONGBENDO_1</t>
  </si>
  <si>
    <t>TARIK_2</t>
  </si>
  <si>
    <t>TULANGAN_1</t>
  </si>
  <si>
    <t>SUKODONO_1</t>
  </si>
  <si>
    <t>DC_SAFELOCK</t>
  </si>
  <si>
    <t>GELAM</t>
  </si>
  <si>
    <t>TAMAN</t>
  </si>
  <si>
    <t>TAMAN_3</t>
  </si>
  <si>
    <t>DC_TAMAN</t>
  </si>
  <si>
    <t>SEDATI</t>
  </si>
  <si>
    <t>GEDANGAN</t>
  </si>
  <si>
    <t>WARU_6</t>
  </si>
  <si>
    <t>SEDATI_1</t>
  </si>
  <si>
    <t>BUDURAN_1</t>
  </si>
  <si>
    <t>WARU_7</t>
  </si>
  <si>
    <t>TCSDA003</t>
  </si>
  <si>
    <t>TCSPG101</t>
  </si>
  <si>
    <t>BALI巴厘</t>
  </si>
  <si>
    <t>CP_SESETAN</t>
  </si>
  <si>
    <t>CP_BULUH_INDAH</t>
  </si>
  <si>
    <t>SINGARAJA</t>
  </si>
  <si>
    <t>CP_LETDA_MADE_PUTRA</t>
  </si>
  <si>
    <t>BATUKARU</t>
  </si>
  <si>
    <t>CP_PATIH_NAMBI</t>
  </si>
  <si>
    <t>CP_PULAU_NIAS</t>
  </si>
  <si>
    <t>CP_BATUBULAN</t>
  </si>
  <si>
    <t>CP_NANGKA</t>
  </si>
  <si>
    <t>BLAMBANGAN</t>
  </si>
  <si>
    <t>CP_TANGKUBAN_PERAHU</t>
  </si>
  <si>
    <t>CP_MADE_LEBAH</t>
  </si>
  <si>
    <t>CP_WR_SUPRATMAN</t>
  </si>
  <si>
    <t>CP_BUANA_RAYA</t>
  </si>
  <si>
    <t>CP_SEBATU</t>
  </si>
  <si>
    <t>CP_UDAYANA</t>
  </si>
  <si>
    <t>SAELUS</t>
  </si>
  <si>
    <t>CP_DALUNG</t>
  </si>
  <si>
    <t>CP_GATSU_TENGAH</t>
  </si>
  <si>
    <t>CP_GANTI</t>
  </si>
  <si>
    <t>CP_KALIUNTU</t>
  </si>
  <si>
    <t>CP_TUKAD_YEH_AYA</t>
  </si>
  <si>
    <t>CP_ASEMAN</t>
  </si>
  <si>
    <t>CP_BUDUK_TENGAH</t>
  </si>
  <si>
    <t>CP_MASBAGIK_UTARA</t>
  </si>
  <si>
    <t>CP_KESAMBI_1</t>
  </si>
  <si>
    <t>CP_PANJITILAR_NEGARA</t>
  </si>
  <si>
    <t>CP_TUKAD_BARU</t>
  </si>
  <si>
    <t>CP_UDAYANA_1</t>
  </si>
  <si>
    <t>CP_KENYERI</t>
  </si>
  <si>
    <t>CP_SUBUR</t>
  </si>
  <si>
    <t>CP_BITERA</t>
  </si>
  <si>
    <t>GUWANG</t>
  </si>
  <si>
    <t>SATELIT</t>
  </si>
  <si>
    <t>GLOGOR_CARIK</t>
  </si>
  <si>
    <t>PEMENANG</t>
  </si>
  <si>
    <t>MASBAGIK_1</t>
  </si>
  <si>
    <t>TCABU021</t>
  </si>
  <si>
    <t>ADONARA</t>
  </si>
  <si>
    <t>MADAPANGGA</t>
  </si>
  <si>
    <t>PUJUT</t>
  </si>
  <si>
    <t>PEKAT</t>
  </si>
  <si>
    <t>LABUAN_HAJI</t>
  </si>
  <si>
    <t>SEKONGKANG</t>
  </si>
  <si>
    <t>UTAN_RHEE</t>
  </si>
  <si>
    <t>KEDIRI_1</t>
  </si>
  <si>
    <t>AMPENAN</t>
  </si>
  <si>
    <t>LASIANA</t>
  </si>
  <si>
    <t>ATAMBUA</t>
  </si>
  <si>
    <t>BORONG</t>
  </si>
  <si>
    <t>WOHA</t>
  </si>
  <si>
    <t>KEFAMENANU</t>
  </si>
  <si>
    <t>BETUN</t>
  </si>
  <si>
    <t>ENDE</t>
  </si>
  <si>
    <t>SELONG</t>
  </si>
  <si>
    <t>OELAMASI</t>
  </si>
  <si>
    <t>ALAK</t>
  </si>
  <si>
    <t>OEBUFU</t>
  </si>
  <si>
    <t>CAKRANEGARA</t>
  </si>
  <si>
    <t>SERUNI</t>
  </si>
  <si>
    <t>KARANG_GENTENG</t>
  </si>
  <si>
    <t>BAA</t>
  </si>
  <si>
    <t>KELAPA_LIMA</t>
  </si>
  <si>
    <t>KUPANG</t>
  </si>
  <si>
    <t>MATARAM</t>
  </si>
  <si>
    <t>WAIKABUBAK</t>
  </si>
  <si>
    <t>MAUMERE</t>
  </si>
  <si>
    <t>SOE</t>
  </si>
  <si>
    <t>AMI_SALES</t>
  </si>
  <si>
    <t>MAULAFA</t>
  </si>
  <si>
    <t>DOMPU</t>
  </si>
  <si>
    <t>WAINGAPU</t>
  </si>
  <si>
    <t>KUANINO</t>
  </si>
  <si>
    <t>RUTENG</t>
  </si>
  <si>
    <t>MBAY</t>
  </si>
  <si>
    <t>LEWOLEBA</t>
  </si>
  <si>
    <t>TAMBOLAKA</t>
  </si>
  <si>
    <t>BAJAWA</t>
  </si>
  <si>
    <t>LARANTUKA</t>
  </si>
  <si>
    <t>TODE_KISAR</t>
  </si>
  <si>
    <t>BIMA</t>
  </si>
  <si>
    <t>KALABAHI</t>
  </si>
  <si>
    <t>LABUAN_BAJO</t>
  </si>
  <si>
    <t>DASAN_CERMEN</t>
  </si>
  <si>
    <t>GIA04A</t>
  </si>
  <si>
    <t>MONJOK_1</t>
  </si>
  <si>
    <t>KETEWEL</t>
  </si>
  <si>
    <t>BAYAN_1</t>
  </si>
  <si>
    <t>KAYANGAN_1</t>
  </si>
  <si>
    <t>GIANYAR_1</t>
  </si>
  <si>
    <t>KLUMPU</t>
  </si>
  <si>
    <t>MARGA</t>
  </si>
  <si>
    <t>KLUNGKUNG_1</t>
  </si>
  <si>
    <t>MELAYA_1</t>
  </si>
  <si>
    <t>PELIATAN_1</t>
  </si>
  <si>
    <t>PAYANGAN_1</t>
  </si>
  <si>
    <t>MUNCAN_1</t>
  </si>
  <si>
    <t>MANGGIS_1</t>
  </si>
  <si>
    <t>ABANG_1</t>
  </si>
  <si>
    <t>AMLAPURA_1</t>
  </si>
  <si>
    <t>UBUD_1</t>
  </si>
  <si>
    <t>NEGARA_1</t>
  </si>
  <si>
    <t>CELUK_1</t>
  </si>
  <si>
    <t>MERITA_1</t>
  </si>
  <si>
    <t>SUKAWATI_1</t>
  </si>
  <si>
    <t>PEKUTATAN_1</t>
  </si>
  <si>
    <t>MENDOYO_1</t>
  </si>
  <si>
    <t>BULELENG_1</t>
  </si>
  <si>
    <t>ANTURAN_1</t>
  </si>
  <si>
    <t>BATURITI_1</t>
  </si>
  <si>
    <t>TEJAKULA_1</t>
  </si>
  <si>
    <t>SELEMADEG_1</t>
  </si>
  <si>
    <t>SERIRIT_1</t>
  </si>
  <si>
    <t>BUNGKULAN_1</t>
  </si>
  <si>
    <t>GEROKGAK_1</t>
  </si>
  <si>
    <t>BADUNG_SELATAN_1</t>
  </si>
  <si>
    <t>CANGGU_1</t>
  </si>
  <si>
    <t>JIMBARAN_1</t>
  </si>
  <si>
    <t>KUTA_2</t>
  </si>
  <si>
    <t>DC_KUTA_1</t>
  </si>
  <si>
    <t>UNGASAN_1</t>
  </si>
  <si>
    <t>JEMBRANA</t>
  </si>
  <si>
    <t>PRAYA_TENGAH</t>
  </si>
  <si>
    <t>KEDEWATAN</t>
  </si>
  <si>
    <t>SUMBERKIMA</t>
  </si>
  <si>
    <t>BANJAR_SGA</t>
  </si>
  <si>
    <t>LEMBONGAN</t>
  </si>
  <si>
    <t>SUKASADA</t>
  </si>
  <si>
    <t>CP_SANGSIT</t>
  </si>
  <si>
    <t>PENGADANG</t>
  </si>
  <si>
    <t>WOJA</t>
  </si>
  <si>
    <t>PRINGGABAYA</t>
  </si>
  <si>
    <t>KERUAK</t>
  </si>
  <si>
    <t>TEMBUKU</t>
  </si>
  <si>
    <t>MOYO</t>
  </si>
  <si>
    <t>MONTA</t>
  </si>
  <si>
    <t>LUNYUK</t>
  </si>
  <si>
    <t>BRANG_REA</t>
  </si>
  <si>
    <t>MPUNDA</t>
  </si>
  <si>
    <t>REMPUNG</t>
  </si>
  <si>
    <t>BANJARANGKAN</t>
  </si>
  <si>
    <t>MALUK</t>
  </si>
  <si>
    <t>BOLO</t>
  </si>
  <si>
    <t>NUSA_PENIDA</t>
  </si>
  <si>
    <t>SAKRA_BARAT</t>
  </si>
  <si>
    <t>KINTAMANI</t>
  </si>
  <si>
    <t>SAPE</t>
  </si>
  <si>
    <t>EMPANG_TARANO</t>
  </si>
  <si>
    <t>PUYUNG</t>
  </si>
  <si>
    <t>RABA_SASAMBO</t>
  </si>
  <si>
    <t>PLAMPANG</t>
  </si>
  <si>
    <t>SETELUK</t>
  </si>
  <si>
    <t>LAPE</t>
  </si>
  <si>
    <t>ALAS</t>
  </si>
  <si>
    <t>MANTANG</t>
  </si>
  <si>
    <t>NARMADA</t>
  </si>
  <si>
    <t>GUNUNG_SARI</t>
  </si>
  <si>
    <t>SIKUR</t>
  </si>
  <si>
    <t>TANAK_AWU</t>
  </si>
  <si>
    <t>SEGANTENG</t>
  </si>
  <si>
    <t>EMPANG</t>
  </si>
  <si>
    <t>SUSUT</t>
  </si>
  <si>
    <t>GERUNG</t>
  </si>
  <si>
    <t>TALIWANG</t>
  </si>
  <si>
    <t>SUMBAWA</t>
  </si>
  <si>
    <t>SEMARAPURA</t>
  </si>
  <si>
    <t>BANGLI</t>
  </si>
  <si>
    <t>KESRA</t>
  </si>
  <si>
    <t>TAMAN_SARI</t>
  </si>
  <si>
    <t>LABUAN_LOMBOK</t>
  </si>
  <si>
    <t>PUPUAN_1</t>
  </si>
  <si>
    <t>TAMAN_GRIYA_1</t>
  </si>
  <si>
    <t>SEMINYAK_1</t>
  </si>
  <si>
    <t>KELAN_1</t>
  </si>
  <si>
    <t>MERTANADI_1</t>
  </si>
  <si>
    <t>SUNSET_ROAD_1</t>
  </si>
  <si>
    <t>ABIANBASE_1</t>
  </si>
  <si>
    <t>BLAHKIUH_1</t>
  </si>
  <si>
    <t>CICA_1</t>
  </si>
  <si>
    <t>MENGWI_1</t>
  </si>
  <si>
    <t>DC_MENGWI_1</t>
  </si>
  <si>
    <t>DC_DENPASAR_SELATAN1</t>
  </si>
  <si>
    <t>NANGKA_SELATAN_1</t>
  </si>
  <si>
    <t>PEMECUTAN_1</t>
  </si>
  <si>
    <t>DENPASAR_UTARA_1</t>
  </si>
  <si>
    <t>KEBO_IWA_UTARA_1</t>
  </si>
  <si>
    <t>PEGUYANGAN_1</t>
  </si>
  <si>
    <t>KEMUDA_1</t>
  </si>
  <si>
    <t>AYANI_UTARA_1</t>
  </si>
  <si>
    <t>SESETAN_2</t>
  </si>
  <si>
    <t>GRIYA_ANYAR_1</t>
  </si>
  <si>
    <t>PUPUTAN_RENON_1</t>
  </si>
  <si>
    <t>WIBISANA_1</t>
  </si>
  <si>
    <t>KEBO_IWA_1</t>
  </si>
  <si>
    <t>DC_PULAU_MOYO_1</t>
  </si>
  <si>
    <t>PULAU_BUNGIN_1</t>
  </si>
  <si>
    <t>SIDAKARYA_1</t>
  </si>
  <si>
    <t>PEMOGAN_1</t>
  </si>
  <si>
    <t>DC_DENPASAR_BARAT_3</t>
  </si>
  <si>
    <t>SANUR_KAUH_1</t>
  </si>
  <si>
    <t>SANUR_1</t>
  </si>
  <si>
    <t>KEBO_IWA_SELATAN_1</t>
  </si>
  <si>
    <t>PADANG_SAMBIAN_1</t>
  </si>
  <si>
    <t>HAYAM_WURUK_1</t>
  </si>
  <si>
    <t>RENON_1</t>
  </si>
  <si>
    <t>MAHENDRADATTA_1</t>
  </si>
  <si>
    <t>CANDIKUNING</t>
  </si>
  <si>
    <t>SUWUNG_KAUH</t>
  </si>
  <si>
    <t>PERANG</t>
  </si>
  <si>
    <t>SEDANG</t>
  </si>
  <si>
    <t>KEROBOKAN_1</t>
  </si>
  <si>
    <t>PERMATA_HIJAU</t>
  </si>
  <si>
    <t>PURA_DEMAK</t>
  </si>
  <si>
    <t>PENEBEL</t>
  </si>
  <si>
    <t>DAUH_PEKEN_05</t>
  </si>
  <si>
    <t>KERAMBITAN_04</t>
  </si>
  <si>
    <t>COKROAMINOTO</t>
  </si>
  <si>
    <t>TUKAD_PETANU</t>
  </si>
  <si>
    <t>PANJER</t>
  </si>
  <si>
    <t>TABANANAN_01</t>
  </si>
  <si>
    <t>BADAK_AGUNG</t>
  </si>
  <si>
    <t>AYANI_UTARA2</t>
  </si>
  <si>
    <t>KARYA_MAKMUR</t>
  </si>
  <si>
    <t>DENPASAR_SELATAN_2</t>
  </si>
  <si>
    <t>PULAU_MOYO_2</t>
  </si>
  <si>
    <t>RAYA_KUTA</t>
  </si>
  <si>
    <t>BATU_BOLONG</t>
  </si>
  <si>
    <t>KESIMAN</t>
  </si>
  <si>
    <t>PADANG_UDAYANA</t>
  </si>
  <si>
    <t>CP_PEMECUTAN_KAJA</t>
  </si>
  <si>
    <t>KALIMUTU</t>
  </si>
  <si>
    <t>CP_SEMER</t>
  </si>
  <si>
    <t>KARTINI</t>
  </si>
  <si>
    <t>DENPASAR_BARAT2</t>
  </si>
  <si>
    <t>ULUWATU1</t>
  </si>
  <si>
    <t>DC_DENPASAR_BARAT</t>
  </si>
  <si>
    <t>SOPUTAN</t>
  </si>
  <si>
    <t>DENPASAR</t>
  </si>
  <si>
    <t>KUTA_SELATAN</t>
  </si>
  <si>
    <t>SIULAN</t>
  </si>
  <si>
    <t>SANUR_KAJA</t>
  </si>
  <si>
    <t>NUSA_KAMBANGAN</t>
  </si>
  <si>
    <t>MOYO_HULU</t>
  </si>
  <si>
    <t>PRAYA</t>
  </si>
  <si>
    <t>TCWHO131</t>
  </si>
  <si>
    <t>TCWHO231</t>
  </si>
  <si>
    <t>PEDUNGAN_1</t>
  </si>
  <si>
    <t>TEMBAU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</si>
  <si>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</si>
  <si>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</si>
  <si>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</si>
  <si>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</si>
  <si>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</si>
  <si>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</si>
  <si>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</si>
  <si>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</si>
  <si>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</si>
  <si>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</si>
  <si>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KUPANG_TIMUR</t>
  </si>
  <si>
    <t>a</t>
  </si>
  <si>
    <r>
      <rPr>
        <sz val="11"/>
        <color indexed="8"/>
        <rFont val="Aptos"/>
        <charset val="134"/>
      </rPr>
      <t xml:space="preserve">定义:
</t>
    </r>
    <r>
      <rPr>
        <b/>
        <sz val="11"/>
        <color rgb="FF000000"/>
        <rFont val="Aptos"/>
        <charset val="134"/>
      </rPr>
      <t xml:space="preserve">
一派质量考核项</t>
    </r>
    <r>
      <rPr>
        <sz val="11"/>
        <color rgb="FF000000"/>
        <rFont val="Aptos"/>
        <charset val="134"/>
      </rPr>
      <t xml:space="preserve">
快递员出勤准点率 = 当天当地时间06:30前打卡且当日有签收的快递员人数/ 当天已打卡且有签收的快递员人数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0730出仓率 = 0730前出仓量/ 一班应签收量
1200签收率 = 1200前签收量/ 一班应签收量
一班：散货数量,按照散货班次第一班
目标：90%
</t>
    </r>
    <r>
      <rPr>
        <b/>
        <sz val="11"/>
        <color rgb="FF000000"/>
        <rFont val="Aptos"/>
        <charset val="134"/>
      </rPr>
      <t xml:space="preserve">非平台揽收及时率
</t>
    </r>
    <r>
      <rPr>
        <sz val="11"/>
        <color indexed="8"/>
        <rFont val="Aptos"/>
        <charset val="134"/>
      </rPr>
      <t xml:space="preserve">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</t>
    </r>
    <r>
      <rPr>
        <b/>
        <sz val="11"/>
        <color rgb="FF000000"/>
        <rFont val="Aptos"/>
        <charset val="134"/>
      </rPr>
      <t>交件准点率</t>
    </r>
    <r>
      <rPr>
        <sz val="11"/>
        <color indexed="8"/>
        <rFont val="Aptos"/>
        <charset val="134"/>
      </rPr>
      <t xml:space="preserve">
JMS - 经营指标 - 时效 - 交件准点率(新)
取值时间: 按规划到件日期统计 天-1
交件准点率: 准点交件票数 / 应交件票数*100%
目标: 93%
</t>
    </r>
    <r>
      <rPr>
        <b/>
        <sz val="11"/>
        <color rgb="FF000000"/>
        <rFont val="Aptos"/>
        <charset val="134"/>
      </rPr>
      <t>全天签收率</t>
    </r>
    <r>
      <rPr>
        <sz val="11"/>
        <color indexed="8"/>
        <rFont val="Aptos"/>
        <charset val="134"/>
      </rPr>
      <t xml:space="preserve">
JMS-经营指标-末端-实际签收(半截路由)
取值时间：T-1
如果退件 = Y，预测签收时间 + 7 天
全天签收率 = 按规划时效网点当天签收票数/应签收票数 
目标：A92%，B90%，C90%
</t>
    </r>
    <r>
      <rPr>
        <b/>
        <sz val="11"/>
        <color rgb="FF000000"/>
        <rFont val="Aptos"/>
        <charset val="134"/>
      </rPr>
      <t>非平台COD退件率</t>
    </r>
    <r>
      <rPr>
        <sz val="11"/>
        <color indexed="8"/>
        <rFont val="Aptos"/>
        <charset val="134"/>
      </rPr>
      <t xml:space="preserve">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</si>
  <si>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
Penilaian Kualitas Delivery Ritase Pertama
</t>
    </r>
    <r>
      <rPr>
        <sz val="11"/>
        <color rgb="FF000000"/>
        <rFont val="Aptos"/>
        <charset val="134"/>
      </rPr>
      <t>Tingkat Ketepatan Waktu Kehadiran Spirnter = Jumlah sprinter yang melakukan absen sebelum 06.30 waktu setempat dan melakukan TTD/ jumlah sprinter yang melakukan absen dan melakukan TTD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Persentase Deliv 7.30 = Total delivery sebelum jam 7.30/ Total Seharusnya TTD Rit 1
Persentase TTD 12.00 = Total TTD sebelum  jam 1200/ Total seharusnya TTD Rit 1
Ritase Pertama: Jumlah penyebaran paket massal kargo Rit 1
Target : 90%
</t>
    </r>
    <r>
      <rPr>
        <b/>
        <sz val="11"/>
        <color rgb="FF000000"/>
        <rFont val="Aptos"/>
        <charset val="134"/>
      </rPr>
      <t>PU Rate Non-ecomm</t>
    </r>
    <r>
      <rPr>
        <sz val="11"/>
        <color indexed="8"/>
        <rFont val="Aptos"/>
        <charset val="134"/>
      </rPr>
      <t xml:space="preserve">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</si>
  <si>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PU Rate Non-ecomm
</t>
    </r>
    <r>
      <rPr>
        <sz val="11"/>
        <color rgb="FF000000"/>
        <rFont val="Aptos"/>
        <charset val="134"/>
      </rPr>
      <t>JMS - Penilaian - SLA - SLA Order PU - Deliv (Refine)-</t>
    </r>
    <r>
      <rPr>
        <sz val="11"/>
        <color indexed="8"/>
        <rFont val="Aptos"/>
        <charset val="134"/>
      </rPr>
      <t xml:space="preserve">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Persentase TTD EZ 3 Hari 3 kali Delivery</t>
    </r>
    <r>
      <rPr>
        <sz val="11"/>
        <color indexed="8"/>
        <rFont val="Aptos"/>
        <charset val="134"/>
      </rPr>
      <t xml:space="preserve">
JMS-Penilaian-Incoming-TTD Aktual(Rute Statis)
Waktu Penarikan: T-3, Jenis Layanan: EZ, Status Retur: N
Persentase TTD EZ 3 Hari 3 kali Delivery = jumlah pesanan EZ yang ditandatangani dalam 3 hari / jumlah pesanan EZ yang seharusnya ditandatangani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</r>
  </si>
  <si>
    <t>商业模式 Model Bisnis</t>
  </si>
  <si>
    <t>Franchise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</si>
</sst>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###,###,###,###,###,##0.00%"/>
  </numFmts>
  <fonts count="43">
    <font>
      <sz val="11"/>
      <color theme="1"/>
      <name val="Calibri"/>
      <charset val="134"/>
      <scheme val="minor"/>
    </font>
    <font>
      <b/>
      <sz val="11"/>
      <color rgb="FFFFFFFF"/>
      <name val="Aptos"/>
      <charset val="134"/>
    </font>
    <font>
      <b/>
      <sz val="11"/>
      <color rgb="FFFFFFFF"/>
      <name val="Calibri"/>
      <charset val="134"/>
      <scheme val="minor"/>
    </font>
    <font>
      <sz val="11"/>
      <color indexed="8"/>
      <name val="Aptos"/>
      <charset val="134"/>
    </font>
    <font>
      <sz val="11"/>
      <color rgb="FFFF0000"/>
      <name val="Aptos"/>
      <charset val="134"/>
    </font>
    <font>
      <b/>
      <sz val="22"/>
      <color rgb="FFFFFFFF"/>
      <name val="Aptos"/>
      <charset val="134"/>
    </font>
    <font>
      <sz val="11"/>
      <color theme="1"/>
      <name val="Aptos"/>
      <charset val="134"/>
    </font>
    <font>
      <b/>
      <sz val="11"/>
      <color rgb="FFFFFFFF"/>
      <name val="SimSun"/>
      <charset val="134"/>
    </font>
    <font>
      <b/>
      <sz val="11"/>
      <color rgb="FFFFFFFF"/>
      <name val="Microsoft YaHei"/>
      <charset val="134"/>
    </font>
    <font>
      <sz val="11"/>
      <color indexed="8"/>
      <name val="Calibri"/>
      <charset val="134"/>
      <scheme val="minor"/>
    </font>
    <font>
      <sz val="11"/>
      <color theme="1"/>
      <name val="DengXian"/>
      <charset val="134"/>
    </font>
    <font>
      <sz val="11"/>
      <color rgb="FF000000"/>
      <name val="DengXian"/>
      <charset val="134"/>
    </font>
    <font>
      <sz val="11"/>
      <color rgb="FF000000"/>
      <name val="Calibri"/>
      <charset val="134"/>
      <scheme val="minor"/>
    </font>
    <font>
      <sz val="11"/>
      <color rgb="FF000000"/>
      <name val="Arial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</font>
    <font>
      <sz val="11"/>
      <color theme="1" tint="0.0499893185216834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ptos"/>
      <charset val="134"/>
    </font>
    <font>
      <b/>
      <sz val="11"/>
      <color theme="0"/>
      <name val="Calibri"/>
      <charset val="134"/>
      <scheme val="minor"/>
    </font>
    <font>
      <b/>
      <sz val="11"/>
      <name val="Apto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000000"/>
      <name val="Aptos"/>
      <charset val="134"/>
    </font>
    <font>
      <sz val="11"/>
      <color rgb="FF000000"/>
      <name val="Aptos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11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5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 style="thin">
        <color rgb="FFFFCCCC"/>
      </right>
      <top style="thin">
        <color rgb="FFFFCCCC"/>
      </top>
      <bottom/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9" tint="0.399945066682943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/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/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/>
      <diagonal/>
    </border>
    <border>
      <left style="medium">
        <color theme="9" tint="0.399945066682943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medium">
        <color theme="9" tint="0.399945066682943"/>
      </left>
      <right/>
      <top/>
      <bottom style="medium">
        <color theme="9" tint="0.399945066682943"/>
      </bottom>
      <diagonal/>
    </border>
    <border>
      <left/>
      <right/>
      <top style="medium">
        <color rgb="FFFF7C80"/>
      </top>
      <bottom style="medium">
        <color theme="9" tint="0.399945066682943"/>
      </bottom>
      <diagonal/>
    </border>
    <border>
      <left/>
      <right/>
      <top/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45066682943"/>
      </top>
      <bottom style="thin">
        <color theme="0"/>
      </bottom>
      <diagonal/>
    </border>
    <border>
      <left/>
      <right/>
      <top style="medium">
        <color theme="9" tint="0.399945066682943"/>
      </top>
      <bottom style="thin">
        <color theme="0"/>
      </bottom>
      <diagonal/>
    </border>
    <border>
      <left/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medium">
        <color rgb="FFFF7C80"/>
      </top>
      <bottom style="medium">
        <color theme="9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8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8" applyNumberFormat="0" applyFill="0" applyAlignment="0" applyProtection="0">
      <alignment vertical="center"/>
    </xf>
    <xf numFmtId="0" fontId="27" fillId="0" borderId="88" applyNumberFormat="0" applyFill="0" applyAlignment="0" applyProtection="0">
      <alignment vertical="center"/>
    </xf>
    <xf numFmtId="0" fontId="28" fillId="0" borderId="8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90" applyNumberFormat="0" applyAlignment="0" applyProtection="0">
      <alignment vertical="center"/>
    </xf>
    <xf numFmtId="0" fontId="30" fillId="16" borderId="91" applyNumberFormat="0" applyAlignment="0" applyProtection="0">
      <alignment vertical="center"/>
    </xf>
    <xf numFmtId="0" fontId="31" fillId="16" borderId="90" applyNumberFormat="0" applyAlignment="0" applyProtection="0">
      <alignment vertical="center"/>
    </xf>
    <xf numFmtId="0" fontId="32" fillId="17" borderId="92" applyNumberFormat="0" applyAlignment="0" applyProtection="0">
      <alignment vertical="center"/>
    </xf>
    <xf numFmtId="0" fontId="33" fillId="0" borderId="93" applyNumberFormat="0" applyFill="0" applyAlignment="0" applyProtection="0">
      <alignment vertical="center"/>
    </xf>
    <xf numFmtId="0" fontId="34" fillId="0" borderId="94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40" fillId="0" borderId="0">
      <alignment vertical="center"/>
    </xf>
    <xf numFmtId="9" fontId="40" fillId="0" borderId="0" applyFont="0" applyFill="0" applyBorder="0" applyAlignment="0" applyProtection="0">
      <alignment vertical="center"/>
    </xf>
  </cellStyleXfs>
  <cellXfs count="2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3" borderId="10" xfId="0" applyFont="1" applyFill="1" applyBorder="1">
      <alignment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3" borderId="13" xfId="0" applyFont="1" applyFill="1" applyBorder="1">
      <alignment vertical="center"/>
    </xf>
    <xf numFmtId="0" fontId="0" fillId="0" borderId="14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0" fontId="3" fillId="3" borderId="13" xfId="0" applyNumberFormat="1" applyFont="1" applyFill="1" applyBorder="1">
      <alignment vertical="center"/>
    </xf>
    <xf numFmtId="10" fontId="0" fillId="0" borderId="14" xfId="0" applyNumberFormat="1" applyBorder="1">
      <alignment vertical="center"/>
    </xf>
    <xf numFmtId="10" fontId="0" fillId="0" borderId="14" xfId="0" applyNumberFormat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10" fontId="3" fillId="3" borderId="16" xfId="0" applyNumberFormat="1" applyFont="1" applyFill="1" applyBorder="1">
      <alignment vertical="center"/>
    </xf>
    <xf numFmtId="10" fontId="0" fillId="0" borderId="17" xfId="0" applyNumberFormat="1" applyBorder="1">
      <alignment vertical="center"/>
    </xf>
    <xf numFmtId="10" fontId="0" fillId="0" borderId="17" xfId="0" applyNumberFormat="1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0" fontId="3" fillId="4" borderId="0" xfId="0" applyFont="1" applyFill="1" applyAlignment="1"/>
    <xf numFmtId="0" fontId="3" fillId="5" borderId="0" xfId="0" applyFont="1" applyFill="1" applyAlignment="1"/>
    <xf numFmtId="0" fontId="3" fillId="6" borderId="0" xfId="0" applyFont="1" applyFill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 applyAlignment="1"/>
    <xf numFmtId="0" fontId="3" fillId="7" borderId="0" xfId="0" applyFont="1" applyFill="1" applyAlignment="1"/>
    <xf numFmtId="0" fontId="5" fillId="7" borderId="0" xfId="0" applyFont="1" applyFill="1" applyAlignment="1">
      <alignment horizontal="center" vertical="center" wrapText="1"/>
    </xf>
    <xf numFmtId="0" fontId="4" fillId="7" borderId="0" xfId="0" applyFont="1" applyFill="1" applyAlignment="1"/>
    <xf numFmtId="58" fontId="3" fillId="0" borderId="0" xfId="0" applyNumberFormat="1" applyFont="1" applyAlignment="1"/>
    <xf numFmtId="0" fontId="3" fillId="3" borderId="0" xfId="0" applyFont="1" applyFill="1" applyAlignment="1"/>
    <xf numFmtId="0" fontId="5" fillId="3" borderId="0" xfId="0" applyFont="1" applyFill="1" applyAlignment="1">
      <alignment horizontal="center" vertical="center" wrapText="1"/>
    </xf>
    <xf numFmtId="0" fontId="6" fillId="3" borderId="19" xfId="0" applyFont="1" applyFill="1" applyBorder="1" applyAlignment="1">
      <alignment horizontal="left" vertical="top" wrapText="1"/>
    </xf>
    <xf numFmtId="0" fontId="6" fillId="3" borderId="20" xfId="0" applyFont="1" applyFill="1" applyBorder="1" applyAlignment="1">
      <alignment horizontal="left" vertical="top" wrapText="1"/>
    </xf>
    <xf numFmtId="0" fontId="6" fillId="3" borderId="21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8" fillId="2" borderId="6" xfId="5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80" fontId="3" fillId="0" borderId="0" xfId="0" applyNumberFormat="1" applyFont="1" applyAlignment="1"/>
    <xf numFmtId="0" fontId="1" fillId="2" borderId="34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58" fontId="1" fillId="2" borderId="9" xfId="0" applyNumberFormat="1" applyFont="1" applyFill="1" applyBorder="1" applyAlignment="1">
      <alignment horizontal="center" vertical="center" wrapText="1"/>
    </xf>
    <xf numFmtId="180" fontId="1" fillId="2" borderId="9" xfId="0" applyNumberFormat="1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3" fillId="8" borderId="38" xfId="0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10" fontId="3" fillId="9" borderId="39" xfId="3" applyNumberFormat="1" applyFont="1" applyFill="1" applyBorder="1" applyAlignment="1">
      <alignment horizontal="center"/>
    </xf>
    <xf numFmtId="181" fontId="3" fillId="0" borderId="39" xfId="0" applyNumberFormat="1" applyFont="1" applyBorder="1" applyAlignment="1">
      <alignment horizontal="center" vertical="center"/>
    </xf>
    <xf numFmtId="181" fontId="3" fillId="0" borderId="40" xfId="0" applyNumberFormat="1" applyFont="1" applyBorder="1" applyAlignment="1">
      <alignment horizontal="center" vertical="center"/>
    </xf>
    <xf numFmtId="10" fontId="9" fillId="9" borderId="0" xfId="3" applyNumberFormat="1" applyFont="1" applyFill="1" applyBorder="1" applyAlignment="1">
      <alignment horizontal="center" vertical="center"/>
    </xf>
    <xf numFmtId="181" fontId="3" fillId="0" borderId="41" xfId="0" applyNumberFormat="1" applyFont="1" applyBorder="1" applyAlignment="1">
      <alignment horizontal="center" vertical="center"/>
    </xf>
    <xf numFmtId="10" fontId="3" fillId="0" borderId="39" xfId="3" applyNumberFormat="1" applyFont="1" applyFill="1" applyBorder="1" applyAlignment="1">
      <alignment horizontal="center"/>
    </xf>
    <xf numFmtId="10" fontId="3" fillId="0" borderId="40" xfId="3" applyNumberFormat="1" applyFont="1" applyFill="1" applyBorder="1" applyAlignment="1">
      <alignment horizontal="center"/>
    </xf>
    <xf numFmtId="181" fontId="9" fillId="9" borderId="0" xfId="0" applyNumberFormat="1" applyFont="1" applyFill="1" applyAlignment="1">
      <alignment horizontal="center" vertical="center"/>
    </xf>
    <xf numFmtId="10" fontId="3" fillId="0" borderId="41" xfId="3" applyNumberFormat="1" applyFont="1" applyBorder="1" applyAlignment="1">
      <alignment horizontal="center"/>
    </xf>
    <xf numFmtId="10" fontId="3" fillId="0" borderId="39" xfId="3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4" borderId="38" xfId="0" applyFont="1" applyFill="1" applyBorder="1">
      <alignment vertic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10" fontId="3" fillId="4" borderId="39" xfId="3" applyNumberFormat="1" applyFont="1" applyFill="1" applyBorder="1" applyAlignment="1">
      <alignment horizontal="center"/>
    </xf>
    <xf numFmtId="181" fontId="3" fillId="4" borderId="39" xfId="0" applyNumberFormat="1" applyFont="1" applyFill="1" applyBorder="1" applyAlignment="1">
      <alignment horizontal="center" vertical="center"/>
    </xf>
    <xf numFmtId="181" fontId="3" fillId="4" borderId="40" xfId="0" applyNumberFormat="1" applyFont="1" applyFill="1" applyBorder="1" applyAlignment="1">
      <alignment horizontal="center" vertical="center"/>
    </xf>
    <xf numFmtId="181" fontId="3" fillId="4" borderId="41" xfId="0" applyNumberFormat="1" applyFont="1" applyFill="1" applyBorder="1" applyAlignment="1">
      <alignment horizontal="center" vertical="center"/>
    </xf>
    <xf numFmtId="10" fontId="9" fillId="4" borderId="0" xfId="3" applyNumberFormat="1" applyFont="1" applyFill="1" applyBorder="1" applyAlignment="1">
      <alignment horizontal="center" vertical="center"/>
    </xf>
    <xf numFmtId="181" fontId="3" fillId="4" borderId="42" xfId="0" applyNumberFormat="1" applyFont="1" applyFill="1" applyBorder="1" applyAlignment="1">
      <alignment horizontal="center" vertical="center"/>
    </xf>
    <xf numFmtId="0" fontId="9" fillId="8" borderId="0" xfId="0" applyFont="1" applyFill="1" applyAlignment="1">
      <alignment horizontal="left" vertical="center"/>
    </xf>
    <xf numFmtId="0" fontId="10" fillId="0" borderId="0" xfId="0" applyFont="1" applyAlignment="1"/>
    <xf numFmtId="0" fontId="9" fillId="4" borderId="0" xfId="0" applyFont="1" applyFill="1" applyAlignment="1">
      <alignment horizontal="left" vertical="center"/>
    </xf>
    <xf numFmtId="0" fontId="9" fillId="4" borderId="0" xfId="0" applyFont="1" applyFill="1">
      <alignment vertical="center"/>
    </xf>
    <xf numFmtId="0" fontId="11" fillId="0" borderId="0" xfId="0" applyFont="1" applyAlignment="1">
      <alignment horizontal="left" vertical="center"/>
    </xf>
    <xf numFmtId="181" fontId="3" fillId="9" borderId="39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10" fontId="3" fillId="4" borderId="41" xfId="3" applyNumberFormat="1" applyFont="1" applyFill="1" applyBorder="1" applyAlignment="1">
      <alignment horizontal="center"/>
    </xf>
    <xf numFmtId="0" fontId="9" fillId="1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10" fontId="4" fillId="4" borderId="41" xfId="3" applyNumberFormat="1" applyFont="1" applyFill="1" applyBorder="1" applyAlignment="1">
      <alignment horizontal="center"/>
    </xf>
    <xf numFmtId="181" fontId="4" fillId="4" borderId="39" xfId="0" applyNumberFormat="1" applyFont="1" applyFill="1" applyBorder="1" applyAlignment="1">
      <alignment horizontal="center" vertical="center"/>
    </xf>
    <xf numFmtId="10" fontId="4" fillId="4" borderId="39" xfId="3" applyNumberFormat="1" applyFont="1" applyFill="1" applyBorder="1" applyAlignment="1">
      <alignment horizontal="center"/>
    </xf>
    <xf numFmtId="0" fontId="9" fillId="0" borderId="0" xfId="0" applyFont="1">
      <alignment vertical="center"/>
    </xf>
    <xf numFmtId="0" fontId="0" fillId="0" borderId="0" xfId="0" applyAlignment="1"/>
    <xf numFmtId="0" fontId="10" fillId="0" borderId="0" xfId="0" applyFont="1">
      <alignment vertical="center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10" fontId="3" fillId="4" borderId="0" xfId="3" applyNumberFormat="1" applyFont="1" applyFill="1" applyBorder="1" applyAlignment="1">
      <alignment horizontal="center"/>
    </xf>
    <xf numFmtId="181" fontId="3" fillId="4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8" borderId="43" xfId="0" applyFont="1" applyFill="1" applyBorder="1" applyAlignment="1">
      <alignment horizontal="left" vertical="center"/>
    </xf>
    <xf numFmtId="0" fontId="12" fillId="0" borderId="44" xfId="0" applyFont="1" applyBorder="1" applyAlignment="1">
      <alignment horizontal="left" vertical="center"/>
    </xf>
    <xf numFmtId="0" fontId="12" fillId="0" borderId="45" xfId="0" applyFont="1" applyBorder="1" applyAlignment="1">
      <alignment horizontal="left" vertical="center"/>
    </xf>
    <xf numFmtId="0" fontId="12" fillId="0" borderId="44" xfId="0" applyFont="1" applyBorder="1" applyAlignment="1">
      <alignment horizontal="left"/>
    </xf>
    <xf numFmtId="0" fontId="12" fillId="0" borderId="45" xfId="0" applyFont="1" applyBorder="1" applyAlignment="1">
      <alignment horizontal="left"/>
    </xf>
    <xf numFmtId="0" fontId="12" fillId="0" borderId="44" xfId="0" applyFont="1" applyBorder="1" applyAlignment="1"/>
    <xf numFmtId="0" fontId="12" fillId="0" borderId="45" xfId="0" applyFont="1" applyBorder="1" applyAlignment="1"/>
    <xf numFmtId="0" fontId="12" fillId="11" borderId="44" xfId="0" applyFont="1" applyFill="1" applyBorder="1" applyAlignment="1">
      <alignment horizontal="left"/>
    </xf>
    <xf numFmtId="0" fontId="12" fillId="11" borderId="45" xfId="0" applyFont="1" applyFill="1" applyBorder="1" applyAlignment="1">
      <alignment horizontal="left"/>
    </xf>
    <xf numFmtId="0" fontId="9" fillId="11" borderId="44" xfId="0" applyFont="1" applyFill="1" applyBorder="1">
      <alignment vertical="center"/>
    </xf>
    <xf numFmtId="0" fontId="9" fillId="11" borderId="45" xfId="0" applyFont="1" applyFill="1" applyBorder="1">
      <alignment vertical="center"/>
    </xf>
    <xf numFmtId="0" fontId="12" fillId="11" borderId="44" xfId="0" applyFont="1" applyFill="1" applyBorder="1" applyAlignment="1">
      <alignment horizontal="left" vertical="center"/>
    </xf>
    <xf numFmtId="0" fontId="12" fillId="11" borderId="45" xfId="0" applyFont="1" applyFill="1" applyBorder="1" applyAlignment="1">
      <alignment horizontal="left" vertical="center"/>
    </xf>
    <xf numFmtId="181" fontId="3" fillId="6" borderId="39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181" fontId="3" fillId="6" borderId="0" xfId="0" applyNumberFormat="1" applyFont="1" applyFill="1" applyAlignment="1">
      <alignment horizontal="center" vertical="center"/>
    </xf>
    <xf numFmtId="0" fontId="16" fillId="0" borderId="0" xfId="0" applyFont="1" applyAlignment="1"/>
    <xf numFmtId="0" fontId="16" fillId="0" borderId="0" xfId="49" applyFont="1"/>
    <xf numFmtId="0" fontId="17" fillId="0" borderId="0" xfId="0" applyFont="1" applyAlignment="1"/>
    <xf numFmtId="0" fontId="1" fillId="2" borderId="46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10" fontId="1" fillId="2" borderId="48" xfId="3" applyNumberFormat="1" applyFont="1" applyFill="1" applyBorder="1" applyAlignment="1">
      <alignment horizontal="center" vertical="center" wrapText="1"/>
    </xf>
    <xf numFmtId="10" fontId="1" fillId="12" borderId="48" xfId="3" applyNumberFormat="1" applyFont="1" applyFill="1" applyBorder="1" applyAlignment="1">
      <alignment horizontal="center" vertical="center" wrapText="1"/>
    </xf>
    <xf numFmtId="181" fontId="18" fillId="12" borderId="39" xfId="0" applyNumberFormat="1" applyFont="1" applyFill="1" applyBorder="1" applyAlignment="1">
      <alignment horizontal="center" vertical="center"/>
    </xf>
    <xf numFmtId="10" fontId="18" fillId="12" borderId="48" xfId="3" applyNumberFormat="1" applyFont="1" applyFill="1" applyBorder="1" applyAlignment="1">
      <alignment horizontal="center" vertical="center" wrapText="1"/>
    </xf>
    <xf numFmtId="10" fontId="19" fillId="12" borderId="0" xfId="3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0" fontId="1" fillId="3" borderId="0" xfId="3" applyNumberFormat="1" applyFont="1" applyFill="1" applyBorder="1" applyAlignment="1">
      <alignment horizontal="center" vertical="center" wrapText="1"/>
    </xf>
    <xf numFmtId="10" fontId="20" fillId="3" borderId="0" xfId="3" applyNumberFormat="1" applyFont="1" applyFill="1" applyBorder="1" applyAlignment="1">
      <alignment horizontal="center" vertical="center" wrapText="1"/>
    </xf>
    <xf numFmtId="0" fontId="4" fillId="7" borderId="0" xfId="0" applyFont="1" applyFill="1" applyAlignment="1">
      <alignment wrapText="1"/>
    </xf>
    <xf numFmtId="0" fontId="4" fillId="7" borderId="0" xfId="0" applyFont="1" applyFill="1" applyAlignment="1">
      <alignment horizontal="center" vertical="center"/>
    </xf>
    <xf numFmtId="10" fontId="4" fillId="7" borderId="0" xfId="3" applyNumberFormat="1" applyFont="1" applyFill="1" applyBorder="1" applyAlignment="1">
      <alignment horizontal="center"/>
    </xf>
    <xf numFmtId="181" fontId="4" fillId="7" borderId="0" xfId="0" applyNumberFormat="1" applyFont="1" applyFill="1" applyAlignment="1">
      <alignment horizontal="center" vertical="center"/>
    </xf>
    <xf numFmtId="0" fontId="3" fillId="0" borderId="4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0" xfId="0" applyFont="1" applyBorder="1" applyAlignment="1">
      <alignment horizontal="left" vertical="top" wrapText="1"/>
    </xf>
    <xf numFmtId="0" fontId="3" fillId="0" borderId="51" xfId="0" applyFont="1" applyBorder="1" applyAlignment="1">
      <alignment horizontal="left" vertical="top" wrapText="1"/>
    </xf>
    <xf numFmtId="0" fontId="3" fillId="0" borderId="52" xfId="0" applyFont="1" applyBorder="1" applyAlignment="1">
      <alignment horizontal="left" vertical="top" wrapText="1"/>
    </xf>
    <xf numFmtId="0" fontId="3" fillId="0" borderId="53" xfId="0" applyFont="1" applyBorder="1" applyAlignment="1">
      <alignment horizontal="left" vertical="top" wrapText="1"/>
    </xf>
    <xf numFmtId="0" fontId="3" fillId="0" borderId="54" xfId="0" applyFont="1" applyBorder="1" applyAlignment="1">
      <alignment horizontal="left" vertical="top" wrapText="1"/>
    </xf>
    <xf numFmtId="0" fontId="3" fillId="0" borderId="55" xfId="0" applyFont="1" applyBorder="1" applyAlignment="1">
      <alignment horizontal="left" vertical="top" wrapText="1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58" fontId="2" fillId="2" borderId="9" xfId="0" applyNumberFormat="1" applyFont="1" applyFill="1" applyBorder="1" applyAlignment="1">
      <alignment horizontal="center" vertical="center" wrapText="1"/>
    </xf>
    <xf numFmtId="180" fontId="2" fillId="2" borderId="9" xfId="0" applyNumberFormat="1" applyFont="1" applyFill="1" applyBorder="1" applyAlignment="1">
      <alignment horizontal="center" vertical="center" wrapText="1"/>
    </xf>
    <xf numFmtId="0" fontId="9" fillId="0" borderId="60" xfId="0" applyFont="1" applyBorder="1" applyAlignment="1">
      <alignment horizontal="center" vertical="center" wrapText="1"/>
    </xf>
    <xf numFmtId="0" fontId="9" fillId="0" borderId="61" xfId="0" applyFont="1" applyBorder="1" applyAlignment="1">
      <alignment horizontal="center" vertical="center"/>
    </xf>
    <xf numFmtId="10" fontId="9" fillId="13" borderId="61" xfId="3" applyNumberFormat="1" applyFont="1" applyFill="1" applyBorder="1" applyAlignment="1">
      <alignment horizontal="center"/>
    </xf>
    <xf numFmtId="10" fontId="9" fillId="0" borderId="61" xfId="3" applyNumberFormat="1" applyFont="1" applyFill="1" applyBorder="1" applyAlignment="1">
      <alignment horizontal="center"/>
    </xf>
    <xf numFmtId="181" fontId="9" fillId="13" borderId="61" xfId="0" applyNumberFormat="1" applyFont="1" applyFill="1" applyBorder="1" applyAlignment="1">
      <alignment horizontal="center" vertical="center"/>
    </xf>
    <xf numFmtId="10" fontId="9" fillId="0" borderId="61" xfId="3" applyNumberFormat="1" applyFont="1" applyBorder="1" applyAlignment="1">
      <alignment horizontal="center"/>
    </xf>
    <xf numFmtId="0" fontId="9" fillId="0" borderId="62" xfId="0" applyFont="1" applyBorder="1" applyAlignment="1">
      <alignment horizontal="center" vertical="center" wrapText="1"/>
    </xf>
    <xf numFmtId="0" fontId="9" fillId="0" borderId="63" xfId="0" applyFont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10" fontId="2" fillId="7" borderId="67" xfId="3" applyNumberFormat="1" applyFont="1" applyFill="1" applyBorder="1" applyAlignment="1">
      <alignment horizontal="center" vertical="center" wrapText="1"/>
    </xf>
    <xf numFmtId="10" fontId="19" fillId="7" borderId="67" xfId="3" applyNumberFormat="1" applyFont="1" applyFill="1" applyBorder="1" applyAlignment="1">
      <alignment horizontal="center" vertical="center" wrapText="1"/>
    </xf>
    <xf numFmtId="10" fontId="2" fillId="2" borderId="68" xfId="3" applyNumberFormat="1" applyFont="1" applyFill="1" applyBorder="1" applyAlignment="1">
      <alignment horizontal="center" vertical="center" wrapText="1"/>
    </xf>
    <xf numFmtId="0" fontId="1" fillId="2" borderId="69" xfId="0" applyFont="1" applyFill="1" applyBorder="1" applyAlignment="1">
      <alignment horizontal="center" vertical="center" wrapText="1"/>
    </xf>
    <xf numFmtId="0" fontId="7" fillId="2" borderId="70" xfId="0" applyFont="1" applyFill="1" applyBorder="1" applyAlignment="1">
      <alignment horizontal="center" vertical="center" wrapText="1"/>
    </xf>
    <xf numFmtId="0" fontId="7" fillId="2" borderId="71" xfId="0" applyFont="1" applyFill="1" applyBorder="1" applyAlignment="1">
      <alignment horizontal="center" vertical="center" wrapText="1"/>
    </xf>
    <xf numFmtId="0" fontId="2" fillId="2" borderId="72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73" xfId="0" applyFont="1" applyFill="1" applyBorder="1" applyAlignment="1">
      <alignment horizontal="center" vertical="center" wrapText="1"/>
    </xf>
    <xf numFmtId="0" fontId="1" fillId="2" borderId="30" xfId="50" applyFont="1" applyFill="1" applyBorder="1" applyAlignment="1">
      <alignment horizontal="center" vertical="center" wrapText="1"/>
    </xf>
    <xf numFmtId="0" fontId="8" fillId="2" borderId="27" xfId="50" applyFont="1" applyFill="1" applyBorder="1" applyAlignment="1">
      <alignment horizontal="center" vertical="center" wrapText="1"/>
    </xf>
    <xf numFmtId="0" fontId="8" fillId="2" borderId="74" xfId="5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58" fontId="2" fillId="2" borderId="76" xfId="0" applyNumberFormat="1" applyFont="1" applyFill="1" applyBorder="1" applyAlignment="1">
      <alignment horizontal="center" vertical="center" wrapText="1"/>
    </xf>
    <xf numFmtId="10" fontId="9" fillId="13" borderId="61" xfId="0" applyNumberFormat="1" applyFont="1" applyFill="1" applyBorder="1" applyAlignment="1">
      <alignment horizontal="center" vertical="center"/>
    </xf>
    <xf numFmtId="10" fontId="9" fillId="0" borderId="61" xfId="0" applyNumberFormat="1" applyFont="1" applyBorder="1" applyAlignment="1">
      <alignment horizontal="center" vertical="center"/>
    </xf>
    <xf numFmtId="181" fontId="9" fillId="0" borderId="61" xfId="0" applyNumberFormat="1" applyFont="1" applyBorder="1" applyAlignment="1">
      <alignment horizontal="center" vertical="center"/>
    </xf>
    <xf numFmtId="10" fontId="2" fillId="2" borderId="66" xfId="3" applyNumberFormat="1" applyFont="1" applyFill="1" applyBorder="1" applyAlignment="1">
      <alignment horizontal="center" vertical="center" wrapText="1"/>
    </xf>
    <xf numFmtId="10" fontId="2" fillId="2" borderId="77" xfId="3" applyNumberFormat="1" applyFont="1" applyFill="1" applyBorder="1" applyAlignment="1">
      <alignment horizontal="center" vertical="center" wrapText="1"/>
    </xf>
    <xf numFmtId="10" fontId="2" fillId="7" borderId="78" xfId="3" applyNumberFormat="1" applyFont="1" applyFill="1" applyBorder="1" applyAlignment="1">
      <alignment horizontal="center" vertical="center" wrapText="1"/>
    </xf>
    <xf numFmtId="10" fontId="2" fillId="7" borderId="79" xfId="3" applyNumberFormat="1" applyFont="1" applyFill="1" applyBorder="1" applyAlignment="1">
      <alignment horizontal="center" vertical="center" wrapText="1"/>
    </xf>
    <xf numFmtId="10" fontId="2" fillId="2" borderId="67" xfId="3" applyNumberFormat="1" applyFont="1" applyFill="1" applyBorder="1" applyAlignment="1">
      <alignment horizontal="center" vertical="center" wrapText="1"/>
    </xf>
    <xf numFmtId="0" fontId="2" fillId="2" borderId="69" xfId="0" applyFont="1" applyFill="1" applyBorder="1" applyAlignment="1">
      <alignment horizontal="center" vertical="center" wrapText="1"/>
    </xf>
    <xf numFmtId="0" fontId="2" fillId="2" borderId="80" xfId="0" applyFont="1" applyFill="1" applyBorder="1" applyAlignment="1">
      <alignment horizontal="center" vertical="center" wrapText="1"/>
    </xf>
    <xf numFmtId="0" fontId="2" fillId="2" borderId="81" xfId="0" applyFont="1" applyFill="1" applyBorder="1" applyAlignment="1">
      <alignment horizontal="center" vertical="center" wrapText="1"/>
    </xf>
    <xf numFmtId="0" fontId="2" fillId="2" borderId="82" xfId="0" applyFont="1" applyFill="1" applyBorder="1" applyAlignment="1">
      <alignment horizontal="center" vertical="center" wrapText="1"/>
    </xf>
    <xf numFmtId="0" fontId="2" fillId="2" borderId="83" xfId="0" applyFont="1" applyFill="1" applyBorder="1" applyAlignment="1">
      <alignment horizontal="center" vertical="center" wrapText="1"/>
    </xf>
    <xf numFmtId="180" fontId="2" fillId="2" borderId="83" xfId="0" applyNumberFormat="1" applyFont="1" applyFill="1" applyBorder="1" applyAlignment="1">
      <alignment horizontal="center" vertical="center" wrapText="1"/>
    </xf>
    <xf numFmtId="58" fontId="2" fillId="2" borderId="83" xfId="0" applyNumberFormat="1" applyFont="1" applyFill="1" applyBorder="1" applyAlignment="1">
      <alignment horizontal="center" vertical="center" wrapText="1"/>
    </xf>
    <xf numFmtId="0" fontId="2" fillId="2" borderId="84" xfId="0" applyFont="1" applyFill="1" applyBorder="1" applyAlignment="1">
      <alignment horizontal="center" vertical="center" wrapText="1"/>
    </xf>
    <xf numFmtId="10" fontId="9" fillId="13" borderId="61" xfId="3" applyNumberFormat="1" applyFont="1" applyFill="1" applyBorder="1" applyAlignment="1">
      <alignment horizontal="center" vertical="center"/>
    </xf>
    <xf numFmtId="10" fontId="17" fillId="0" borderId="61" xfId="0" applyNumberFormat="1" applyFont="1" applyBorder="1" applyAlignment="1">
      <alignment horizontal="center" vertical="center"/>
    </xf>
    <xf numFmtId="10" fontId="2" fillId="2" borderId="85" xfId="3" applyNumberFormat="1" applyFont="1" applyFill="1" applyBorder="1" applyAlignment="1">
      <alignment horizontal="center" vertical="center" wrapText="1"/>
    </xf>
    <xf numFmtId="10" fontId="2" fillId="7" borderId="86" xfId="3" applyNumberFormat="1" applyFont="1" applyFill="1" applyBorder="1" applyAlignment="1">
      <alignment horizontal="center" vertical="center" wrapText="1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Data%20Dashboard%20Denni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r DP"/>
      <sheetName val="Raw Abnsensi"/>
      <sheetName val="Raw Abnsensi (2)"/>
      <sheetName val="Raw Deliv TTD 730 1200"/>
      <sheetName val="TTD rit 2"/>
      <sheetName val="Raw TPTW TTD"/>
      <sheetName val="Raw PU Non Ecom"/>
      <sheetName val="Raw Retur COD Non Ecom"/>
      <sheetName val="非平台目标 Target Non E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topLeftCell="F2" workbookViewId="0">
      <selection activeCell="F4" sqref="F4"/>
    </sheetView>
  </sheetViews>
  <sheetFormatPr defaultColWidth="8.78181818181818" defaultRowHeight="14.5"/>
  <cols>
    <col min="2" max="2" width="12.2181818181818" customWidth="1"/>
    <col min="3" max="3" width="21" customWidth="1"/>
    <col min="4" max="4" width="14.6636363636364" customWidth="1"/>
    <col min="5" max="5" width="10.8909090909091" customWidth="1"/>
    <col min="6" max="8" width="11.3363636363636" customWidth="1"/>
    <col min="9" max="9" width="12.6636363636364" customWidth="1"/>
    <col min="10" max="10" width="8.78181818181818" customWidth="1"/>
    <col min="11" max="13" width="11.3363636363636" customWidth="1"/>
    <col min="14" max="14" width="12.5545454545455" customWidth="1"/>
    <col min="15" max="15" width="8.78181818181818" customWidth="1"/>
    <col min="16" max="17" width="11.3363636363636"/>
    <col min="18" max="18" width="11.4454545454545" customWidth="1"/>
    <col min="19" max="19" width="12.5545454545455" customWidth="1"/>
  </cols>
  <sheetData>
    <row r="1" ht="15.25"/>
    <row r="2" ht="40.95" customHeight="1" spans="2:19">
      <c r="B2" s="159" t="s">
        <v>0</v>
      </c>
      <c r="C2" s="160" t="s">
        <v>1</v>
      </c>
      <c r="D2" s="160" t="s">
        <v>2</v>
      </c>
      <c r="E2" s="160" t="s">
        <v>3</v>
      </c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202"/>
      <c r="S2" s="203"/>
    </row>
    <row r="3" ht="36" customHeight="1" spans="2:19">
      <c r="B3" s="161"/>
      <c r="C3" s="6"/>
      <c r="D3" s="6"/>
      <c r="E3" s="6" t="s">
        <v>4</v>
      </c>
      <c r="F3" s="6"/>
      <c r="G3" s="6"/>
      <c r="H3" s="6"/>
      <c r="I3" s="6"/>
      <c r="J3" s="6" t="s">
        <v>5</v>
      </c>
      <c r="K3" s="6"/>
      <c r="L3" s="6"/>
      <c r="M3" s="6"/>
      <c r="N3" s="6"/>
      <c r="O3" s="6" t="s">
        <v>6</v>
      </c>
      <c r="P3" s="6"/>
      <c r="Q3" s="6"/>
      <c r="R3" s="162"/>
      <c r="S3" s="204"/>
    </row>
    <row r="4" ht="29.75" spans="2:19">
      <c r="B4" s="205"/>
      <c r="C4" s="206"/>
      <c r="D4" s="206"/>
      <c r="E4" s="206" t="s">
        <v>7</v>
      </c>
      <c r="F4" s="207">
        <v>46243</v>
      </c>
      <c r="G4" s="207">
        <f>F4-1</f>
        <v>46242</v>
      </c>
      <c r="H4" s="207">
        <f>G4-1</f>
        <v>46241</v>
      </c>
      <c r="I4" s="206" t="s">
        <v>8</v>
      </c>
      <c r="J4" s="206" t="s">
        <v>7</v>
      </c>
      <c r="K4" s="208">
        <f>F4</f>
        <v>46243</v>
      </c>
      <c r="L4" s="207">
        <f>F4-1</f>
        <v>46242</v>
      </c>
      <c r="M4" s="207">
        <f>G4-1</f>
        <v>46241</v>
      </c>
      <c r="N4" s="206" t="s">
        <v>8</v>
      </c>
      <c r="O4" s="206" t="s">
        <v>7</v>
      </c>
      <c r="P4" s="208">
        <f>F4</f>
        <v>46243</v>
      </c>
      <c r="Q4" s="207">
        <f>F4-1</f>
        <v>46242</v>
      </c>
      <c r="R4" s="207">
        <f>G4-1</f>
        <v>46241</v>
      </c>
      <c r="S4" s="209" t="s">
        <v>8</v>
      </c>
    </row>
    <row r="5" ht="15.25" spans="2:19">
      <c r="B5" s="168" t="s">
        <v>9</v>
      </c>
      <c r="C5" s="169" t="s">
        <v>10</v>
      </c>
      <c r="D5" s="169" t="s">
        <v>11</v>
      </c>
      <c r="E5" s="210">
        <v>0.9</v>
      </c>
      <c r="F5" s="195">
        <v>0.93685734974656</v>
      </c>
      <c r="G5" s="195">
        <v>0.952256105974886</v>
      </c>
      <c r="H5" s="195">
        <v>0.938181818181818</v>
      </c>
      <c r="I5" s="195">
        <v>0.943297855930896</v>
      </c>
      <c r="J5" s="210">
        <v>0.9</v>
      </c>
      <c r="K5" s="195">
        <v>0.897337170356679</v>
      </c>
      <c r="L5" s="195">
        <v>0.934621300437498</v>
      </c>
      <c r="M5" s="195">
        <v>0.92696920072082</v>
      </c>
      <c r="N5" s="211">
        <v>0.916131043116399</v>
      </c>
      <c r="O5" s="210">
        <v>0.9</v>
      </c>
      <c r="P5" s="195">
        <v>0.875430770429097</v>
      </c>
      <c r="Q5" s="195">
        <v>0.91456598153377</v>
      </c>
      <c r="R5" s="195">
        <v>0.912166170788125</v>
      </c>
      <c r="S5" s="195">
        <v>0.896336719619296</v>
      </c>
    </row>
    <row r="6" ht="15.25" spans="2:19">
      <c r="B6" s="174"/>
      <c r="C6" s="169" t="s">
        <v>12</v>
      </c>
      <c r="D6" s="169" t="s">
        <v>13</v>
      </c>
      <c r="E6" s="210">
        <v>0.9</v>
      </c>
      <c r="F6" s="195">
        <v>0.945249130938586</v>
      </c>
      <c r="G6" s="195">
        <v>0.942223439211391</v>
      </c>
      <c r="H6" s="195">
        <v>0.948464341488808</v>
      </c>
      <c r="I6" s="195">
        <v>0.947472473994769</v>
      </c>
      <c r="J6" s="210">
        <v>0.9</v>
      </c>
      <c r="K6" s="195">
        <v>0.933007621957144</v>
      </c>
      <c r="L6" s="195">
        <v>0.95362675651385</v>
      </c>
      <c r="M6" s="195">
        <v>0.951080252494204</v>
      </c>
      <c r="N6" s="211">
        <v>0.938272872939501</v>
      </c>
      <c r="O6" s="210">
        <v>0.9</v>
      </c>
      <c r="P6" s="195">
        <v>0.878227477136072</v>
      </c>
      <c r="Q6" s="195">
        <v>0.911525797699015</v>
      </c>
      <c r="R6" s="195">
        <v>0.919478296507914</v>
      </c>
      <c r="S6" s="195">
        <v>0.902877369614712</v>
      </c>
    </row>
    <row r="7" ht="15.25" spans="2:19">
      <c r="B7" s="174"/>
      <c r="C7" s="169" t="s">
        <v>14</v>
      </c>
      <c r="D7" s="169" t="s">
        <v>15</v>
      </c>
      <c r="E7" s="210">
        <v>0.9</v>
      </c>
      <c r="F7" s="195">
        <v>0.935726412806209</v>
      </c>
      <c r="G7" s="195">
        <v>0.936365778930002</v>
      </c>
      <c r="H7" s="195">
        <v>0.95</v>
      </c>
      <c r="I7" s="195">
        <v>0.943309958644782</v>
      </c>
      <c r="J7" s="210">
        <v>0.9</v>
      </c>
      <c r="K7" s="195">
        <v>0.925825735564239</v>
      </c>
      <c r="L7" s="195">
        <v>0.947930890456072</v>
      </c>
      <c r="M7" s="195">
        <v>0.957730342498794</v>
      </c>
      <c r="N7" s="211">
        <v>0.936741724520591</v>
      </c>
      <c r="O7" s="210">
        <v>0.9</v>
      </c>
      <c r="P7" s="195">
        <v>0.922307940642777</v>
      </c>
      <c r="Q7" s="195">
        <v>0.938115471734486</v>
      </c>
      <c r="R7" s="195">
        <v>0.940759919199228</v>
      </c>
      <c r="S7" s="195">
        <v>0.931538677547264</v>
      </c>
    </row>
    <row r="8" ht="15.25" spans="2:19">
      <c r="B8" s="175"/>
      <c r="C8" s="169" t="s">
        <v>16</v>
      </c>
      <c r="D8" s="169" t="s">
        <v>17</v>
      </c>
      <c r="E8" s="210">
        <v>0.9</v>
      </c>
      <c r="F8" s="195">
        <v>0.906175771971496</v>
      </c>
      <c r="G8" s="195">
        <v>0.913793103448276</v>
      </c>
      <c r="H8" s="195">
        <v>0.94620253164557</v>
      </c>
      <c r="I8" s="195">
        <v>0.927221404025528</v>
      </c>
      <c r="J8" s="210">
        <v>0.9</v>
      </c>
      <c r="K8" s="195">
        <v>0.939770138925113</v>
      </c>
      <c r="L8" s="195">
        <v>0.954729952807287</v>
      </c>
      <c r="M8" s="195">
        <v>0.957432518288588</v>
      </c>
      <c r="N8" s="211">
        <v>0.946575642271054</v>
      </c>
      <c r="O8" s="210">
        <v>0.9</v>
      </c>
      <c r="P8" s="195">
        <v>0.894076121920262</v>
      </c>
      <c r="Q8" s="195">
        <v>0.9106057369249</v>
      </c>
      <c r="R8" s="195">
        <v>0.912305541941222</v>
      </c>
      <c r="S8" s="195">
        <v>0.910692550769266</v>
      </c>
    </row>
    <row r="9" ht="15.25" spans="2:19">
      <c r="B9" s="174"/>
      <c r="C9" s="169" t="s">
        <v>18</v>
      </c>
      <c r="D9" s="169" t="s">
        <v>19</v>
      </c>
      <c r="E9" s="210">
        <v>0.9</v>
      </c>
      <c r="F9" s="195">
        <v>0.908537044001504</v>
      </c>
      <c r="G9" s="195">
        <v>0.908519401690874</v>
      </c>
      <c r="H9" s="195">
        <v>0.913612565445026</v>
      </c>
      <c r="I9" s="195">
        <v>0.911743195115747</v>
      </c>
      <c r="J9" s="210">
        <v>0.9</v>
      </c>
      <c r="K9" s="195">
        <v>0.936719014956118</v>
      </c>
      <c r="L9" s="195">
        <v>0.951701313476057</v>
      </c>
      <c r="M9" s="195">
        <v>0.951826115242678</v>
      </c>
      <c r="N9" s="211">
        <v>0.943197062130743</v>
      </c>
      <c r="O9" s="210">
        <v>0.9</v>
      </c>
      <c r="P9" s="195">
        <v>0.846556814100374</v>
      </c>
      <c r="Q9" s="195">
        <v>0.886523942496639</v>
      </c>
      <c r="R9" s="195">
        <v>0.88820792812195</v>
      </c>
      <c r="S9" s="195">
        <v>0.868573520382343</v>
      </c>
    </row>
    <row r="10" ht="15.25" spans="2:19">
      <c r="B10" s="174"/>
      <c r="C10" s="169" t="s">
        <v>20</v>
      </c>
      <c r="D10" s="169" t="s">
        <v>21</v>
      </c>
      <c r="E10" s="210">
        <v>0.9</v>
      </c>
      <c r="F10" s="195">
        <v>0.903706635008574</v>
      </c>
      <c r="G10" s="195">
        <v>0.916032439176544</v>
      </c>
      <c r="H10" s="195">
        <v>0.916484583636805</v>
      </c>
      <c r="I10" s="195">
        <v>0.913443521548228</v>
      </c>
      <c r="J10" s="210">
        <v>0.9</v>
      </c>
      <c r="K10" s="195">
        <v>0.924046155043015</v>
      </c>
      <c r="L10" s="195">
        <v>0.951517757386832</v>
      </c>
      <c r="M10" s="195">
        <v>0.940226208651007</v>
      </c>
      <c r="N10" s="211">
        <v>0.943125262373006</v>
      </c>
      <c r="O10" s="210">
        <v>0.9</v>
      </c>
      <c r="P10" s="195">
        <v>0.896927645320718</v>
      </c>
      <c r="Q10" s="195">
        <v>0.923029065241255</v>
      </c>
      <c r="R10" s="195">
        <v>0.929303235984681</v>
      </c>
      <c r="S10" s="195">
        <v>0.918756490838457</v>
      </c>
    </row>
    <row r="11" ht="15.25" spans="2:19">
      <c r="B11" s="174"/>
      <c r="C11" s="169" t="s">
        <v>22</v>
      </c>
      <c r="D11" s="169" t="s">
        <v>23</v>
      </c>
      <c r="E11" s="210">
        <v>0.9</v>
      </c>
      <c r="F11" s="195">
        <v>0.914962325080732</v>
      </c>
      <c r="G11" s="195">
        <v>0.918822023047375</v>
      </c>
      <c r="H11" s="195">
        <v>0.932262051915946</v>
      </c>
      <c r="I11" s="195">
        <v>0.917601722770033</v>
      </c>
      <c r="J11" s="210">
        <v>0.9</v>
      </c>
      <c r="K11" s="195">
        <v>0.899759101692566</v>
      </c>
      <c r="L11" s="195">
        <v>0.927750640297837</v>
      </c>
      <c r="M11" s="195">
        <v>0.93511655524729</v>
      </c>
      <c r="N11" s="211">
        <v>0.923459366344343</v>
      </c>
      <c r="O11" s="210">
        <v>0.9</v>
      </c>
      <c r="P11" s="195">
        <v>0.853470531153304</v>
      </c>
      <c r="Q11" s="195">
        <v>0.897903519657804</v>
      </c>
      <c r="R11" s="195">
        <v>0.908890344905251</v>
      </c>
      <c r="S11" s="195">
        <v>0.889345963605491</v>
      </c>
    </row>
    <row r="12" ht="15.25" spans="2:19">
      <c r="B12" s="174"/>
      <c r="C12" s="169" t="s">
        <v>24</v>
      </c>
      <c r="D12" s="169" t="s">
        <v>25</v>
      </c>
      <c r="E12" s="210">
        <v>0.9</v>
      </c>
      <c r="F12" s="195">
        <v>0.929816583295437</v>
      </c>
      <c r="G12" s="195">
        <v>0.937562366357805</v>
      </c>
      <c r="H12" s="195">
        <v>0.94049996556711</v>
      </c>
      <c r="I12" s="195">
        <v>0.933646738528262</v>
      </c>
      <c r="J12" s="210">
        <v>0.9</v>
      </c>
      <c r="K12" s="195">
        <v>0.939247127577064</v>
      </c>
      <c r="L12" s="195">
        <v>0.960497704642284</v>
      </c>
      <c r="M12" s="195">
        <v>0.96373547277937</v>
      </c>
      <c r="N12" s="211">
        <v>0.951789618910794</v>
      </c>
      <c r="O12" s="210">
        <v>0.9</v>
      </c>
      <c r="P12" s="195">
        <v>0.868718998575062</v>
      </c>
      <c r="Q12" s="195">
        <v>0.902124626221366</v>
      </c>
      <c r="R12" s="195">
        <v>0.909405157593123</v>
      </c>
      <c r="S12" s="195">
        <v>0.895965055650951</v>
      </c>
    </row>
    <row r="13" ht="15.25" spans="2:19">
      <c r="B13" s="174"/>
      <c r="C13" s="169" t="s">
        <v>26</v>
      </c>
      <c r="D13" s="169" t="s">
        <v>27</v>
      </c>
      <c r="E13" s="210">
        <v>0.9</v>
      </c>
      <c r="F13" s="195">
        <v>0.895806534602521</v>
      </c>
      <c r="G13" s="195">
        <v>0.9013671875</v>
      </c>
      <c r="H13" s="195">
        <v>0.905912717034256</v>
      </c>
      <c r="I13" s="195">
        <v>0.902959083295669</v>
      </c>
      <c r="J13" s="210">
        <v>0.9</v>
      </c>
      <c r="K13" s="195">
        <v>0.883168935777076</v>
      </c>
      <c r="L13" s="195">
        <v>0.922030938123752</v>
      </c>
      <c r="M13" s="195">
        <v>0.90556764136648</v>
      </c>
      <c r="N13" s="211">
        <v>0.899163953490227</v>
      </c>
      <c r="O13" s="210">
        <v>0.9</v>
      </c>
      <c r="P13" s="195">
        <v>0.712338391577829</v>
      </c>
      <c r="Q13" s="195">
        <v>0.792814371257485</v>
      </c>
      <c r="R13" s="195">
        <v>0.761100025505229</v>
      </c>
      <c r="S13" s="195">
        <v>0.76095035884118</v>
      </c>
    </row>
    <row r="14" ht="15.25" spans="2:19">
      <c r="B14" s="174"/>
      <c r="C14" s="169" t="s">
        <v>28</v>
      </c>
      <c r="D14" s="169" t="s">
        <v>29</v>
      </c>
      <c r="E14" s="210">
        <v>0.9</v>
      </c>
      <c r="F14" s="195">
        <v>0.893767441860465</v>
      </c>
      <c r="G14" s="195">
        <v>0.906385940490691</v>
      </c>
      <c r="H14" s="195">
        <v>0.920211012199143</v>
      </c>
      <c r="I14" s="195">
        <v>0.909788536982107</v>
      </c>
      <c r="J14" s="210">
        <v>0.9</v>
      </c>
      <c r="K14" s="195">
        <v>0.91290619210537</v>
      </c>
      <c r="L14" s="195">
        <v>0.945735388425731</v>
      </c>
      <c r="M14" s="195">
        <v>0.950354843526302</v>
      </c>
      <c r="N14" s="211">
        <v>0.938320892787719</v>
      </c>
      <c r="O14" s="210">
        <v>0.9</v>
      </c>
      <c r="P14" s="195">
        <v>0.724859925985026</v>
      </c>
      <c r="Q14" s="195">
        <v>0.788476592733464</v>
      </c>
      <c r="R14" s="195">
        <v>0.818819003451819</v>
      </c>
      <c r="S14" s="195">
        <v>0.780592991521273</v>
      </c>
    </row>
    <row r="15" ht="15.25" spans="2:19">
      <c r="B15" s="176" t="s">
        <v>30</v>
      </c>
      <c r="C15" s="177"/>
      <c r="D15" s="177"/>
      <c r="E15" s="212" t="s">
        <v>31</v>
      </c>
      <c r="F15" s="212">
        <v>0.917700817700818</v>
      </c>
      <c r="G15" s="212">
        <v>0.924197184815063</v>
      </c>
      <c r="H15" s="212">
        <v>0.928359387567085</v>
      </c>
      <c r="I15" s="212">
        <v>0.92393789156799</v>
      </c>
      <c r="J15" s="212" t="s">
        <v>31</v>
      </c>
      <c r="K15" s="212">
        <v>0.921766939984892</v>
      </c>
      <c r="L15" s="212">
        <v>0.946958837276099</v>
      </c>
      <c r="M15" s="212">
        <v>0.946098046012505</v>
      </c>
      <c r="N15" s="212">
        <v>0.936652456049138</v>
      </c>
      <c r="O15" s="212" t="s">
        <v>31</v>
      </c>
      <c r="P15" s="212">
        <v>0.847389133041591</v>
      </c>
      <c r="Q15" s="212">
        <v>0.885920274960644</v>
      </c>
      <c r="R15" s="212">
        <v>0.892013311577443</v>
      </c>
      <c r="S15" s="213">
        <v>0.875533617863456</v>
      </c>
    </row>
  </sheetData>
  <mergeCells count="9">
    <mergeCell ref="E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0" priority="1" operator="lessThan">
      <formula>$E$5</formula>
    </cfRule>
    <cfRule type="cellIs" dxfId="1" priority="2" operator="greaterThan">
      <formula>$E$5</formula>
    </cfRule>
  </conditionalFormatting>
  <conditionalFormatting sqref="K5:N14">
    <cfRule type="cellIs" dxfId="1" priority="5" operator="greaterThan">
      <formula>$J$5</formula>
    </cfRule>
    <cfRule type="cellIs" dxfId="0" priority="6" operator="lessThan">
      <formula>$J$5</formula>
    </cfRule>
  </conditionalFormatting>
  <conditionalFormatting sqref="P5:S14">
    <cfRule type="cellIs" dxfId="0" priority="3" operator="lessThan">
      <formula>$O$5</formula>
    </cfRule>
    <cfRule type="cellIs" dxfId="1" priority="4" operator="greaterThan">
      <formula>$O$5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zoomScale="85" zoomScaleNormal="85" topLeftCell="A2" workbookViewId="0">
      <selection activeCell="F4" sqref="F4"/>
    </sheetView>
  </sheetViews>
  <sheetFormatPr defaultColWidth="8.78181818181818" defaultRowHeight="14.5"/>
  <cols>
    <col min="2" max="2" width="12.3363636363636" customWidth="1"/>
    <col min="3" max="3" width="21.2181818181818" customWidth="1"/>
    <col min="4" max="4" width="12" customWidth="1"/>
    <col min="5" max="11" width="14.3363636363636" customWidth="1"/>
    <col min="12" max="12" width="14.4454545454545" customWidth="1"/>
    <col min="13" max="14" width="14.2181818181818" customWidth="1"/>
    <col min="15" max="17" width="14.3363636363636" customWidth="1"/>
    <col min="18" max="19" width="14.2181818181818" customWidth="1"/>
  </cols>
  <sheetData>
    <row r="1" ht="15.25"/>
    <row r="2" ht="57" customHeight="1" spans="2:19">
      <c r="B2" s="159" t="s">
        <v>0</v>
      </c>
      <c r="C2" s="160" t="s">
        <v>1</v>
      </c>
      <c r="D2" s="160" t="s">
        <v>2</v>
      </c>
      <c r="E2" s="183" t="s">
        <v>32</v>
      </c>
      <c r="F2" s="184"/>
      <c r="G2" s="184"/>
      <c r="H2" s="184"/>
      <c r="I2" s="185"/>
      <c r="J2" s="186" t="s">
        <v>33</v>
      </c>
      <c r="K2" s="187"/>
      <c r="L2" s="187"/>
      <c r="M2" s="187"/>
      <c r="N2" s="187"/>
      <c r="O2" s="187"/>
      <c r="P2" s="187"/>
      <c r="Q2" s="187"/>
      <c r="R2" s="187"/>
      <c r="S2" s="188"/>
    </row>
    <row r="3" ht="55.05" customHeight="1" spans="2:19">
      <c r="B3" s="161"/>
      <c r="C3" s="6"/>
      <c r="D3" s="6"/>
      <c r="E3" s="189" t="s">
        <v>34</v>
      </c>
      <c r="F3" s="190"/>
      <c r="G3" s="190"/>
      <c r="H3" s="190"/>
      <c r="I3" s="191"/>
      <c r="J3" s="162" t="s">
        <v>35</v>
      </c>
      <c r="K3" s="163"/>
      <c r="L3" s="163"/>
      <c r="M3" s="163"/>
      <c r="N3" s="164"/>
      <c r="O3" s="162" t="s">
        <v>36</v>
      </c>
      <c r="P3" s="163"/>
      <c r="Q3" s="163"/>
      <c r="R3" s="163"/>
      <c r="S3" s="164"/>
    </row>
    <row r="4" ht="29.75" spans="2:19">
      <c r="B4" s="165"/>
      <c r="C4" s="9"/>
      <c r="D4" s="9"/>
      <c r="E4" s="166" t="s">
        <v>7</v>
      </c>
      <c r="F4" s="166">
        <f>'06.30, 07.30, &amp; 12.00'!F4</f>
        <v>46243</v>
      </c>
      <c r="G4" s="167">
        <f>F4-1</f>
        <v>46242</v>
      </c>
      <c r="H4" s="167">
        <f>G4-1</f>
        <v>46241</v>
      </c>
      <c r="I4" s="192" t="s">
        <v>8</v>
      </c>
      <c r="J4" s="193" t="s">
        <v>7</v>
      </c>
      <c r="K4" s="166">
        <f>F4</f>
        <v>46243</v>
      </c>
      <c r="L4" s="167">
        <f>F4-1</f>
        <v>46242</v>
      </c>
      <c r="M4" s="167">
        <f>G4-1</f>
        <v>46241</v>
      </c>
      <c r="N4" s="9" t="s">
        <v>8</v>
      </c>
      <c r="O4" s="166" t="s">
        <v>7</v>
      </c>
      <c r="P4" s="166">
        <f>K4</f>
        <v>46243</v>
      </c>
      <c r="Q4" s="167">
        <f>K4-1</f>
        <v>46242</v>
      </c>
      <c r="R4" s="167">
        <f>L4-1</f>
        <v>46241</v>
      </c>
      <c r="S4" s="9" t="s">
        <v>8</v>
      </c>
    </row>
    <row r="5" ht="15.25" spans="2:19">
      <c r="B5" s="168" t="s">
        <v>9</v>
      </c>
      <c r="C5" s="169" t="s">
        <v>10</v>
      </c>
      <c r="D5" s="169" t="s">
        <v>11</v>
      </c>
      <c r="E5" s="194">
        <v>0.92</v>
      </c>
      <c r="F5" s="195">
        <v>0.909760583237855</v>
      </c>
      <c r="G5" s="195">
        <v>0.935040375800065</v>
      </c>
      <c r="H5" s="195">
        <v>0.947653953695565</v>
      </c>
      <c r="I5" s="195">
        <v>0.939121306059059</v>
      </c>
      <c r="J5" s="172">
        <v>0.92</v>
      </c>
      <c r="K5" s="196">
        <v>0.98837837368008</v>
      </c>
      <c r="L5" s="196">
        <v>0.957284048006143</v>
      </c>
      <c r="M5" s="196">
        <v>0.964042306934348</v>
      </c>
      <c r="N5" s="196">
        <v>0.968978717225082</v>
      </c>
      <c r="O5" s="172">
        <v>0.93</v>
      </c>
      <c r="P5" s="196">
        <v>0.942690958424242</v>
      </c>
      <c r="Q5" s="196">
        <v>0.964046084264199</v>
      </c>
      <c r="R5" s="196">
        <v>0.972111625037166</v>
      </c>
      <c r="S5" s="196">
        <v>0.96614784152272</v>
      </c>
    </row>
    <row r="6" ht="15.25" spans="2:19">
      <c r="B6" s="174"/>
      <c r="C6" s="169" t="s">
        <v>12</v>
      </c>
      <c r="D6" s="169" t="s">
        <v>13</v>
      </c>
      <c r="E6" s="194">
        <v>0.92</v>
      </c>
      <c r="F6" s="195">
        <v>0.903828164352018</v>
      </c>
      <c r="G6" s="195">
        <v>0.931945750938091</v>
      </c>
      <c r="H6" s="195">
        <v>0.948400263988331</v>
      </c>
      <c r="I6" s="195">
        <v>0.93707857751993</v>
      </c>
      <c r="J6" s="172">
        <v>0.92</v>
      </c>
      <c r="K6" s="196">
        <v>0.993952571237528</v>
      </c>
      <c r="L6" s="196">
        <v>0.98048549505501</v>
      </c>
      <c r="M6" s="196">
        <v>0.964027508729194</v>
      </c>
      <c r="N6" s="196">
        <v>0.975928992611443</v>
      </c>
      <c r="O6" s="172">
        <v>0.93</v>
      </c>
      <c r="P6" s="196">
        <v>0.931056688198312</v>
      </c>
      <c r="Q6" s="196">
        <v>0.954449001697103</v>
      </c>
      <c r="R6" s="196">
        <v>0.966780125387029</v>
      </c>
      <c r="S6" s="196">
        <v>0.958786136072923</v>
      </c>
    </row>
    <row r="7" ht="15.25" spans="2:19">
      <c r="B7" s="174"/>
      <c r="C7" s="169" t="s">
        <v>14</v>
      </c>
      <c r="D7" s="169" t="s">
        <v>15</v>
      </c>
      <c r="E7" s="194">
        <v>0.92</v>
      </c>
      <c r="F7" s="195">
        <v>0.960407182189947</v>
      </c>
      <c r="G7" s="195">
        <v>0.973266921124678</v>
      </c>
      <c r="H7" s="195">
        <v>0.977658885478557</v>
      </c>
      <c r="I7" s="195">
        <v>0.974351371891476</v>
      </c>
      <c r="J7" s="172">
        <v>0.92</v>
      </c>
      <c r="K7" s="196">
        <v>0.980849590534666</v>
      </c>
      <c r="L7" s="196">
        <v>0.957370271850577</v>
      </c>
      <c r="M7" s="196">
        <v>0.952946803240886</v>
      </c>
      <c r="N7" s="196">
        <v>0.961273001139076</v>
      </c>
      <c r="O7" s="172">
        <v>0.93</v>
      </c>
      <c r="P7" s="196">
        <v>0.971159035201549</v>
      </c>
      <c r="Q7" s="196">
        <v>0.982371744927898</v>
      </c>
      <c r="R7" s="196">
        <v>0.986005620323451</v>
      </c>
      <c r="S7" s="196">
        <v>0.983355816738997</v>
      </c>
    </row>
    <row r="8" ht="15.25" spans="2:19">
      <c r="B8" s="175"/>
      <c r="C8" s="169" t="s">
        <v>16</v>
      </c>
      <c r="D8" s="169" t="s">
        <v>17</v>
      </c>
      <c r="E8" s="194">
        <v>0.92</v>
      </c>
      <c r="F8" s="195">
        <v>0.934435762853394</v>
      </c>
      <c r="G8" s="195">
        <v>0.948088041035494</v>
      </c>
      <c r="H8" s="195">
        <v>0.957678355501814</v>
      </c>
      <c r="I8" s="195">
        <v>0.952377177181607</v>
      </c>
      <c r="J8" s="172">
        <v>0.92</v>
      </c>
      <c r="K8" s="196">
        <v>0.967982204507252</v>
      </c>
      <c r="L8" s="196">
        <v>0.959302734237717</v>
      </c>
      <c r="M8" s="196">
        <v>0.955132712970383</v>
      </c>
      <c r="N8" s="196">
        <v>0.951082289643869</v>
      </c>
      <c r="O8" s="172">
        <v>0.93</v>
      </c>
      <c r="P8" s="196">
        <v>0.944832726864691</v>
      </c>
      <c r="Q8" s="196">
        <v>0.958665574367377</v>
      </c>
      <c r="R8" s="196">
        <v>0.966199192681759</v>
      </c>
      <c r="S8" s="196">
        <v>0.963344837557599</v>
      </c>
    </row>
    <row r="9" ht="15.25" spans="2:19">
      <c r="B9" s="174"/>
      <c r="C9" s="169" t="s">
        <v>18</v>
      </c>
      <c r="D9" s="169" t="s">
        <v>19</v>
      </c>
      <c r="E9" s="194">
        <v>0.92</v>
      </c>
      <c r="F9" s="195">
        <v>0.869622382260968</v>
      </c>
      <c r="G9" s="195">
        <v>0.904904579840857</v>
      </c>
      <c r="H9" s="195">
        <v>0.918874881144004</v>
      </c>
      <c r="I9" s="195">
        <v>0.905183367146835</v>
      </c>
      <c r="J9" s="172">
        <v>0.92</v>
      </c>
      <c r="K9" s="196">
        <v>0.986059921379388</v>
      </c>
      <c r="L9" s="196">
        <v>0.975689265592714</v>
      </c>
      <c r="M9" s="196">
        <v>0.984199669256914</v>
      </c>
      <c r="N9" s="196">
        <v>0.974105071675827</v>
      </c>
      <c r="O9" s="172">
        <v>0.93</v>
      </c>
      <c r="P9" s="196">
        <v>0.9201675463802</v>
      </c>
      <c r="Q9" s="196">
        <v>0.944885649963281</v>
      </c>
      <c r="R9" s="196">
        <v>0.954214547611829</v>
      </c>
      <c r="S9" s="196">
        <v>0.946636945819961</v>
      </c>
    </row>
    <row r="10" ht="15.25" spans="2:19">
      <c r="B10" s="174"/>
      <c r="C10" s="169" t="s">
        <v>20</v>
      </c>
      <c r="D10" s="169" t="s">
        <v>21</v>
      </c>
      <c r="E10" s="194">
        <v>0.92</v>
      </c>
      <c r="F10" s="195">
        <v>0.892474680911838</v>
      </c>
      <c r="G10" s="195">
        <v>0.918766242860922</v>
      </c>
      <c r="H10" s="195">
        <v>0.927270367569886</v>
      </c>
      <c r="I10" s="195">
        <v>0.917298170491534</v>
      </c>
      <c r="J10" s="172">
        <v>0.92</v>
      </c>
      <c r="K10" s="196">
        <v>0.993300425475336</v>
      </c>
      <c r="L10" s="196">
        <v>0.984461940029285</v>
      </c>
      <c r="M10" s="196">
        <v>0.981269047108986</v>
      </c>
      <c r="N10" s="196">
        <v>0.98218974298859</v>
      </c>
      <c r="O10" s="172">
        <v>0.93</v>
      </c>
      <c r="P10" s="196">
        <v>0.939996890324938</v>
      </c>
      <c r="Q10" s="196">
        <v>0.95789863655963</v>
      </c>
      <c r="R10" s="196">
        <v>0.964976141026045</v>
      </c>
      <c r="S10" s="196">
        <v>0.959138237842389</v>
      </c>
    </row>
    <row r="11" ht="15.25" spans="2:19">
      <c r="B11" s="174"/>
      <c r="C11" s="169" t="s">
        <v>22</v>
      </c>
      <c r="D11" s="169" t="s">
        <v>23</v>
      </c>
      <c r="E11" s="194">
        <v>0.92</v>
      </c>
      <c r="F11" s="195">
        <v>0.804635356819793</v>
      </c>
      <c r="G11" s="195">
        <v>0.877892838602148</v>
      </c>
      <c r="H11" s="195">
        <v>0.894596520260176</v>
      </c>
      <c r="I11" s="195">
        <v>0.870760846316877</v>
      </c>
      <c r="J11" s="172">
        <v>0.92</v>
      </c>
      <c r="K11" s="196">
        <v>0.987569333754277</v>
      </c>
      <c r="L11" s="196">
        <v>0.967539568531532</v>
      </c>
      <c r="M11" s="196">
        <v>0.968613899814166</v>
      </c>
      <c r="N11" s="196">
        <v>0.963551465074908</v>
      </c>
      <c r="O11" s="172">
        <v>0.93</v>
      </c>
      <c r="P11" s="196">
        <v>0.916412318333869</v>
      </c>
      <c r="Q11" s="196">
        <v>0.949801289751077</v>
      </c>
      <c r="R11" s="196">
        <v>0.956783216139178</v>
      </c>
      <c r="S11" s="196">
        <v>0.947948588855333</v>
      </c>
    </row>
    <row r="12" ht="15.25" spans="2:19">
      <c r="B12" s="174"/>
      <c r="C12" s="169" t="s">
        <v>24</v>
      </c>
      <c r="D12" s="169" t="s">
        <v>25</v>
      </c>
      <c r="E12" s="194">
        <v>0.92</v>
      </c>
      <c r="F12" s="195">
        <v>0.923818273472712</v>
      </c>
      <c r="G12" s="195">
        <v>0.947050734916102</v>
      </c>
      <c r="H12" s="195">
        <v>0.9543194509394</v>
      </c>
      <c r="I12" s="195">
        <v>0.947525402179475</v>
      </c>
      <c r="J12" s="172">
        <v>0.92</v>
      </c>
      <c r="K12" s="196">
        <v>0.991081098041121</v>
      </c>
      <c r="L12" s="196">
        <v>0.977026065963745</v>
      </c>
      <c r="M12" s="196">
        <v>0.975148312953912</v>
      </c>
      <c r="N12" s="196">
        <v>0.972005084675015</v>
      </c>
      <c r="O12" s="172">
        <v>0.93</v>
      </c>
      <c r="P12" s="196">
        <v>0.940636186474645</v>
      </c>
      <c r="Q12" s="196">
        <v>0.961528305560801</v>
      </c>
      <c r="R12" s="196">
        <v>0.967124173664979</v>
      </c>
      <c r="S12" s="196">
        <v>0.962681918835179</v>
      </c>
    </row>
    <row r="13" ht="15.25" spans="2:19">
      <c r="B13" s="174"/>
      <c r="C13" s="169" t="s">
        <v>26</v>
      </c>
      <c r="D13" s="169" t="s">
        <v>27</v>
      </c>
      <c r="E13" s="194">
        <v>0.92</v>
      </c>
      <c r="F13" s="195">
        <v>0.775969092079845</v>
      </c>
      <c r="G13" s="195">
        <v>0.835245002951843</v>
      </c>
      <c r="H13" s="195">
        <v>0.850909090909091</v>
      </c>
      <c r="I13" s="195">
        <v>0.837469565466472</v>
      </c>
      <c r="J13" s="172">
        <v>0.92</v>
      </c>
      <c r="K13" s="196">
        <v>0.974033515845363</v>
      </c>
      <c r="L13" s="196">
        <v>0.941620789521747</v>
      </c>
      <c r="M13" s="196">
        <v>0.958115732843459</v>
      </c>
      <c r="N13" s="196">
        <v>0.965371339494488</v>
      </c>
      <c r="O13" s="172">
        <v>0.93</v>
      </c>
      <c r="P13" s="196">
        <v>0.847331985680245</v>
      </c>
      <c r="Q13" s="196">
        <v>0.896723673774869</v>
      </c>
      <c r="R13" s="196">
        <v>0.902875416248216</v>
      </c>
      <c r="S13" s="196">
        <v>0.892810276576168</v>
      </c>
    </row>
    <row r="14" ht="15.25" spans="2:19">
      <c r="B14" s="174"/>
      <c r="C14" s="169" t="s">
        <v>28</v>
      </c>
      <c r="D14" s="169" t="s">
        <v>29</v>
      </c>
      <c r="E14" s="194">
        <v>0.92</v>
      </c>
      <c r="F14" s="195">
        <v>0.869583222575094</v>
      </c>
      <c r="G14" s="195">
        <v>0.918179510627867</v>
      </c>
      <c r="H14" s="195">
        <v>0.944741652729504</v>
      </c>
      <c r="I14" s="195">
        <v>0.924243455681496</v>
      </c>
      <c r="J14" s="172">
        <v>0.92</v>
      </c>
      <c r="K14" s="196">
        <v>0.987569931804047</v>
      </c>
      <c r="L14" s="196">
        <v>0.950836959412121</v>
      </c>
      <c r="M14" s="196">
        <v>0.961415147009439</v>
      </c>
      <c r="N14" s="196">
        <v>0.963188320417473</v>
      </c>
      <c r="O14" s="172">
        <v>0.93</v>
      </c>
      <c r="P14" s="196">
        <v>0.894831689519486</v>
      </c>
      <c r="Q14" s="196">
        <v>0.938926593527776</v>
      </c>
      <c r="R14" s="196">
        <v>0.959848923941953</v>
      </c>
      <c r="S14" s="196">
        <v>0.945603070044459</v>
      </c>
    </row>
    <row r="15" ht="15.25" spans="2:19">
      <c r="B15" s="176" t="s">
        <v>30</v>
      </c>
      <c r="C15" s="177"/>
      <c r="D15" s="178"/>
      <c r="E15" s="197" t="s">
        <v>31</v>
      </c>
      <c r="F15" s="198">
        <v>0.895822109048474</v>
      </c>
      <c r="G15" s="198">
        <v>0.926571753446724</v>
      </c>
      <c r="H15" s="198">
        <v>0.939544367132821</v>
      </c>
      <c r="I15" s="199">
        <v>0.92891437498155</v>
      </c>
      <c r="J15" s="200" t="s">
        <v>31</v>
      </c>
      <c r="K15" s="180">
        <v>0.987956108970831</v>
      </c>
      <c r="L15" s="180">
        <v>0.965912383757229</v>
      </c>
      <c r="M15" s="180">
        <v>0.96941016580247</v>
      </c>
      <c r="N15" s="201">
        <v>0.96959942485213</v>
      </c>
      <c r="O15" s="180" t="s">
        <v>31</v>
      </c>
      <c r="P15" s="180">
        <v>0.926428800390662</v>
      </c>
      <c r="Q15" s="180">
        <v>0.951748674840414</v>
      </c>
      <c r="R15" s="180">
        <v>0.960879648277668</v>
      </c>
      <c r="S15" s="180">
        <v>0.953750881961523</v>
      </c>
    </row>
  </sheetData>
  <mergeCells count="10">
    <mergeCell ref="E2:I2"/>
    <mergeCell ref="J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0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0" priority="5" operator="lessThan">
      <formula>$J$5</formula>
    </cfRule>
    <cfRule type="cellIs" dxfId="1" priority="6" operator="greaterThan">
      <formula>$J$5</formula>
    </cfRule>
  </conditionalFormatting>
  <conditionalFormatting sqref="P5:S14">
    <cfRule type="cellIs" dxfId="0" priority="1" operator="lessThan">
      <formula>$O$5</formula>
    </cfRule>
    <cfRule type="cellIs" dxfId="1" priority="2" operator="greaterThan">
      <formula>$O$5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5"/>
  <sheetViews>
    <sheetView topLeftCell="D3" workbookViewId="0">
      <selection activeCell="E5" sqref="E5:N15"/>
    </sheetView>
  </sheetViews>
  <sheetFormatPr defaultColWidth="8.78181818181818" defaultRowHeight="14.5"/>
  <cols>
    <col min="2" max="2" width="14.7818181818182" customWidth="1"/>
    <col min="3" max="3" width="22.2181818181818" customWidth="1"/>
    <col min="4" max="4" width="13.7818181818182" customWidth="1"/>
    <col min="5" max="5" width="8.78181818181818" customWidth="1"/>
    <col min="6" max="7" width="14.3363636363636" customWidth="1"/>
    <col min="8" max="9" width="13.7818181818182" customWidth="1"/>
    <col min="10" max="10" width="18.5545454545455" customWidth="1"/>
    <col min="11" max="12" width="14.3363636363636" customWidth="1"/>
    <col min="13" max="14" width="13.7818181818182" customWidth="1"/>
  </cols>
  <sheetData>
    <row r="1" ht="15.25"/>
    <row r="2" ht="33" customHeight="1" spans="2:14">
      <c r="B2" s="159" t="s">
        <v>0</v>
      </c>
      <c r="C2" s="160" t="s">
        <v>1</v>
      </c>
      <c r="D2" s="160" t="s">
        <v>2</v>
      </c>
      <c r="E2" s="6"/>
      <c r="F2" s="6"/>
      <c r="G2" s="6"/>
      <c r="H2" s="6"/>
      <c r="I2" s="6"/>
      <c r="J2" s="6"/>
      <c r="K2" s="6"/>
      <c r="L2" s="6"/>
      <c r="M2" s="6"/>
      <c r="N2" s="6"/>
    </row>
    <row r="3" ht="54" customHeight="1" spans="2:14">
      <c r="B3" s="161"/>
      <c r="C3" s="6"/>
      <c r="D3" s="6"/>
      <c r="E3" s="162" t="s">
        <v>37</v>
      </c>
      <c r="F3" s="163"/>
      <c r="G3" s="163"/>
      <c r="H3" s="163"/>
      <c r="I3" s="164"/>
      <c r="J3" s="162" t="s">
        <v>38</v>
      </c>
      <c r="K3" s="163"/>
      <c r="L3" s="163"/>
      <c r="M3" s="163"/>
      <c r="N3" s="164"/>
    </row>
    <row r="4" ht="29.75" spans="2:14">
      <c r="B4" s="165"/>
      <c r="C4" s="9"/>
      <c r="D4" s="9"/>
      <c r="E4" s="9" t="s">
        <v>7</v>
      </c>
      <c r="F4" s="166">
        <f>'06.30, 07.30, &amp; 12.00'!F4</f>
        <v>46243</v>
      </c>
      <c r="G4" s="167">
        <f>F4-1</f>
        <v>46242</v>
      </c>
      <c r="H4" s="167">
        <f>G4-1</f>
        <v>46241</v>
      </c>
      <c r="I4" s="9" t="s">
        <v>8</v>
      </c>
      <c r="J4" s="9" t="s">
        <v>39</v>
      </c>
      <c r="K4" s="166">
        <f>F4</f>
        <v>46243</v>
      </c>
      <c r="L4" s="167">
        <f>K4-1</f>
        <v>46242</v>
      </c>
      <c r="M4" s="167">
        <f>L4-1</f>
        <v>46241</v>
      </c>
      <c r="N4" s="9" t="s">
        <v>8</v>
      </c>
    </row>
    <row r="5" ht="15.25" spans="2:14">
      <c r="B5" s="168" t="s">
        <v>9</v>
      </c>
      <c r="C5" s="169" t="s">
        <v>10</v>
      </c>
      <c r="D5" s="169" t="s">
        <v>11</v>
      </c>
      <c r="E5" s="170">
        <v>0.99</v>
      </c>
      <c r="F5" s="171">
        <v>0.989766424498086</v>
      </c>
      <c r="G5" s="171">
        <v>0.989261653158237</v>
      </c>
      <c r="H5" s="171">
        <v>0.993838862559242</v>
      </c>
      <c r="I5" s="171">
        <v>0.990481607658282</v>
      </c>
      <c r="J5" s="172">
        <v>0.105261498981944</v>
      </c>
      <c r="K5" s="173">
        <v>0.0865865865865866</v>
      </c>
      <c r="L5" s="173">
        <v>0.0600096015362458</v>
      </c>
      <c r="M5" s="173">
        <v>0.0759615384615385</v>
      </c>
      <c r="N5" s="173">
        <v>0.0791009924109749</v>
      </c>
    </row>
    <row r="6" ht="15.25" spans="2:14">
      <c r="B6" s="174"/>
      <c r="C6" s="169" t="s">
        <v>12</v>
      </c>
      <c r="D6" s="169" t="s">
        <v>13</v>
      </c>
      <c r="E6" s="170">
        <v>0.99</v>
      </c>
      <c r="F6" s="171">
        <v>0.985987086138206</v>
      </c>
      <c r="G6" s="171">
        <v>0.994292899980654</v>
      </c>
      <c r="H6" s="171">
        <v>0.995727002967359</v>
      </c>
      <c r="I6" s="171">
        <v>0.993127505596918</v>
      </c>
      <c r="J6" s="172">
        <v>0.0719793575775068</v>
      </c>
      <c r="K6" s="173">
        <v>0.0491534680502458</v>
      </c>
      <c r="L6" s="173">
        <v>0.0471344402785217</v>
      </c>
      <c r="M6" s="173">
        <v>0.0546955624355005</v>
      </c>
      <c r="N6" s="173">
        <v>0.0517369308600337</v>
      </c>
    </row>
    <row r="7" ht="15.25" spans="2:14">
      <c r="B7" s="174"/>
      <c r="C7" s="169" t="s">
        <v>14</v>
      </c>
      <c r="D7" s="169" t="s">
        <v>15</v>
      </c>
      <c r="E7" s="170">
        <v>0.99</v>
      </c>
      <c r="F7" s="171">
        <v>0.994925918408768</v>
      </c>
      <c r="G7" s="171">
        <v>0.995376733724853</v>
      </c>
      <c r="H7" s="171">
        <v>0.99616462605104</v>
      </c>
      <c r="I7" s="171">
        <v>0.995206101325586</v>
      </c>
      <c r="J7" s="172">
        <v>0.0922287257019438</v>
      </c>
      <c r="K7" s="173">
        <v>0.104562737642586</v>
      </c>
      <c r="L7" s="173">
        <v>0.070298769771529</v>
      </c>
      <c r="M7" s="173">
        <v>0.0601001669449082</v>
      </c>
      <c r="N7" s="173">
        <v>0.0808298378868609</v>
      </c>
    </row>
    <row r="8" ht="15.25" spans="2:14">
      <c r="B8" s="175"/>
      <c r="C8" s="169" t="s">
        <v>16</v>
      </c>
      <c r="D8" s="169" t="s">
        <v>17</v>
      </c>
      <c r="E8" s="170">
        <v>0.99</v>
      </c>
      <c r="F8" s="171">
        <v>0.988770685579196</v>
      </c>
      <c r="G8" s="171">
        <v>0.989405532666274</v>
      </c>
      <c r="H8" s="171">
        <v>0.99803343166175</v>
      </c>
      <c r="I8" s="171">
        <v>0.994267656353348</v>
      </c>
      <c r="J8" s="172">
        <v>0.0739852556983447</v>
      </c>
      <c r="K8" s="173">
        <v>0.037821482602118</v>
      </c>
      <c r="L8" s="173">
        <v>0.029595015576324</v>
      </c>
      <c r="M8" s="173">
        <v>0.040621266427718</v>
      </c>
      <c r="N8" s="173">
        <v>0.0413955169920463</v>
      </c>
    </row>
    <row r="9" ht="15.25" spans="2:14">
      <c r="B9" s="174"/>
      <c r="C9" s="169" t="s">
        <v>18</v>
      </c>
      <c r="D9" s="169" t="s">
        <v>19</v>
      </c>
      <c r="E9" s="170">
        <v>0.99</v>
      </c>
      <c r="F9" s="171">
        <v>0.993647965049437</v>
      </c>
      <c r="G9" s="171">
        <v>0.993908822689635</v>
      </c>
      <c r="H9" s="171">
        <v>0.99537736419119</v>
      </c>
      <c r="I9" s="171">
        <v>0.994446475442495</v>
      </c>
      <c r="J9" s="172">
        <v>0.05</v>
      </c>
      <c r="K9" s="173">
        <v>0.0336710998522271</v>
      </c>
      <c r="L9" s="173">
        <v>0.0473678658086296</v>
      </c>
      <c r="M9" s="173">
        <v>0.0298433472139599</v>
      </c>
      <c r="N9" s="173">
        <v>0.0335456797613631</v>
      </c>
    </row>
    <row r="10" ht="15.25" spans="2:14">
      <c r="B10" s="174"/>
      <c r="C10" s="169" t="s">
        <v>20</v>
      </c>
      <c r="D10" s="169" t="s">
        <v>21</v>
      </c>
      <c r="E10" s="170">
        <v>0.99</v>
      </c>
      <c r="F10" s="171">
        <v>0.925496560785223</v>
      </c>
      <c r="G10" s="171">
        <v>0.987595632474188</v>
      </c>
      <c r="H10" s="171">
        <v>0.994839192221391</v>
      </c>
      <c r="I10" s="171">
        <v>0.983730204906327</v>
      </c>
      <c r="J10" s="172">
        <v>0.0810595228934205</v>
      </c>
      <c r="K10" s="173">
        <v>0.0496518316681804</v>
      </c>
      <c r="L10" s="173">
        <v>0.0470132743362832</v>
      </c>
      <c r="M10" s="173">
        <v>0.037579441834761</v>
      </c>
      <c r="N10" s="173">
        <v>0.0451569954510152</v>
      </c>
    </row>
    <row r="11" ht="15.25" spans="2:14">
      <c r="B11" s="174"/>
      <c r="C11" s="169" t="s">
        <v>22</v>
      </c>
      <c r="D11" s="169" t="s">
        <v>23</v>
      </c>
      <c r="E11" s="170">
        <v>0.99</v>
      </c>
      <c r="F11" s="171">
        <v>0.99302508718641</v>
      </c>
      <c r="G11" s="171">
        <v>0.992602002690181</v>
      </c>
      <c r="H11" s="171">
        <v>0.992283250113482</v>
      </c>
      <c r="I11" s="171">
        <v>0.989396503102087</v>
      </c>
      <c r="J11" s="172">
        <v>0.0656418488929858</v>
      </c>
      <c r="K11" s="173">
        <v>0.0446749102512964</v>
      </c>
      <c r="L11" s="173">
        <v>0.0476556495003843</v>
      </c>
      <c r="M11" s="173">
        <v>0.0313815537696135</v>
      </c>
      <c r="N11" s="173">
        <v>0.0438737016174875</v>
      </c>
    </row>
    <row r="12" ht="15.25" spans="2:14">
      <c r="B12" s="174"/>
      <c r="C12" s="169" t="s">
        <v>24</v>
      </c>
      <c r="D12" s="169" t="s">
        <v>25</v>
      </c>
      <c r="E12" s="170">
        <v>0.99</v>
      </c>
      <c r="F12" s="171">
        <v>0.99012154965649</v>
      </c>
      <c r="G12" s="171">
        <v>0.989656863790493</v>
      </c>
      <c r="H12" s="171">
        <v>0.99366240615895</v>
      </c>
      <c r="I12" s="171">
        <v>0.991869412696617</v>
      </c>
      <c r="J12" s="172">
        <v>0.0721861525408278</v>
      </c>
      <c r="K12" s="173">
        <v>0.0328987265009096</v>
      </c>
      <c r="L12" s="173">
        <v>0.0371843917368018</v>
      </c>
      <c r="M12" s="173">
        <v>0.0309188561474815</v>
      </c>
      <c r="N12" s="173">
        <v>0.0355249848270281</v>
      </c>
    </row>
    <row r="13" ht="15.25" spans="2:14">
      <c r="B13" s="174"/>
      <c r="C13" s="169" t="s">
        <v>26</v>
      </c>
      <c r="D13" s="169" t="s">
        <v>27</v>
      </c>
      <c r="E13" s="170">
        <v>0.99</v>
      </c>
      <c r="F13" s="171">
        <v>0.990154001514769</v>
      </c>
      <c r="G13" s="171">
        <v>0.987923277291025</v>
      </c>
      <c r="H13" s="171">
        <v>0.99171686746988</v>
      </c>
      <c r="I13" s="171">
        <v>0.98923849909133</v>
      </c>
      <c r="J13" s="172">
        <v>0.110069253262963</v>
      </c>
      <c r="K13" s="173">
        <v>0.0921799912625601</v>
      </c>
      <c r="L13" s="173">
        <v>0.0806627425332461</v>
      </c>
      <c r="M13" s="173">
        <v>0.0985635359116022</v>
      </c>
      <c r="N13" s="173">
        <v>0.091133269003967</v>
      </c>
    </row>
    <row r="14" ht="15.25" spans="2:14">
      <c r="B14" s="174"/>
      <c r="C14" s="169" t="s">
        <v>28</v>
      </c>
      <c r="D14" s="169" t="s">
        <v>29</v>
      </c>
      <c r="E14" s="170">
        <v>0.99</v>
      </c>
      <c r="F14" s="171">
        <v>0.96182074805928</v>
      </c>
      <c r="G14" s="171">
        <v>0.989658738366081</v>
      </c>
      <c r="H14" s="171">
        <v>0.994090441932169</v>
      </c>
      <c r="I14" s="171">
        <v>0.988017676547135</v>
      </c>
      <c r="J14" s="172">
        <v>0.0872182100128262</v>
      </c>
      <c r="K14" s="173">
        <v>0.0532823079187518</v>
      </c>
      <c r="L14" s="173">
        <v>0.0516708789665824</v>
      </c>
      <c r="M14" s="173">
        <v>0.0454423232051627</v>
      </c>
      <c r="N14" s="173">
        <v>0.0504210563405095</v>
      </c>
    </row>
    <row r="15" ht="15.25" spans="2:14">
      <c r="B15" s="176" t="s">
        <v>30</v>
      </c>
      <c r="C15" s="177"/>
      <c r="D15" s="178"/>
      <c r="E15" s="179" t="s">
        <v>31</v>
      </c>
      <c r="F15" s="180">
        <v>0.984159309508363</v>
      </c>
      <c r="G15" s="180">
        <v>0.990906355900935</v>
      </c>
      <c r="H15" s="180">
        <v>0.994239535847493</v>
      </c>
      <c r="I15" s="180">
        <v>0.99115831618751</v>
      </c>
      <c r="J15" s="181" t="s">
        <v>31</v>
      </c>
      <c r="K15" s="180">
        <v>0.0512190298612877</v>
      </c>
      <c r="L15" s="180">
        <v>0.0512877319302132</v>
      </c>
      <c r="M15" s="180">
        <v>0.0457817832764505</v>
      </c>
      <c r="N15" s="182">
        <v>0.0500988035534428</v>
      </c>
    </row>
  </sheetData>
  <mergeCells count="8">
    <mergeCell ref="E2:N2"/>
    <mergeCell ref="E3:I3"/>
    <mergeCell ref="J3:N3"/>
    <mergeCell ref="B15:D15"/>
    <mergeCell ref="B2:B4"/>
    <mergeCell ref="B5:B14"/>
    <mergeCell ref="C2:C4"/>
    <mergeCell ref="D2:D4"/>
  </mergeCells>
  <conditionalFormatting sqref="K5:N5">
    <cfRule type="cellIs" dxfId="0" priority="19" operator="lessThan">
      <formula>$J$5</formula>
    </cfRule>
    <cfRule type="cellIs" dxfId="1" priority="20" operator="greaterThan">
      <formula>$J$5</formula>
    </cfRule>
  </conditionalFormatting>
  <conditionalFormatting sqref="K6:N6">
    <cfRule type="cellIs" dxfId="0" priority="17" operator="lessThan">
      <formula>$J$6</formula>
    </cfRule>
    <cfRule type="cellIs" dxfId="1" priority="18" operator="greaterThan">
      <formula>$J$6</formula>
    </cfRule>
  </conditionalFormatting>
  <conditionalFormatting sqref="K7:N7">
    <cfRule type="cellIs" dxfId="0" priority="15" operator="lessThan">
      <formula>$J$7</formula>
    </cfRule>
    <cfRule type="cellIs" dxfId="1" priority="16" operator="greaterThan">
      <formula>$J$7</formula>
    </cfRule>
  </conditionalFormatting>
  <conditionalFormatting sqref="K8:N8">
    <cfRule type="cellIs" dxfId="0" priority="13" operator="lessThan">
      <formula>$J$8</formula>
    </cfRule>
    <cfRule type="cellIs" dxfId="1" priority="14" operator="greaterThan">
      <formula>$J$8</formula>
    </cfRule>
  </conditionalFormatting>
  <conditionalFormatting sqref="K9:N9">
    <cfRule type="cellIs" dxfId="0" priority="11" operator="lessThan">
      <formula>$J$9</formula>
    </cfRule>
    <cfRule type="cellIs" dxfId="1" priority="12" operator="greaterThan">
      <formula>$J$9</formula>
    </cfRule>
  </conditionalFormatting>
  <conditionalFormatting sqref="K10:N10">
    <cfRule type="cellIs" dxfId="0" priority="9" operator="lessThan">
      <formula>$J$10</formula>
    </cfRule>
    <cfRule type="cellIs" dxfId="1" priority="10" operator="greaterThan">
      <formula>$J$10</formula>
    </cfRule>
  </conditionalFormatting>
  <conditionalFormatting sqref="K11:N11">
    <cfRule type="cellIs" dxfId="0" priority="7" operator="lessThan">
      <formula>$J$11</formula>
    </cfRule>
    <cfRule type="cellIs" dxfId="1" priority="8" operator="greaterThan">
      <formula>$J$11</formula>
    </cfRule>
  </conditionalFormatting>
  <conditionalFormatting sqref="K12:N12">
    <cfRule type="cellIs" dxfId="0" priority="5" operator="lessThan">
      <formula>$J$12</formula>
    </cfRule>
    <cfRule type="cellIs" dxfId="1" priority="6" operator="greaterThan">
      <formula>$J$12</formula>
    </cfRule>
  </conditionalFormatting>
  <conditionalFormatting sqref="K13:N13">
    <cfRule type="cellIs" dxfId="0" priority="3" operator="lessThan">
      <formula>$J$13</formula>
    </cfRule>
    <cfRule type="cellIs" dxfId="1" priority="4" operator="greaterThan">
      <formula>$J$13</formula>
    </cfRule>
  </conditionalFormatting>
  <conditionalFormatting sqref="K14:N14">
    <cfRule type="cellIs" dxfId="0" priority="1" operator="lessThan">
      <formula>$J$14</formula>
    </cfRule>
    <cfRule type="cellIs" dxfId="1" priority="2" operator="greaterThan">
      <formula>$J$14</formula>
    </cfRule>
  </conditionalFormatting>
  <conditionalFormatting sqref="N5:N14">
    <cfRule type="cellIs" dxfId="1" priority="26" operator="lessThan">
      <formula>$AD5</formula>
    </cfRule>
  </conditionalFormatting>
  <conditionalFormatting sqref="F5:I14">
    <cfRule type="cellIs" dxfId="0" priority="21" operator="lessThan">
      <formula>$E$5</formula>
    </cfRule>
    <cfRule type="cellIs" dxfId="1" priority="22" operator="greaterThan">
      <formula>$E$5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1688"/>
  <sheetViews>
    <sheetView tabSelected="1" zoomScale="70" zoomScaleNormal="70" topLeftCell="H73" workbookViewId="0">
      <selection activeCell="AZ3" sqref="AZ3"/>
    </sheetView>
  </sheetViews>
  <sheetFormatPr defaultColWidth="9.78181818181818" defaultRowHeight="14"/>
  <cols>
    <col min="1" max="2" width="1.89090909090909" style="29" customWidth="1"/>
    <col min="3" max="3" width="23.6636363636364" style="30" customWidth="1"/>
    <col min="4" max="5" width="29.7818181818182" style="30" customWidth="1"/>
    <col min="6" max="6" width="30.3363636363636" style="30" customWidth="1"/>
    <col min="7" max="7" width="31.8909090909091" style="30" customWidth="1"/>
    <col min="8" max="8" width="30.7818181818182" style="29" customWidth="1"/>
    <col min="9" max="9" width="13.2181818181818" style="29" customWidth="1"/>
    <col min="10" max="10" width="18" style="29" customWidth="1"/>
    <col min="11" max="13" width="15.4454545454545" style="29" customWidth="1"/>
    <col min="14" max="14" width="13.2181818181818" style="29" customWidth="1"/>
    <col min="15" max="15" width="18.3363636363636" style="29" customWidth="1"/>
    <col min="16" max="16" width="17.3363636363636" style="29" customWidth="1"/>
    <col min="17" max="17" width="21.3363636363636" style="29" customWidth="1"/>
    <col min="18" max="18" width="16.1090909090909" style="29" customWidth="1"/>
    <col min="19" max="19" width="13.2181818181818" style="29" customWidth="1"/>
    <col min="20" max="20" width="17.5545454545455" style="29" customWidth="1"/>
    <col min="21" max="21" width="19.1090909090909" style="29" customWidth="1"/>
    <col min="22" max="23" width="16.1090909090909" style="29" customWidth="1"/>
    <col min="24" max="24" width="13.2181818181818" style="29" customWidth="1"/>
    <col min="25" max="25" width="15.3363636363636" style="29" customWidth="1"/>
    <col min="26" max="26" width="14.7818181818182" style="29" customWidth="1"/>
    <col min="27" max="27" width="14.3363636363636" style="29" customWidth="1"/>
    <col min="28" max="28" width="15" style="29" customWidth="1"/>
    <col min="29" max="29" width="13.2181818181818" style="29" customWidth="1"/>
    <col min="30" max="30" width="13.6636363636364" style="29" customWidth="1"/>
    <col min="31" max="31" width="15.1090909090909" style="29" customWidth="1"/>
    <col min="32" max="32" width="15" style="29" customWidth="1"/>
    <col min="33" max="33" width="14.4454545454545" style="29" customWidth="1"/>
    <col min="34" max="34" width="13.2181818181818" style="29" customWidth="1"/>
    <col min="35" max="35" width="16.5545454545455" style="29" customWidth="1"/>
    <col min="36" max="36" width="15.4454545454545" style="29" customWidth="1"/>
    <col min="37" max="37" width="14.3363636363636" style="29" customWidth="1"/>
    <col min="38" max="38" width="14.4454545454545" style="29" customWidth="1"/>
    <col min="39" max="39" width="13" style="29" customWidth="1"/>
    <col min="40" max="40" width="14.6636363636364" style="29" customWidth="1"/>
    <col min="41" max="43" width="16.1090909090909" style="29" customWidth="1"/>
    <col min="44" max="44" width="13.2181818181818" style="29" customWidth="1"/>
    <col min="45" max="45" width="14.2181818181818" style="29" customWidth="1"/>
    <col min="46" max="46" width="15.1090909090909" style="29" customWidth="1"/>
    <col min="47" max="47" width="15.7818181818182" style="29" customWidth="1"/>
    <col min="48" max="48" width="16.1090909090909" style="29" customWidth="1"/>
    <col min="49" max="49" width="10" style="29" customWidth="1"/>
    <col min="50" max="50" width="2.33636363636364" style="31" customWidth="1"/>
    <col min="51" max="52" width="13.7818181818182" style="29" customWidth="1"/>
    <col min="53" max="53" width="15" style="29" customWidth="1"/>
    <col min="54" max="16384" width="9.78181818181818" style="29"/>
  </cols>
  <sheetData>
    <row r="1" ht="12" customHeight="1" spans="1:59">
      <c r="A1" s="32"/>
      <c r="B1" s="33" t="str">
        <f>"网管-雅加达网点质量达成 "&amp;TEXT(AZ2,"YYYY-MM-DD")&amp;"
"&amp;"NM - Pencapaian Kualitas DropPoint Jakarta "&amp;TEXT(AZ2,"YYYY-MM-DD")</f>
        <v>网管-雅加达网点质量达成 2026-08-09
NM - Pencapaian Kualitas DropPoint Jakarta 2026-08-09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4"/>
      <c r="AZ1" s="29" t="s">
        <v>40</v>
      </c>
    </row>
    <row r="2" ht="61.5" customHeight="1" spans="1:59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4"/>
      <c r="AZ2" s="35">
        <f>'06.30, 07.30, &amp; 12.00'!F4</f>
        <v>46243</v>
      </c>
      <c r="BA2" s="35">
        <f>EOMONTH(AZ2,-1)+1</f>
        <v>46235</v>
      </c>
      <c r="BB2" s="29" t="s">
        <v>41</v>
      </c>
      <c r="BE2" s="29">
        <f>COUNTIFS('[1]Raw Abnsensi (2)'!P:P,H:H,'[1]Raw Abnsensi (2)'!Q:Q,1,'[1]Raw Abnsensi (2)'!O:O,"&lt;="&amp;#REF!)</f>
        <v>0</v>
      </c>
      <c r="BF2" s="29">
        <f>COUNTIFS('[1]Raw Abnsensi (2)'!P:P,H:H,'[1]Raw Abnsensi (2)'!Q:Q,1)</f>
        <v>0</v>
      </c>
      <c r="BG2" s="29" t="e">
        <f>BE2/BF2</f>
        <v>#DIV/0!</v>
      </c>
    </row>
    <row r="3" ht="36" customHeight="1" spans="1:59">
      <c r="A3" s="32"/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6"/>
      <c r="AX3" s="34"/>
      <c r="AZ3" s="35">
        <f>AZ2-2</f>
        <v>46241</v>
      </c>
      <c r="BA3" s="35">
        <f>EOMONTH(AZ3,-1)+1</f>
        <v>46235</v>
      </c>
      <c r="BB3" s="29" t="s">
        <v>42</v>
      </c>
    </row>
    <row r="4" ht="249" hidden="1" customHeight="1" spans="1:59">
      <c r="A4" s="32"/>
      <c r="B4" s="36"/>
      <c r="C4" s="38" t="s">
        <v>43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40"/>
      <c r="S4" s="39"/>
      <c r="T4" s="39" t="s">
        <v>44</v>
      </c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40"/>
      <c r="AW4" s="36"/>
      <c r="AX4" s="34"/>
    </row>
    <row r="5" ht="9" customHeight="1" spans="1:59">
      <c r="A5" s="32"/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6"/>
      <c r="AX5" s="34"/>
    </row>
    <row r="6" ht="57" customHeight="1" spans="1:59">
      <c r="A6" s="32"/>
      <c r="B6" s="36"/>
      <c r="C6" s="41" t="s">
        <v>45</v>
      </c>
      <c r="D6" s="6" t="s">
        <v>46</v>
      </c>
      <c r="E6" s="41" t="s">
        <v>47</v>
      </c>
      <c r="F6" s="42" t="s">
        <v>48</v>
      </c>
      <c r="G6" s="43"/>
      <c r="H6" s="44" t="s">
        <v>46</v>
      </c>
      <c r="I6" s="45" t="s">
        <v>49</v>
      </c>
      <c r="J6" s="45"/>
      <c r="K6" s="45"/>
      <c r="L6" s="45"/>
      <c r="M6" s="45"/>
      <c r="N6" s="45"/>
      <c r="O6" s="45"/>
      <c r="P6" s="45"/>
      <c r="Q6" s="45"/>
      <c r="R6" s="45"/>
      <c r="S6" s="45"/>
      <c r="T6" s="46"/>
      <c r="U6" s="46"/>
      <c r="V6" s="45"/>
      <c r="W6" s="47"/>
      <c r="X6" s="48" t="s">
        <v>50</v>
      </c>
      <c r="Y6" s="48"/>
      <c r="Z6" s="48"/>
      <c r="AA6" s="48"/>
      <c r="AB6" s="49"/>
      <c r="AC6" s="50" t="s">
        <v>51</v>
      </c>
      <c r="AD6" s="45"/>
      <c r="AE6" s="45"/>
      <c r="AF6" s="45"/>
      <c r="AG6" s="45"/>
      <c r="AH6" s="45"/>
      <c r="AI6" s="45"/>
      <c r="AJ6" s="45"/>
      <c r="AK6" s="45"/>
      <c r="AL6" s="47"/>
      <c r="AM6" s="51"/>
      <c r="AN6" s="51"/>
      <c r="AO6" s="51"/>
      <c r="AP6" s="51"/>
      <c r="AQ6" s="51"/>
      <c r="AR6" s="51"/>
      <c r="AS6" s="51"/>
      <c r="AT6" s="51"/>
      <c r="AU6" s="51"/>
      <c r="AV6" s="52"/>
      <c r="AW6" s="36"/>
      <c r="AX6" s="34"/>
    </row>
    <row r="7" ht="54.45" customHeight="1" spans="1:59">
      <c r="A7" s="32"/>
      <c r="B7" s="36"/>
      <c r="C7" s="7"/>
      <c r="D7" s="6"/>
      <c r="E7" s="7"/>
      <c r="F7" s="8"/>
      <c r="G7" s="45"/>
      <c r="H7" s="53"/>
      <c r="I7" s="54" t="s">
        <v>52</v>
      </c>
      <c r="J7" s="51"/>
      <c r="K7" s="51"/>
      <c r="L7" s="51"/>
      <c r="M7" s="52"/>
      <c r="N7" s="54" t="s">
        <v>53</v>
      </c>
      <c r="O7" s="51"/>
      <c r="P7" s="51"/>
      <c r="Q7" s="51"/>
      <c r="R7" s="52"/>
      <c r="S7" s="55" t="s">
        <v>54</v>
      </c>
      <c r="T7" s="56"/>
      <c r="U7" s="56"/>
      <c r="V7" s="56"/>
      <c r="W7" s="57"/>
      <c r="X7" s="58" t="s">
        <v>55</v>
      </c>
      <c r="Y7" s="58"/>
      <c r="Z7" s="58"/>
      <c r="AA7" s="58"/>
      <c r="AB7" s="58"/>
      <c r="AC7" s="59" t="s">
        <v>56</v>
      </c>
      <c r="AD7" s="59"/>
      <c r="AE7" s="59"/>
      <c r="AF7" s="59"/>
      <c r="AG7" s="59"/>
      <c r="AH7" s="59" t="s">
        <v>57</v>
      </c>
      <c r="AI7" s="59"/>
      <c r="AJ7" s="59"/>
      <c r="AK7" s="59"/>
      <c r="AL7" s="59"/>
      <c r="AM7" s="51" t="s">
        <v>58</v>
      </c>
      <c r="AN7" s="51"/>
      <c r="AO7" s="51"/>
      <c r="AP7" s="51"/>
      <c r="AQ7" s="52"/>
      <c r="AR7" s="54" t="s">
        <v>59</v>
      </c>
      <c r="AS7" s="51"/>
      <c r="AT7" s="51"/>
      <c r="AU7" s="51"/>
      <c r="AV7" s="52"/>
      <c r="AW7" s="36"/>
      <c r="AX7" s="34"/>
      <c r="AZ7" s="60">
        <f>AZ2-1</f>
        <v>46242</v>
      </c>
    </row>
    <row r="8" ht="56.25" customHeight="1" spans="1:59">
      <c r="A8" s="32"/>
      <c r="B8" s="36"/>
      <c r="C8" s="61"/>
      <c r="D8" s="9"/>
      <c r="E8" s="61"/>
      <c r="F8" s="62"/>
      <c r="G8" s="63"/>
      <c r="H8" s="64"/>
      <c r="I8" s="41" t="s">
        <v>7</v>
      </c>
      <c r="J8" s="65">
        <f>$AZ$2</f>
        <v>46243</v>
      </c>
      <c r="K8" s="66">
        <f>AZ7</f>
        <v>46242</v>
      </c>
      <c r="L8" s="66">
        <f>AZ3</f>
        <v>46241</v>
      </c>
      <c r="M8" s="41" t="s">
        <v>60</v>
      </c>
      <c r="N8" s="41" t="s">
        <v>7</v>
      </c>
      <c r="O8" s="65">
        <f>$AZ$2</f>
        <v>46243</v>
      </c>
      <c r="P8" s="66">
        <f>AZ7</f>
        <v>46242</v>
      </c>
      <c r="Q8" s="66">
        <f>AZ3</f>
        <v>46241</v>
      </c>
      <c r="R8" s="41" t="s">
        <v>60</v>
      </c>
      <c r="S8" s="41" t="s">
        <v>7</v>
      </c>
      <c r="T8" s="65">
        <f>$AZ$2</f>
        <v>46243</v>
      </c>
      <c r="U8" s="66">
        <f>AZ7</f>
        <v>46242</v>
      </c>
      <c r="V8" s="66">
        <f>AZ3</f>
        <v>46241</v>
      </c>
      <c r="W8" s="41" t="s">
        <v>60</v>
      </c>
      <c r="X8" s="41" t="s">
        <v>7</v>
      </c>
      <c r="Y8" s="65">
        <f>$AZ$2</f>
        <v>46243</v>
      </c>
      <c r="Z8" s="66">
        <f>AZ7</f>
        <v>46242</v>
      </c>
      <c r="AA8" s="66">
        <f>AZ3</f>
        <v>46241</v>
      </c>
      <c r="AB8" s="41" t="s">
        <v>60</v>
      </c>
      <c r="AC8" s="41" t="s">
        <v>7</v>
      </c>
      <c r="AD8" s="65">
        <f>$AZ$2</f>
        <v>46243</v>
      </c>
      <c r="AE8" s="66">
        <f>AZ7</f>
        <v>46242</v>
      </c>
      <c r="AF8" s="66">
        <f>AZ3</f>
        <v>46241</v>
      </c>
      <c r="AG8" s="41" t="s">
        <v>60</v>
      </c>
      <c r="AH8" s="41" t="s">
        <v>7</v>
      </c>
      <c r="AI8" s="65">
        <f>$AZ$2</f>
        <v>46243</v>
      </c>
      <c r="AJ8" s="66">
        <f>AZ7</f>
        <v>46242</v>
      </c>
      <c r="AK8" s="66">
        <f>AZ3</f>
        <v>46241</v>
      </c>
      <c r="AL8" s="41" t="s">
        <v>60</v>
      </c>
      <c r="AM8" s="67" t="s">
        <v>7</v>
      </c>
      <c r="AN8" s="65">
        <f>$AZ$2</f>
        <v>46243</v>
      </c>
      <c r="AO8" s="66">
        <f>AZ7</f>
        <v>46242</v>
      </c>
      <c r="AP8" s="66">
        <f>AZ3</f>
        <v>46241</v>
      </c>
      <c r="AQ8" s="41" t="s">
        <v>60</v>
      </c>
      <c r="AR8" s="41" t="s">
        <v>39</v>
      </c>
      <c r="AS8" s="65">
        <f>$AZ$2</f>
        <v>46243</v>
      </c>
      <c r="AT8" s="66">
        <f>AZ7</f>
        <v>46242</v>
      </c>
      <c r="AU8" s="66">
        <f>AZ3</f>
        <v>46241</v>
      </c>
      <c r="AV8" s="41" t="s">
        <v>60</v>
      </c>
      <c r="AW8" s="36"/>
      <c r="AX8" s="34"/>
    </row>
    <row r="9" ht="14.5" spans="1:59">
      <c r="A9" s="32"/>
      <c r="B9" s="36"/>
      <c r="C9" s="68" t="s">
        <v>61</v>
      </c>
      <c r="D9" s="69" t="s">
        <v>29</v>
      </c>
      <c r="E9" s="70" t="s">
        <v>62</v>
      </c>
      <c r="F9" s="70" t="s">
        <v>62</v>
      </c>
      <c r="G9" s="70" t="s">
        <v>62</v>
      </c>
      <c r="H9" s="70" t="s">
        <v>62</v>
      </c>
      <c r="I9" s="71">
        <v>0.9</v>
      </c>
      <c r="J9" s="72">
        <v>0.851851851851852</v>
      </c>
      <c r="K9" s="72">
        <v>0.892857142857143</v>
      </c>
      <c r="L9" s="73">
        <v>0.819672131147541</v>
      </c>
      <c r="M9" s="73">
        <v>0.867704280155642</v>
      </c>
      <c r="N9" s="74">
        <v>0.9</v>
      </c>
      <c r="O9" s="75">
        <v>0.986294148655772</v>
      </c>
      <c r="P9" s="72">
        <v>0.964923634480973</v>
      </c>
      <c r="Q9" s="72">
        <v>0.937201274561869</v>
      </c>
      <c r="R9" s="72">
        <v>0.91206682802999</v>
      </c>
      <c r="S9" s="74">
        <v>0.9</v>
      </c>
      <c r="T9" s="72">
        <v>0.625197680548234</v>
      </c>
      <c r="U9" s="72">
        <v>0.720424540512555</v>
      </c>
      <c r="V9" s="72">
        <v>0.680297397769517</v>
      </c>
      <c r="W9" s="72">
        <v>0.647012810673594</v>
      </c>
      <c r="X9" s="74">
        <v>0.92</v>
      </c>
      <c r="Y9" s="74">
        <v>0.878664782762275</v>
      </c>
      <c r="Z9" s="74">
        <v>0.914607237422771</v>
      </c>
      <c r="AA9" s="74">
        <v>0.947556114956996</v>
      </c>
      <c r="AB9" s="74">
        <v>0.926149083115027</v>
      </c>
      <c r="AC9" s="74">
        <v>0.92</v>
      </c>
      <c r="AD9" s="72">
        <v>0.984276829345688</v>
      </c>
      <c r="AE9" s="72">
        <v>0.98081241298783</v>
      </c>
      <c r="AF9" s="72">
        <v>0.985953259197757</v>
      </c>
      <c r="AG9" s="72">
        <v>0.980027149045208</v>
      </c>
      <c r="AH9" s="74">
        <v>0.92</v>
      </c>
      <c r="AI9" s="72">
        <v>0.897201900595822</v>
      </c>
      <c r="AJ9" s="72">
        <v>0.934747145187602</v>
      </c>
      <c r="AK9" s="72">
        <v>0.956928078017066</v>
      </c>
      <c r="AL9" s="72">
        <v>0.943954682889512</v>
      </c>
      <c r="AM9" s="71">
        <v>0.99</v>
      </c>
      <c r="AN9" s="76">
        <v>1</v>
      </c>
      <c r="AO9" s="76">
        <v>1</v>
      </c>
      <c r="AP9" s="76">
        <v>1</v>
      </c>
      <c r="AQ9" s="77">
        <v>1</v>
      </c>
      <c r="AR9" s="78">
        <v>0.0872182100128262</v>
      </c>
      <c r="AS9" s="79">
        <v>0.0606060606060606</v>
      </c>
      <c r="AT9" s="80">
        <v>0.03125</v>
      </c>
      <c r="AU9" s="80">
        <v>0</v>
      </c>
      <c r="AV9" s="80">
        <v>0.0426829268292683</v>
      </c>
      <c r="AW9" s="36"/>
      <c r="AX9" s="34"/>
    </row>
    <row r="10" ht="14.5" spans="1:59">
      <c r="A10" s="32"/>
      <c r="B10" s="36"/>
      <c r="C10" s="68" t="s">
        <v>61</v>
      </c>
      <c r="D10" s="69" t="s">
        <v>29</v>
      </c>
      <c r="E10" s="70" t="s">
        <v>63</v>
      </c>
      <c r="F10" s="70" t="s">
        <v>63</v>
      </c>
      <c r="G10" s="70" t="s">
        <v>63</v>
      </c>
      <c r="H10" s="70" t="s">
        <v>63</v>
      </c>
      <c r="I10" s="71">
        <v>0.9</v>
      </c>
      <c r="J10" s="72">
        <v>0.836538461538462</v>
      </c>
      <c r="K10" s="72">
        <v>0.834782608695652</v>
      </c>
      <c r="L10" s="73">
        <v>0.872881355932203</v>
      </c>
      <c r="M10" s="72">
        <v>0.81734693877551</v>
      </c>
      <c r="N10" s="74">
        <v>0.9</v>
      </c>
      <c r="O10" s="72">
        <v>0.972556470339878</v>
      </c>
      <c r="P10" s="72">
        <v>0.991724137931035</v>
      </c>
      <c r="Q10" s="72">
        <v>0.986949247071946</v>
      </c>
      <c r="R10" s="72">
        <v>0.979088800490332</v>
      </c>
      <c r="S10" s="74">
        <v>0.9</v>
      </c>
      <c r="T10" s="72">
        <v>0.713426219126029</v>
      </c>
      <c r="U10" s="72">
        <v>0.782811671087533</v>
      </c>
      <c r="V10" s="72">
        <v>0.796095928611266</v>
      </c>
      <c r="W10" s="72">
        <v>0.749462197598817</v>
      </c>
      <c r="X10" s="74">
        <v>0.92</v>
      </c>
      <c r="Y10" s="74">
        <v>0.910921549433646</v>
      </c>
      <c r="Z10" s="74">
        <v>0.943012211668928</v>
      </c>
      <c r="AA10" s="74">
        <v>0.963739188290087</v>
      </c>
      <c r="AB10" s="74">
        <v>0.945867034202604</v>
      </c>
      <c r="AC10" s="74">
        <v>0.92</v>
      </c>
      <c r="AD10" s="72">
        <v>0.980998452012384</v>
      </c>
      <c r="AE10" s="72">
        <v>0.98523636912853</v>
      </c>
      <c r="AF10" s="72">
        <v>0.990276633313714</v>
      </c>
      <c r="AG10" s="72">
        <v>0.963261836908155</v>
      </c>
      <c r="AH10" s="74">
        <v>0.92</v>
      </c>
      <c r="AI10" s="72">
        <v>0.926286676286676</v>
      </c>
      <c r="AJ10" s="72">
        <v>0.954002740262282</v>
      </c>
      <c r="AK10" s="72">
        <v>0.965896956753871</v>
      </c>
      <c r="AL10" s="72">
        <v>0.953921745727808</v>
      </c>
      <c r="AM10" s="71">
        <v>0.99</v>
      </c>
      <c r="AN10" s="76">
        <v>1</v>
      </c>
      <c r="AO10" s="76">
        <v>1</v>
      </c>
      <c r="AP10" s="76">
        <v>1</v>
      </c>
      <c r="AQ10" s="77">
        <v>1</v>
      </c>
      <c r="AR10" s="78">
        <v>0.0872182100128262</v>
      </c>
      <c r="AS10" s="79">
        <v>0.0769230769230769</v>
      </c>
      <c r="AT10" s="80">
        <v>0.0303030303030303</v>
      </c>
      <c r="AU10" s="80">
        <v>0.08</v>
      </c>
      <c r="AV10" s="80">
        <v>0.0754039497307002</v>
      </c>
      <c r="AW10" s="36"/>
      <c r="AX10" s="34"/>
    </row>
    <row r="11" ht="14.5" spans="1:59">
      <c r="A11" s="32"/>
      <c r="B11" s="36"/>
      <c r="C11" s="68" t="s">
        <v>61</v>
      </c>
      <c r="D11" s="69" t="s">
        <v>29</v>
      </c>
      <c r="E11" s="70" t="s">
        <v>64</v>
      </c>
      <c r="F11" s="70" t="s">
        <v>64</v>
      </c>
      <c r="G11" s="70" t="s">
        <v>64</v>
      </c>
      <c r="H11" s="70" t="s">
        <v>64</v>
      </c>
      <c r="I11" s="71">
        <v>0.9</v>
      </c>
      <c r="J11" s="72">
        <v>1</v>
      </c>
      <c r="K11" s="72">
        <v>0.933333333333333</v>
      </c>
      <c r="L11" s="73">
        <v>0.90625</v>
      </c>
      <c r="M11" s="72">
        <v>0.967391304347826</v>
      </c>
      <c r="N11" s="74">
        <v>0.9</v>
      </c>
      <c r="O11" s="72">
        <v>0.993184634448575</v>
      </c>
      <c r="P11" s="72">
        <v>0.99639855942377</v>
      </c>
      <c r="Q11" s="72">
        <v>0.992903607332939</v>
      </c>
      <c r="R11" s="72">
        <v>0.985166014392122</v>
      </c>
      <c r="S11" s="74">
        <v>0.9</v>
      </c>
      <c r="T11" s="72">
        <v>0.906443618339529</v>
      </c>
      <c r="U11" s="72">
        <v>0.872749099639856</v>
      </c>
      <c r="V11" s="72">
        <v>0.878769958604376</v>
      </c>
      <c r="W11" s="72">
        <v>0.894773387198586</v>
      </c>
      <c r="X11" s="74">
        <v>0.92</v>
      </c>
      <c r="Y11" s="74">
        <v>0.957865168539326</v>
      </c>
      <c r="Z11" s="74">
        <v>0.952762209767814</v>
      </c>
      <c r="AA11" s="74">
        <v>0.939739413680782</v>
      </c>
      <c r="AB11" s="74">
        <v>0.960456202673647</v>
      </c>
      <c r="AC11" s="74">
        <v>0.92</v>
      </c>
      <c r="AD11" s="72">
        <v>0.995238095238095</v>
      </c>
      <c r="AE11" s="72">
        <v>0.951557370486028</v>
      </c>
      <c r="AF11" s="72">
        <v>0.853261350561997</v>
      </c>
      <c r="AG11" s="72">
        <v>0.871746766725212</v>
      </c>
      <c r="AH11" s="74">
        <v>0.92</v>
      </c>
      <c r="AI11" s="72">
        <v>0.960500329163924</v>
      </c>
      <c r="AJ11" s="72">
        <v>0.955403087478559</v>
      </c>
      <c r="AK11" s="72">
        <v>0.955121616992121</v>
      </c>
      <c r="AL11" s="72">
        <v>0.969222075720475</v>
      </c>
      <c r="AM11" s="71">
        <v>0.99</v>
      </c>
      <c r="AN11" s="76">
        <v>1</v>
      </c>
      <c r="AO11" s="76">
        <v>1</v>
      </c>
      <c r="AP11" s="76">
        <v>1</v>
      </c>
      <c r="AQ11" s="76">
        <v>1</v>
      </c>
      <c r="AR11" s="78">
        <v>0.0872182100128262</v>
      </c>
      <c r="AS11" s="80">
        <v>0.111111111111111</v>
      </c>
      <c r="AT11" s="80">
        <v>0.0769230769230769</v>
      </c>
      <c r="AU11" s="80">
        <v>0.0588235294117647</v>
      </c>
      <c r="AV11" s="80">
        <v>0.0495049504950495</v>
      </c>
      <c r="AW11" s="36"/>
      <c r="AX11" s="34"/>
    </row>
    <row r="12" ht="14.5" spans="1:59">
      <c r="A12" s="32"/>
      <c r="B12" s="36"/>
      <c r="C12" s="68" t="s">
        <v>61</v>
      </c>
      <c r="D12" s="69" t="s">
        <v>29</v>
      </c>
      <c r="E12" s="70" t="s">
        <v>65</v>
      </c>
      <c r="F12" s="70" t="s">
        <v>65</v>
      </c>
      <c r="G12" s="70" t="s">
        <v>65</v>
      </c>
      <c r="H12" s="70" t="s">
        <v>65</v>
      </c>
      <c r="I12" s="71">
        <v>0.9</v>
      </c>
      <c r="J12" s="72">
        <v>0.938775510204082</v>
      </c>
      <c r="K12" s="72">
        <v>0.877358490566038</v>
      </c>
      <c r="L12" s="73">
        <v>0.932692307692308</v>
      </c>
      <c r="M12" s="72">
        <v>0.903983656792646</v>
      </c>
      <c r="N12" s="74">
        <v>0.9</v>
      </c>
      <c r="O12" s="72">
        <v>0.806108478146393</v>
      </c>
      <c r="P12" s="72">
        <v>0.863101359844589</v>
      </c>
      <c r="Q12" s="72">
        <v>0.940241796200345</v>
      </c>
      <c r="R12" s="72">
        <v>0.887885711477987</v>
      </c>
      <c r="S12" s="74">
        <v>0.9</v>
      </c>
      <c r="T12" s="72">
        <v>0.641916798314903</v>
      </c>
      <c r="U12" s="72">
        <v>0.737515712490001</v>
      </c>
      <c r="V12" s="72">
        <v>0.792630972941854</v>
      </c>
      <c r="W12" s="72">
        <v>0.756780660377358</v>
      </c>
      <c r="X12" s="74">
        <v>0.92</v>
      </c>
      <c r="Y12" s="74">
        <v>0.842940578974099</v>
      </c>
      <c r="Z12" s="74">
        <v>0.965077605321508</v>
      </c>
      <c r="AA12" s="74">
        <v>0.977924528301887</v>
      </c>
      <c r="AB12" s="74">
        <v>0.954519720702019</v>
      </c>
      <c r="AC12" s="74">
        <v>0.92</v>
      </c>
      <c r="AD12" s="72">
        <v>0.73134328358209</v>
      </c>
      <c r="AE12" s="72">
        <v>0.890603085553997</v>
      </c>
      <c r="AF12" s="72">
        <v>0.674047829937998</v>
      </c>
      <c r="AG12" s="72">
        <v>0.860811394044022</v>
      </c>
      <c r="AH12" s="74">
        <v>0.92</v>
      </c>
      <c r="AI12" s="72">
        <v>0.853105393426581</v>
      </c>
      <c r="AJ12" s="72">
        <v>0.969005930528099</v>
      </c>
      <c r="AK12" s="72">
        <v>0.980551980551981</v>
      </c>
      <c r="AL12" s="72">
        <v>0.961647198869132</v>
      </c>
      <c r="AM12" s="71">
        <v>0.99</v>
      </c>
      <c r="AN12" s="76">
        <v>1</v>
      </c>
      <c r="AO12" s="76">
        <v>1</v>
      </c>
      <c r="AP12" s="76">
        <v>1</v>
      </c>
      <c r="AQ12" s="76">
        <v>1</v>
      </c>
      <c r="AR12" s="78">
        <v>0.0872182100128262</v>
      </c>
      <c r="AS12" s="80">
        <v>0.0172413793103448</v>
      </c>
      <c r="AT12" s="80">
        <v>0.0178571428571429</v>
      </c>
      <c r="AU12" s="80">
        <v>0.0545454545454545</v>
      </c>
      <c r="AV12" s="80">
        <v>0.0566037735849057</v>
      </c>
      <c r="AW12" s="36"/>
      <c r="AX12" s="34"/>
    </row>
    <row r="13" ht="14.5" spans="1:59">
      <c r="A13" s="32"/>
      <c r="B13" s="36"/>
      <c r="C13" s="68" t="s">
        <v>61</v>
      </c>
      <c r="D13" s="69" t="s">
        <v>29</v>
      </c>
      <c r="E13" s="70" t="s">
        <v>66</v>
      </c>
      <c r="F13" s="70" t="s">
        <v>66</v>
      </c>
      <c r="G13" s="70" t="s">
        <v>66</v>
      </c>
      <c r="H13" s="70" t="s">
        <v>66</v>
      </c>
      <c r="I13" s="71">
        <v>0.9</v>
      </c>
      <c r="J13" s="72">
        <v>0.86046511627907</v>
      </c>
      <c r="K13" s="72">
        <v>0.851063829787234</v>
      </c>
      <c r="L13" s="73">
        <v>0.833333333333333</v>
      </c>
      <c r="M13" s="72">
        <v>0.852097130242826</v>
      </c>
      <c r="N13" s="74">
        <v>0.9</v>
      </c>
      <c r="O13" s="72">
        <v>0.83151352259365</v>
      </c>
      <c r="P13" s="72">
        <v>0.861919305577881</v>
      </c>
      <c r="Q13" s="72">
        <v>0.89851406892191</v>
      </c>
      <c r="R13" s="72">
        <v>0.893146163129126</v>
      </c>
      <c r="S13" s="74">
        <v>0.9</v>
      </c>
      <c r="T13" s="72">
        <v>0.856878884596002</v>
      </c>
      <c r="U13" s="72">
        <v>0.889567593634464</v>
      </c>
      <c r="V13" s="72">
        <v>0.908947202023396</v>
      </c>
      <c r="W13" s="72">
        <v>0.898700929935401</v>
      </c>
      <c r="X13" s="74">
        <v>0.92</v>
      </c>
      <c r="Y13" s="74">
        <v>0.923937360178971</v>
      </c>
      <c r="Z13" s="74">
        <v>0.92540661805945</v>
      </c>
      <c r="AA13" s="74">
        <v>0.963119860453526</v>
      </c>
      <c r="AB13" s="74">
        <v>0.929147584576747</v>
      </c>
      <c r="AC13" s="74">
        <v>0.92</v>
      </c>
      <c r="AD13" s="72">
        <v>0.99311286407767</v>
      </c>
      <c r="AE13" s="72">
        <v>0.949618851339607</v>
      </c>
      <c r="AF13" s="72">
        <v>0.881415202349545</v>
      </c>
      <c r="AG13" s="72">
        <v>0.960336953412442</v>
      </c>
      <c r="AH13" s="74">
        <v>0.92</v>
      </c>
      <c r="AI13" s="72">
        <v>0.929157494496698</v>
      </c>
      <c r="AJ13" s="72">
        <v>0.956073143324139</v>
      </c>
      <c r="AK13" s="72">
        <v>0.977666054336266</v>
      </c>
      <c r="AL13" s="72">
        <v>0.952921880021722</v>
      </c>
      <c r="AM13" s="71">
        <v>0.99</v>
      </c>
      <c r="AN13" s="76">
        <v>1</v>
      </c>
      <c r="AO13" s="76">
        <v>1</v>
      </c>
      <c r="AP13" s="76">
        <v>1</v>
      </c>
      <c r="AQ13" s="76">
        <v>1</v>
      </c>
      <c r="AR13" s="78">
        <v>0.0872182100128262</v>
      </c>
      <c r="AS13" s="80">
        <v>0.1</v>
      </c>
      <c r="AT13" s="80">
        <v>0.0571428571428571</v>
      </c>
      <c r="AU13" s="80">
        <v>0.0384615384615385</v>
      </c>
      <c r="AV13" s="80">
        <v>0.0490196078431373</v>
      </c>
      <c r="AW13" s="36"/>
      <c r="AX13" s="34"/>
    </row>
    <row r="14" ht="14.5" spans="1:59">
      <c r="A14" s="32"/>
      <c r="B14" s="36"/>
      <c r="C14" s="68" t="s">
        <v>61</v>
      </c>
      <c r="D14" s="69" t="s">
        <v>29</v>
      </c>
      <c r="E14" s="70" t="s">
        <v>67</v>
      </c>
      <c r="F14" s="70" t="s">
        <v>67</v>
      </c>
      <c r="G14" s="70" t="s">
        <v>67</v>
      </c>
      <c r="H14" s="70" t="s">
        <v>67</v>
      </c>
      <c r="I14" s="71">
        <v>0.9</v>
      </c>
      <c r="J14" s="72">
        <v>0.901408450704225</v>
      </c>
      <c r="K14" s="72">
        <v>0.918918918918919</v>
      </c>
      <c r="L14" s="73">
        <v>0.922077922077922</v>
      </c>
      <c r="M14" s="72">
        <v>0.883823529411765</v>
      </c>
      <c r="N14" s="74">
        <v>0.9</v>
      </c>
      <c r="O14" s="72">
        <v>0.805162473794549</v>
      </c>
      <c r="P14" s="72">
        <v>0.920446711705501</v>
      </c>
      <c r="Q14" s="72">
        <v>0.77395149403725</v>
      </c>
      <c r="R14" s="72">
        <v>0.83205759868614</v>
      </c>
      <c r="S14" s="74">
        <v>0.9</v>
      </c>
      <c r="T14" s="72">
        <v>0.667845911949686</v>
      </c>
      <c r="U14" s="72">
        <v>0.805597683717083</v>
      </c>
      <c r="V14" s="72">
        <v>0.805038188396087</v>
      </c>
      <c r="W14" s="72">
        <v>0.763901108569418</v>
      </c>
      <c r="X14" s="74">
        <v>0.92</v>
      </c>
      <c r="Y14" s="74">
        <v>0.897430167597765</v>
      </c>
      <c r="Z14" s="74">
        <v>0.986085586768181</v>
      </c>
      <c r="AA14" s="74">
        <v>0.958313926408943</v>
      </c>
      <c r="AB14" s="74">
        <v>0.966352732834259</v>
      </c>
      <c r="AC14" s="74">
        <v>0.92</v>
      </c>
      <c r="AD14" s="72">
        <v>0.955280327963508</v>
      </c>
      <c r="AE14" s="72">
        <v>0.849846718525161</v>
      </c>
      <c r="AF14" s="72">
        <v>0.94581983736891</v>
      </c>
      <c r="AG14" s="72">
        <v>0.917631305085498</v>
      </c>
      <c r="AH14" s="74">
        <v>0.92</v>
      </c>
      <c r="AI14" s="72">
        <v>0.905512460802113</v>
      </c>
      <c r="AJ14" s="72">
        <v>0.978237312624165</v>
      </c>
      <c r="AK14" s="72">
        <v>0.967358041482489</v>
      </c>
      <c r="AL14" s="72">
        <v>0.968602810868185</v>
      </c>
      <c r="AM14" s="71">
        <v>0.99</v>
      </c>
      <c r="AN14" s="76">
        <v>1</v>
      </c>
      <c r="AO14" s="76">
        <v>1</v>
      </c>
      <c r="AP14" s="76">
        <v>1</v>
      </c>
      <c r="AQ14" s="76">
        <v>1</v>
      </c>
      <c r="AR14" s="78">
        <v>0.0872182100128262</v>
      </c>
      <c r="AS14" s="80">
        <v>0</v>
      </c>
      <c r="AT14" s="80">
        <v>0.0487804878048781</v>
      </c>
      <c r="AU14" s="80">
        <v>0.0666666666666667</v>
      </c>
      <c r="AV14" s="80">
        <v>0.0660592255125285</v>
      </c>
      <c r="AW14" s="36"/>
      <c r="AX14" s="34"/>
    </row>
    <row r="15" ht="14.5" spans="1:59">
      <c r="A15" s="32"/>
      <c r="B15" s="36"/>
      <c r="C15" s="68" t="s">
        <v>61</v>
      </c>
      <c r="D15" s="69" t="s">
        <v>29</v>
      </c>
      <c r="E15" s="81" t="s">
        <v>68</v>
      </c>
      <c r="F15" s="81" t="s">
        <v>68</v>
      </c>
      <c r="G15" s="81" t="s">
        <v>68</v>
      </c>
      <c r="H15" s="81" t="s">
        <v>68</v>
      </c>
      <c r="I15" s="71">
        <v>0.9</v>
      </c>
      <c r="J15" s="72">
        <v>0.957983193277311</v>
      </c>
      <c r="K15" s="72">
        <v>0.991935483870968</v>
      </c>
      <c r="L15" s="73">
        <v>1</v>
      </c>
      <c r="M15" s="72">
        <v>0.988171064604186</v>
      </c>
      <c r="N15" s="74">
        <v>0.9</v>
      </c>
      <c r="O15" s="72">
        <v>0.854661641815501</v>
      </c>
      <c r="P15" s="72">
        <v>0.965505913272011</v>
      </c>
      <c r="Q15" s="72">
        <v>0.985964613814223</v>
      </c>
      <c r="R15" s="72">
        <v>0.961410555212661</v>
      </c>
      <c r="S15" s="74">
        <v>0.9</v>
      </c>
      <c r="T15" s="72">
        <v>0.875143372112076</v>
      </c>
      <c r="U15" s="72">
        <v>0.914832457293036</v>
      </c>
      <c r="V15" s="72">
        <v>0.923018033344675</v>
      </c>
      <c r="W15" s="72">
        <v>0.905327351616261</v>
      </c>
      <c r="X15" s="74">
        <v>0.92</v>
      </c>
      <c r="Y15" s="74">
        <v>0.938887691312783</v>
      </c>
      <c r="Z15" s="74">
        <v>0.956381693732385</v>
      </c>
      <c r="AA15" s="74">
        <v>0.964132553606238</v>
      </c>
      <c r="AB15" s="74">
        <v>0.959254084571298</v>
      </c>
      <c r="AC15" s="74">
        <v>0.92</v>
      </c>
      <c r="AD15" s="72">
        <v>0.997909062341367</v>
      </c>
      <c r="AE15" s="72">
        <v>0.996091053502666</v>
      </c>
      <c r="AF15" s="72">
        <v>0.995353380438553</v>
      </c>
      <c r="AG15" s="72">
        <v>0.996517085728207</v>
      </c>
      <c r="AH15" s="74">
        <v>0.92</v>
      </c>
      <c r="AI15" s="72">
        <v>0.952296737562247</v>
      </c>
      <c r="AJ15" s="72">
        <v>0.968009780449289</v>
      </c>
      <c r="AK15" s="72">
        <v>0.974708271217807</v>
      </c>
      <c r="AL15" s="72">
        <v>0.972481786949272</v>
      </c>
      <c r="AM15" s="71">
        <v>0.99</v>
      </c>
      <c r="AN15" s="76">
        <v>1</v>
      </c>
      <c r="AO15" s="76">
        <v>1</v>
      </c>
      <c r="AP15" s="76">
        <v>1</v>
      </c>
      <c r="AQ15" s="76">
        <v>1</v>
      </c>
      <c r="AR15" s="78">
        <v>0.0872182100128262</v>
      </c>
      <c r="AS15" s="80">
        <v>0.0123456790123457</v>
      </c>
      <c r="AT15" s="80">
        <v>0.0217391304347826</v>
      </c>
      <c r="AU15" s="80">
        <v>0.0132450331125828</v>
      </c>
      <c r="AV15" s="80">
        <v>0.0156695156695157</v>
      </c>
      <c r="AW15" s="36"/>
      <c r="AX15" s="34"/>
    </row>
    <row r="16" ht="14.5" spans="1:59">
      <c r="A16" s="32"/>
      <c r="B16" s="36"/>
      <c r="C16" s="68" t="s">
        <v>61</v>
      </c>
      <c r="D16" s="69" t="s">
        <v>29</v>
      </c>
      <c r="E16" s="81" t="s">
        <v>69</v>
      </c>
      <c r="F16" s="81" t="s">
        <v>69</v>
      </c>
      <c r="G16" s="81" t="s">
        <v>69</v>
      </c>
      <c r="H16" s="81" t="s">
        <v>69</v>
      </c>
      <c r="I16" s="71">
        <v>0.9</v>
      </c>
      <c r="J16" s="72">
        <v>1</v>
      </c>
      <c r="K16" s="72">
        <v>0.962962962962963</v>
      </c>
      <c r="L16" s="73">
        <v>0.896551724137931</v>
      </c>
      <c r="M16" s="72">
        <v>0.955823293172691</v>
      </c>
      <c r="N16" s="74">
        <v>0.9</v>
      </c>
      <c r="O16" s="72">
        <v>0.991068936645269</v>
      </c>
      <c r="P16" s="72">
        <v>0.99386830178619</v>
      </c>
      <c r="Q16" s="72">
        <v>0.994346978557505</v>
      </c>
      <c r="R16" s="72">
        <v>0.989338071968014</v>
      </c>
      <c r="S16" s="74">
        <v>0.9</v>
      </c>
      <c r="T16" s="72">
        <v>0.973485905665643</v>
      </c>
      <c r="U16" s="72">
        <v>0.977339376166356</v>
      </c>
      <c r="V16" s="72">
        <v>0.987719298245614</v>
      </c>
      <c r="W16" s="72">
        <v>0.987561083962683</v>
      </c>
      <c r="X16" s="74">
        <v>0.92</v>
      </c>
      <c r="Y16" s="74">
        <v>0</v>
      </c>
      <c r="Z16" s="74">
        <v>0</v>
      </c>
      <c r="AA16" s="74">
        <v>0</v>
      </c>
      <c r="AB16" s="74">
        <v>0</v>
      </c>
      <c r="AC16" s="74">
        <v>0.92</v>
      </c>
      <c r="AD16" s="72">
        <v>0.9</v>
      </c>
      <c r="AE16" s="72">
        <v>0.5</v>
      </c>
      <c r="AF16" s="72">
        <v>0.6</v>
      </c>
      <c r="AG16" s="72">
        <v>0.479452054794521</v>
      </c>
      <c r="AH16" s="74">
        <v>0.92</v>
      </c>
      <c r="AI16" s="72">
        <v>0.977393245883338</v>
      </c>
      <c r="AJ16" s="72">
        <v>0.984270861103706</v>
      </c>
      <c r="AK16" s="72">
        <v>0.99317738791423</v>
      </c>
      <c r="AL16" s="72">
        <v>0.993145903408009</v>
      </c>
      <c r="AM16" s="71">
        <v>0.99</v>
      </c>
      <c r="AN16" s="76">
        <v>1</v>
      </c>
      <c r="AO16" s="76">
        <v>1</v>
      </c>
      <c r="AP16" s="76">
        <v>1</v>
      </c>
      <c r="AQ16" s="76">
        <v>1</v>
      </c>
      <c r="AR16" s="78">
        <v>0.0872182100128262</v>
      </c>
      <c r="AS16" s="80">
        <v>0.15</v>
      </c>
      <c r="AT16" s="80">
        <v>0</v>
      </c>
      <c r="AU16" s="80">
        <v>0.0769230769230769</v>
      </c>
      <c r="AV16" s="80">
        <v>0.0804597701149425</v>
      </c>
      <c r="AW16" s="36"/>
      <c r="AX16" s="34"/>
    </row>
    <row r="17" ht="14.5" spans="1:50">
      <c r="A17" s="32"/>
      <c r="B17" s="36"/>
      <c r="C17" s="68" t="s">
        <v>61</v>
      </c>
      <c r="D17" s="69" t="s">
        <v>29</v>
      </c>
      <c r="E17" s="81" t="s">
        <v>70</v>
      </c>
      <c r="F17" s="81" t="s">
        <v>70</v>
      </c>
      <c r="G17" s="81" t="s">
        <v>70</v>
      </c>
      <c r="H17" s="81" t="s">
        <v>70</v>
      </c>
      <c r="I17" s="71">
        <v>0.9</v>
      </c>
      <c r="J17" s="72">
        <v>0.75609756097561</v>
      </c>
      <c r="K17" s="72">
        <v>0.760416666666667</v>
      </c>
      <c r="L17" s="73">
        <v>0.85</v>
      </c>
      <c r="M17" s="72">
        <v>0.804624277456647</v>
      </c>
      <c r="N17" s="74">
        <v>0.9</v>
      </c>
      <c r="O17" s="72">
        <v>0.986813713737713</v>
      </c>
      <c r="P17" s="72">
        <v>0.966289209944032</v>
      </c>
      <c r="Q17" s="72">
        <v>0.946899173987151</v>
      </c>
      <c r="R17" s="72">
        <v>0.979068358627726</v>
      </c>
      <c r="S17" s="74">
        <v>0.9</v>
      </c>
      <c r="T17" s="72">
        <v>0.528410453128746</v>
      </c>
      <c r="U17" s="72">
        <v>0.603670441233893</v>
      </c>
      <c r="V17" s="72">
        <v>0.705126524190376</v>
      </c>
      <c r="W17" s="72">
        <v>0.639283892360668</v>
      </c>
      <c r="X17" s="74">
        <v>0.92</v>
      </c>
      <c r="Y17" s="74">
        <v>0.669427905772715</v>
      </c>
      <c r="Z17" s="74">
        <v>0.852151598894591</v>
      </c>
      <c r="AA17" s="74">
        <v>0.890298812934916</v>
      </c>
      <c r="AB17" s="74">
        <v>0.815134410346245</v>
      </c>
      <c r="AC17" s="74">
        <v>0.92</v>
      </c>
      <c r="AD17" s="72">
        <v>0.991477272727273</v>
      </c>
      <c r="AE17" s="72">
        <v>0.670412463286936</v>
      </c>
      <c r="AF17" s="72">
        <v>0.668254167188871</v>
      </c>
      <c r="AG17" s="72">
        <v>0.83069490778624</v>
      </c>
      <c r="AH17" s="74">
        <v>0.92</v>
      </c>
      <c r="AI17" s="72">
        <v>0.681711211968398</v>
      </c>
      <c r="AJ17" s="72">
        <v>0.885969727864481</v>
      </c>
      <c r="AK17" s="72">
        <v>0.917845440741629</v>
      </c>
      <c r="AL17" s="72">
        <v>0.858861421571326</v>
      </c>
      <c r="AM17" s="71">
        <v>0.99</v>
      </c>
      <c r="AN17" s="76">
        <v>1</v>
      </c>
      <c r="AO17" s="76">
        <v>1</v>
      </c>
      <c r="AP17" s="76">
        <v>1</v>
      </c>
      <c r="AQ17" s="76">
        <v>1</v>
      </c>
      <c r="AR17" s="78">
        <v>0.0872182100128262</v>
      </c>
      <c r="AS17" s="80">
        <v>0.0169491525423729</v>
      </c>
      <c r="AT17" s="80">
        <v>0.0983606557377049</v>
      </c>
      <c r="AU17" s="80">
        <v>0.180327868852459</v>
      </c>
      <c r="AV17" s="80">
        <v>0.0606585788561525</v>
      </c>
      <c r="AW17" s="36"/>
      <c r="AX17" s="34"/>
    </row>
    <row r="18" ht="14.5" spans="1:50">
      <c r="A18" s="32"/>
      <c r="B18" s="36"/>
      <c r="C18" s="68" t="s">
        <v>61</v>
      </c>
      <c r="D18" s="69" t="s">
        <v>29</v>
      </c>
      <c r="E18" s="81" t="s">
        <v>71</v>
      </c>
      <c r="F18" s="81" t="s">
        <v>71</v>
      </c>
      <c r="G18" s="81" t="s">
        <v>71</v>
      </c>
      <c r="H18" s="81" t="s">
        <v>71</v>
      </c>
      <c r="I18" s="71">
        <v>0.9</v>
      </c>
      <c r="J18" s="72">
        <v>0.961538461538462</v>
      </c>
      <c r="K18" s="72">
        <v>0.973451327433628</v>
      </c>
      <c r="L18" s="73">
        <v>0.991735537190083</v>
      </c>
      <c r="M18" s="72">
        <v>0.97131931166348</v>
      </c>
      <c r="N18" s="74">
        <v>0.9</v>
      </c>
      <c r="O18" s="72">
        <v>0.9760092272203</v>
      </c>
      <c r="P18" s="72">
        <v>0.981620149761743</v>
      </c>
      <c r="Q18" s="72">
        <v>0.990764725757405</v>
      </c>
      <c r="R18" s="72">
        <v>0.979404806375296</v>
      </c>
      <c r="S18" s="74">
        <v>0.9</v>
      </c>
      <c r="T18" s="72">
        <v>0.740484429065744</v>
      </c>
      <c r="U18" s="72">
        <v>0.821420467438167</v>
      </c>
      <c r="V18" s="72">
        <v>0.867777902916995</v>
      </c>
      <c r="W18" s="72">
        <v>0.827630432075707</v>
      </c>
      <c r="X18" s="74">
        <v>0.92</v>
      </c>
      <c r="Y18" s="74">
        <v>0.834033025468794</v>
      </c>
      <c r="Z18" s="74">
        <v>0.885061450579886</v>
      </c>
      <c r="AA18" s="74">
        <v>0.935029282576867</v>
      </c>
      <c r="AB18" s="74">
        <v>0.909712898420114</v>
      </c>
      <c r="AC18" s="74">
        <v>0.92</v>
      </c>
      <c r="AD18" s="72">
        <v>0.991212653778559</v>
      </c>
      <c r="AE18" s="72">
        <v>0.930985245121371</v>
      </c>
      <c r="AF18" s="72">
        <v>0.984303797468354</v>
      </c>
      <c r="AG18" s="72">
        <v>0.976758866062206</v>
      </c>
      <c r="AH18" s="74">
        <v>0.92</v>
      </c>
      <c r="AI18" s="72">
        <v>0.84821089897585</v>
      </c>
      <c r="AJ18" s="72">
        <v>0.911595394736842</v>
      </c>
      <c r="AK18" s="72">
        <v>0.951683748169839</v>
      </c>
      <c r="AL18" s="72">
        <v>0.930902125574455</v>
      </c>
      <c r="AM18" s="71">
        <v>0.99</v>
      </c>
      <c r="AN18" s="76">
        <v>1</v>
      </c>
      <c r="AO18" s="76">
        <v>1</v>
      </c>
      <c r="AP18" s="76">
        <v>1</v>
      </c>
      <c r="AQ18" s="76">
        <v>1</v>
      </c>
      <c r="AR18" s="78">
        <v>0.0872182100128262</v>
      </c>
      <c r="AS18" s="80">
        <v>0.0285714285714286</v>
      </c>
      <c r="AT18" s="80">
        <v>0.0246913580246914</v>
      </c>
      <c r="AU18" s="80">
        <v>0.0421052631578947</v>
      </c>
      <c r="AV18" s="80">
        <v>0.0347322720694645</v>
      </c>
      <c r="AW18" s="36"/>
      <c r="AX18" s="34"/>
    </row>
    <row r="19" ht="14.5" spans="1:50">
      <c r="A19" s="32"/>
      <c r="B19" s="36"/>
      <c r="C19" s="68" t="s">
        <v>61</v>
      </c>
      <c r="D19" s="69" t="s">
        <v>29</v>
      </c>
      <c r="E19" s="81" t="s">
        <v>72</v>
      </c>
      <c r="F19" s="81" t="s">
        <v>72</v>
      </c>
      <c r="G19" s="81" t="s">
        <v>72</v>
      </c>
      <c r="H19" s="81" t="s">
        <v>72</v>
      </c>
      <c r="I19" s="71">
        <v>0.9</v>
      </c>
      <c r="J19" s="72">
        <v>0.5</v>
      </c>
      <c r="K19" s="72">
        <v>0.764705882352941</v>
      </c>
      <c r="L19" s="73">
        <v>0.95</v>
      </c>
      <c r="M19" s="72">
        <v>0.851612903225806</v>
      </c>
      <c r="N19" s="74">
        <v>0.9</v>
      </c>
      <c r="O19" s="72">
        <v>0.353829557713053</v>
      </c>
      <c r="P19" s="72">
        <v>0.885778275475924</v>
      </c>
      <c r="Q19" s="72">
        <v>0.989713774597496</v>
      </c>
      <c r="R19" s="72">
        <v>0.893479056633373</v>
      </c>
      <c r="S19" s="74">
        <v>0.9</v>
      </c>
      <c r="T19" s="72">
        <v>0.427184466019417</v>
      </c>
      <c r="U19" s="72">
        <v>0.650615901455767</v>
      </c>
      <c r="V19" s="72">
        <v>0.694543828264758</v>
      </c>
      <c r="W19" s="72">
        <v>0.662971291115411</v>
      </c>
      <c r="X19" s="74">
        <v>0.92</v>
      </c>
      <c r="Y19" s="74">
        <v>0.877250409165303</v>
      </c>
      <c r="Z19" s="74">
        <v>0.842154131847725</v>
      </c>
      <c r="AA19" s="74">
        <v>0.855875831485588</v>
      </c>
      <c r="AB19" s="74">
        <v>0.872558991049634</v>
      </c>
      <c r="AC19" s="74">
        <v>0.92</v>
      </c>
      <c r="AD19" s="72">
        <v>0.998207483755322</v>
      </c>
      <c r="AE19" s="72">
        <v>0.977164730728617</v>
      </c>
      <c r="AF19" s="72">
        <v>0.961997294305743</v>
      </c>
      <c r="AG19" s="72">
        <v>0.988503573213731</v>
      </c>
      <c r="AH19" s="74">
        <v>0.92</v>
      </c>
      <c r="AI19" s="72">
        <v>0.877113133940182</v>
      </c>
      <c r="AJ19" s="72">
        <v>0.853999301432064</v>
      </c>
      <c r="AK19" s="72">
        <v>0.897493036211699</v>
      </c>
      <c r="AL19" s="72">
        <v>0.907762967055736</v>
      </c>
      <c r="AM19" s="71">
        <v>0.99</v>
      </c>
      <c r="AN19" s="76">
        <v>1</v>
      </c>
      <c r="AO19" s="76">
        <v>1</v>
      </c>
      <c r="AP19" s="76">
        <v>1</v>
      </c>
      <c r="AQ19" s="76">
        <v>1</v>
      </c>
      <c r="AR19" s="78">
        <v>0.0872182100128262</v>
      </c>
      <c r="AS19" s="80">
        <v>0.25</v>
      </c>
      <c r="AT19" s="80">
        <v>0.125</v>
      </c>
      <c r="AU19" s="80">
        <v>0.0714285714285714</v>
      </c>
      <c r="AV19" s="80">
        <v>0.0963855421686747</v>
      </c>
      <c r="AW19" s="36"/>
      <c r="AX19" s="34"/>
    </row>
    <row r="20" ht="14.5" spans="1:50">
      <c r="A20" s="32"/>
      <c r="B20" s="36"/>
      <c r="C20" s="68" t="s">
        <v>61</v>
      </c>
      <c r="D20" s="69" t="s">
        <v>29</v>
      </c>
      <c r="E20" s="81" t="s">
        <v>73</v>
      </c>
      <c r="F20" s="81" t="s">
        <v>73</v>
      </c>
      <c r="G20" s="81" t="s">
        <v>73</v>
      </c>
      <c r="H20" s="81" t="s">
        <v>73</v>
      </c>
      <c r="I20" s="71">
        <v>0.9</v>
      </c>
      <c r="J20" s="72">
        <v>0.887931034482759</v>
      </c>
      <c r="K20" s="72">
        <v>0.902439024390244</v>
      </c>
      <c r="L20" s="73">
        <v>0.921259842519685</v>
      </c>
      <c r="M20" s="72">
        <v>0.885057471264368</v>
      </c>
      <c r="N20" s="74">
        <v>0.9</v>
      </c>
      <c r="O20" s="72">
        <v>0.856824731464501</v>
      </c>
      <c r="P20" s="72">
        <v>0.974222896133434</v>
      </c>
      <c r="Q20" s="72">
        <v>0.99019302615193</v>
      </c>
      <c r="R20" s="72">
        <v>0.964310488346282</v>
      </c>
      <c r="S20" s="74">
        <v>0.9</v>
      </c>
      <c r="T20" s="72">
        <v>0.781765784647629</v>
      </c>
      <c r="U20" s="72">
        <v>0.783358605003791</v>
      </c>
      <c r="V20" s="72">
        <v>0.820672478206725</v>
      </c>
      <c r="W20" s="72">
        <v>0.804730854605993</v>
      </c>
      <c r="X20" s="74">
        <v>0.92</v>
      </c>
      <c r="Y20" s="74">
        <v>0.862965838509317</v>
      </c>
      <c r="Z20" s="74">
        <v>0.884809545663148</v>
      </c>
      <c r="AA20" s="74">
        <v>0.937484972349122</v>
      </c>
      <c r="AB20" s="74">
        <v>0.925364475609141</v>
      </c>
      <c r="AC20" s="74">
        <v>0.92</v>
      </c>
      <c r="AD20" s="72">
        <v>0.997304582210243</v>
      </c>
      <c r="AE20" s="72">
        <v>0.994940978077572</v>
      </c>
      <c r="AF20" s="72">
        <v>0.987535410764873</v>
      </c>
      <c r="AG20" s="72">
        <v>0.993628981886321</v>
      </c>
      <c r="AH20" s="74">
        <v>0.92</v>
      </c>
      <c r="AI20" s="72">
        <v>0.904345107846202</v>
      </c>
      <c r="AJ20" s="72">
        <v>0.919555740087191</v>
      </c>
      <c r="AK20" s="72">
        <v>0.957667958045923</v>
      </c>
      <c r="AL20" s="72">
        <v>0.948573307440173</v>
      </c>
      <c r="AM20" s="71">
        <v>0.99</v>
      </c>
      <c r="AN20" s="76">
        <v>1</v>
      </c>
      <c r="AO20" s="76">
        <v>1</v>
      </c>
      <c r="AP20" s="76">
        <v>1</v>
      </c>
      <c r="AQ20" s="76">
        <v>1</v>
      </c>
      <c r="AR20" s="78">
        <v>0.0872182100128262</v>
      </c>
      <c r="AS20" s="80">
        <v>0.0714285714285714</v>
      </c>
      <c r="AT20" s="80">
        <v>0.0175438596491228</v>
      </c>
      <c r="AU20" s="80">
        <v>0.0757575757575758</v>
      </c>
      <c r="AV20" s="80">
        <v>0.0501672240802676</v>
      </c>
      <c r="AW20" s="36"/>
      <c r="AX20" s="34"/>
    </row>
    <row r="21" ht="14.5" spans="1:50">
      <c r="A21" s="32"/>
      <c r="B21" s="36"/>
      <c r="C21" s="68" t="s">
        <v>61</v>
      </c>
      <c r="D21" s="69" t="s">
        <v>29</v>
      </c>
      <c r="E21" s="81" t="s">
        <v>74</v>
      </c>
      <c r="F21" s="81" t="s">
        <v>74</v>
      </c>
      <c r="G21" s="81" t="s">
        <v>74</v>
      </c>
      <c r="H21" s="81" t="s">
        <v>74</v>
      </c>
      <c r="I21" s="71">
        <v>0.9</v>
      </c>
      <c r="J21" s="72">
        <v>0.8</v>
      </c>
      <c r="K21" s="72">
        <v>1</v>
      </c>
      <c r="L21" s="73">
        <v>0.9</v>
      </c>
      <c r="M21" s="72">
        <v>0.892215568862275</v>
      </c>
      <c r="N21" s="74">
        <v>0.9</v>
      </c>
      <c r="O21" s="72">
        <v>0.993015873015873</v>
      </c>
      <c r="P21" s="72">
        <v>0.994301994301994</v>
      </c>
      <c r="Q21" s="72">
        <v>0.992819843342037</v>
      </c>
      <c r="R21" s="72">
        <v>0.980649996593309</v>
      </c>
      <c r="S21" s="74">
        <v>0.9</v>
      </c>
      <c r="T21" s="72">
        <v>0.82031746031746</v>
      </c>
      <c r="U21" s="72">
        <v>0.858689458689459</v>
      </c>
      <c r="V21" s="72">
        <v>0.89686684073107</v>
      </c>
      <c r="W21" s="72">
        <v>0.8736117735232</v>
      </c>
      <c r="X21" s="74">
        <v>0.92</v>
      </c>
      <c r="Y21" s="74">
        <v>0.871872630780895</v>
      </c>
      <c r="Z21" s="74">
        <v>0.916666666666667</v>
      </c>
      <c r="AA21" s="74">
        <v>0.98922624877571</v>
      </c>
      <c r="AB21" s="74">
        <v>0.930818289914604</v>
      </c>
      <c r="AC21" s="74">
        <v>0.92</v>
      </c>
      <c r="AD21" s="72">
        <v>0.996956424912776</v>
      </c>
      <c r="AE21" s="72">
        <v>0.97677236921834</v>
      </c>
      <c r="AF21" s="72">
        <v>0.982784840927064</v>
      </c>
      <c r="AG21" s="72">
        <v>0.96631591864282</v>
      </c>
      <c r="AH21" s="74">
        <v>0.92</v>
      </c>
      <c r="AI21" s="72">
        <v>0.904630269523151</v>
      </c>
      <c r="AJ21" s="72">
        <v>0.948606587043069</v>
      </c>
      <c r="AK21" s="72">
        <v>0.965344628417405</v>
      </c>
      <c r="AL21" s="72">
        <v>0.952156502878118</v>
      </c>
      <c r="AM21" s="71">
        <v>0.99</v>
      </c>
      <c r="AN21" s="76">
        <v>1</v>
      </c>
      <c r="AO21" s="76">
        <v>1</v>
      </c>
      <c r="AP21" s="76">
        <v>1</v>
      </c>
      <c r="AQ21" s="76">
        <v>1</v>
      </c>
      <c r="AR21" s="78">
        <v>0.0872182100128262</v>
      </c>
      <c r="AS21" s="80">
        <v>0.1</v>
      </c>
      <c r="AT21" s="80">
        <v>0</v>
      </c>
      <c r="AU21" s="80">
        <v>0</v>
      </c>
      <c r="AV21" s="80">
        <v>0.0588235294117647</v>
      </c>
      <c r="AW21" s="36"/>
      <c r="AX21" s="34"/>
    </row>
    <row r="22" ht="14.5" spans="1:50">
      <c r="A22" s="32"/>
      <c r="B22" s="36"/>
      <c r="C22" s="68" t="s">
        <v>61</v>
      </c>
      <c r="D22" s="69" t="s">
        <v>29</v>
      </c>
      <c r="E22" s="81" t="s">
        <v>75</v>
      </c>
      <c r="F22" s="81" t="s">
        <v>75</v>
      </c>
      <c r="G22" s="81" t="s">
        <v>75</v>
      </c>
      <c r="H22" s="81" t="s">
        <v>75</v>
      </c>
      <c r="I22" s="71">
        <v>0.9</v>
      </c>
      <c r="J22" s="72">
        <v>0.880952380952381</v>
      </c>
      <c r="K22" s="72">
        <v>0.931818181818182</v>
      </c>
      <c r="L22" s="73">
        <v>0.91304347826087</v>
      </c>
      <c r="M22" s="72">
        <v>0.91183879093199</v>
      </c>
      <c r="N22" s="74">
        <v>0.9</v>
      </c>
      <c r="O22" s="72">
        <v>0.951910232433877</v>
      </c>
      <c r="P22" s="72">
        <v>0.981749186844958</v>
      </c>
      <c r="Q22" s="72">
        <v>0.99357476635514</v>
      </c>
      <c r="R22" s="72">
        <v>0.959506379418532</v>
      </c>
      <c r="S22" s="74">
        <v>0.9</v>
      </c>
      <c r="T22" s="72">
        <v>0.704247929468341</v>
      </c>
      <c r="U22" s="72">
        <v>0.79707264185038</v>
      </c>
      <c r="V22" s="72">
        <v>0.819509345794392</v>
      </c>
      <c r="W22" s="72">
        <v>0.766910688140556</v>
      </c>
      <c r="X22" s="74">
        <v>0.92</v>
      </c>
      <c r="Y22" s="74">
        <v>0.842826832054839</v>
      </c>
      <c r="Z22" s="74">
        <v>0.926557173845677</v>
      </c>
      <c r="AA22" s="74">
        <v>0.981492192018508</v>
      </c>
      <c r="AB22" s="74">
        <v>0.937910192618822</v>
      </c>
      <c r="AC22" s="74">
        <v>0.92</v>
      </c>
      <c r="AD22" s="72">
        <v>0.997806502154328</v>
      </c>
      <c r="AE22" s="72">
        <v>0.992787223080886</v>
      </c>
      <c r="AF22" s="72">
        <v>0.987085348997927</v>
      </c>
      <c r="AG22" s="72">
        <v>0.982633268012837</v>
      </c>
      <c r="AH22" s="74">
        <v>0.92</v>
      </c>
      <c r="AI22" s="72">
        <v>0.845016207455429</v>
      </c>
      <c r="AJ22" s="72">
        <v>0.957548784662787</v>
      </c>
      <c r="AK22" s="72">
        <v>0.986852821407795</v>
      </c>
      <c r="AL22" s="72">
        <v>0.958650815318557</v>
      </c>
      <c r="AM22" s="71">
        <v>0.99</v>
      </c>
      <c r="AN22" s="76">
        <v>1</v>
      </c>
      <c r="AO22" s="76">
        <v>1</v>
      </c>
      <c r="AP22" s="76">
        <v>1</v>
      </c>
      <c r="AQ22" s="76">
        <v>1</v>
      </c>
      <c r="AR22" s="78">
        <v>0.0872182100128262</v>
      </c>
      <c r="AS22" s="80">
        <v>0</v>
      </c>
      <c r="AT22" s="80">
        <v>0.0952380952380952</v>
      </c>
      <c r="AU22" s="80">
        <v>0.0434782608695652</v>
      </c>
      <c r="AV22" s="80">
        <v>0.0682926829268293</v>
      </c>
      <c r="AW22" s="36"/>
      <c r="AX22" s="34"/>
    </row>
    <row r="23" ht="14.5" spans="1:50">
      <c r="A23" s="32"/>
      <c r="B23" s="36"/>
      <c r="C23" s="68" t="s">
        <v>61</v>
      </c>
      <c r="D23" s="69" t="s">
        <v>29</v>
      </c>
      <c r="E23" s="81" t="s">
        <v>76</v>
      </c>
      <c r="F23" s="81" t="s">
        <v>76</v>
      </c>
      <c r="G23" s="81" t="s">
        <v>76</v>
      </c>
      <c r="H23" s="81" t="s">
        <v>76</v>
      </c>
      <c r="I23" s="71">
        <v>0.9</v>
      </c>
      <c r="J23" s="72">
        <v>0.779661016949153</v>
      </c>
      <c r="K23" s="72">
        <v>0.814814814814815</v>
      </c>
      <c r="L23" s="73">
        <v>0.846666666666667</v>
      </c>
      <c r="M23" s="72">
        <v>0.821400472069237</v>
      </c>
      <c r="N23" s="74">
        <v>0.9</v>
      </c>
      <c r="O23" s="72">
        <v>0.931526972986207</v>
      </c>
      <c r="P23" s="72">
        <v>0.947592671495526</v>
      </c>
      <c r="Q23" s="72">
        <v>0.898764834100266</v>
      </c>
      <c r="R23" s="72">
        <v>0.897984008166043</v>
      </c>
      <c r="S23" s="74">
        <v>0.9</v>
      </c>
      <c r="T23" s="72">
        <v>0.577736064637232</v>
      </c>
      <c r="U23" s="72">
        <v>0.689731572219855</v>
      </c>
      <c r="V23" s="72">
        <v>0.713732138532332</v>
      </c>
      <c r="W23" s="72">
        <v>0.631354202109561</v>
      </c>
      <c r="X23" s="74">
        <v>0.92</v>
      </c>
      <c r="Y23" s="74">
        <v>0.941828727396793</v>
      </c>
      <c r="Z23" s="74">
        <v>0.957196749854904</v>
      </c>
      <c r="AA23" s="74">
        <v>0.960623841877702</v>
      </c>
      <c r="AB23" s="74">
        <v>0.95846291708397</v>
      </c>
      <c r="AC23" s="74">
        <v>0.92</v>
      </c>
      <c r="AD23" s="72">
        <v>0.899292296726236</v>
      </c>
      <c r="AE23" s="72">
        <v>0.795406658238517</v>
      </c>
      <c r="AF23" s="72">
        <v>0.745591611018364</v>
      </c>
      <c r="AG23" s="72">
        <v>0.745442888690132</v>
      </c>
      <c r="AH23" s="74">
        <v>0.92</v>
      </c>
      <c r="AI23" s="72">
        <v>0.955084699001269</v>
      </c>
      <c r="AJ23" s="72">
        <v>0.971344244700832</v>
      </c>
      <c r="AK23" s="72">
        <v>0.967576158940397</v>
      </c>
      <c r="AL23" s="72">
        <v>0.967053930498745</v>
      </c>
      <c r="AM23" s="71">
        <v>0.99</v>
      </c>
      <c r="AN23" s="76">
        <v>1</v>
      </c>
      <c r="AO23" s="76">
        <v>1</v>
      </c>
      <c r="AP23" s="76">
        <v>1</v>
      </c>
      <c r="AQ23" s="76">
        <v>0.994835680751174</v>
      </c>
      <c r="AR23" s="78">
        <v>0.0872182100128262</v>
      </c>
      <c r="AS23" s="80">
        <v>0.021978021978022</v>
      </c>
      <c r="AT23" s="80">
        <v>0.0952380952380952</v>
      </c>
      <c r="AU23" s="80">
        <v>0.0153846153846154</v>
      </c>
      <c r="AV23" s="80">
        <v>0.0353403141361257</v>
      </c>
      <c r="AW23" s="36"/>
      <c r="AX23" s="34"/>
    </row>
    <row r="24" ht="14.5" spans="1:50">
      <c r="A24" s="32"/>
      <c r="B24" s="36"/>
      <c r="C24" s="68" t="s">
        <v>61</v>
      </c>
      <c r="D24" s="69" t="s">
        <v>29</v>
      </c>
      <c r="E24" s="81" t="s">
        <v>77</v>
      </c>
      <c r="F24" s="81" t="s">
        <v>77</v>
      </c>
      <c r="G24" s="81" t="s">
        <v>77</v>
      </c>
      <c r="H24" s="81" t="s">
        <v>77</v>
      </c>
      <c r="I24" s="71">
        <v>0.9</v>
      </c>
      <c r="J24" s="72">
        <v>0.753731343283582</v>
      </c>
      <c r="K24" s="72">
        <v>0.847826086956522</v>
      </c>
      <c r="L24" s="73">
        <v>0.795918367346939</v>
      </c>
      <c r="M24" s="72">
        <v>0.813572542901716</v>
      </c>
      <c r="N24" s="74">
        <v>0.9</v>
      </c>
      <c r="O24" s="72">
        <v>0.945932477887131</v>
      </c>
      <c r="P24" s="72">
        <v>0.95682382133995</v>
      </c>
      <c r="Q24" s="72">
        <v>0.966603892027621</v>
      </c>
      <c r="R24" s="72">
        <v>0.962423411457218</v>
      </c>
      <c r="S24" s="74">
        <v>0.9</v>
      </c>
      <c r="T24" s="72">
        <v>0.586022175158839</v>
      </c>
      <c r="U24" s="72">
        <v>0.628908188585608</v>
      </c>
      <c r="V24" s="72">
        <v>0.73006905210295</v>
      </c>
      <c r="W24" s="72">
        <v>0.676464287244526</v>
      </c>
      <c r="X24" s="74">
        <v>0.92</v>
      </c>
      <c r="Y24" s="74">
        <v>0.834149659863946</v>
      </c>
      <c r="Z24" s="74">
        <v>0.896103896103896</v>
      </c>
      <c r="AA24" s="74">
        <v>0.925604578179804</v>
      </c>
      <c r="AB24" s="74">
        <v>0.893492753338184</v>
      </c>
      <c r="AC24" s="74">
        <v>0.92</v>
      </c>
      <c r="AD24" s="72">
        <v>0.916666666666667</v>
      </c>
      <c r="AE24" s="72">
        <v>0.931034482758621</v>
      </c>
      <c r="AF24" s="72">
        <v>0.866666666666667</v>
      </c>
      <c r="AG24" s="72">
        <v>0.736111111111111</v>
      </c>
      <c r="AH24" s="74">
        <v>0.92</v>
      </c>
      <c r="AI24" s="72">
        <v>0.865660966252682</v>
      </c>
      <c r="AJ24" s="72">
        <v>0.915031270217813</v>
      </c>
      <c r="AK24" s="72">
        <v>0.942767483562463</v>
      </c>
      <c r="AL24" s="72">
        <v>0.920986449147074</v>
      </c>
      <c r="AM24" s="71">
        <v>0.99</v>
      </c>
      <c r="AN24" s="76">
        <v>1</v>
      </c>
      <c r="AO24" s="76">
        <v>1</v>
      </c>
      <c r="AP24" s="76">
        <v>1</v>
      </c>
      <c r="AQ24" s="76">
        <v>1</v>
      </c>
      <c r="AR24" s="78">
        <v>0.0872182100128262</v>
      </c>
      <c r="AS24" s="80">
        <v>0.121212121212121</v>
      </c>
      <c r="AT24" s="80">
        <v>0.0547945205479452</v>
      </c>
      <c r="AU24" s="80">
        <v>0.0694444444444444</v>
      </c>
      <c r="AV24" s="80">
        <v>0.0623052959501558</v>
      </c>
      <c r="AW24" s="36"/>
      <c r="AX24" s="34"/>
    </row>
    <row r="25" ht="14.5" spans="1:50">
      <c r="A25" s="32"/>
      <c r="B25" s="36"/>
      <c r="C25" s="68" t="s">
        <v>61</v>
      </c>
      <c r="D25" s="69" t="s">
        <v>29</v>
      </c>
      <c r="E25" s="81" t="s">
        <v>78</v>
      </c>
      <c r="F25" s="81" t="s">
        <v>78</v>
      </c>
      <c r="G25" s="81" t="s">
        <v>78</v>
      </c>
      <c r="H25" s="81" t="s">
        <v>78</v>
      </c>
      <c r="I25" s="71">
        <v>0.9</v>
      </c>
      <c r="J25" s="72">
        <v>0.913978494623656</v>
      </c>
      <c r="K25" s="72">
        <v>0.931372549019608</v>
      </c>
      <c r="L25" s="73">
        <v>0.952380952380952</v>
      </c>
      <c r="M25" s="72">
        <v>0.963169642857143</v>
      </c>
      <c r="N25" s="74">
        <v>0.9</v>
      </c>
      <c r="O25" s="72">
        <v>0.990138380785748</v>
      </c>
      <c r="P25" s="72">
        <v>0.982168218399874</v>
      </c>
      <c r="Q25" s="72">
        <v>0.989026717557252</v>
      </c>
      <c r="R25" s="72">
        <v>0.983799496614556</v>
      </c>
      <c r="S25" s="74">
        <v>0.9</v>
      </c>
      <c r="T25" s="72">
        <v>0.729759821854621</v>
      </c>
      <c r="U25" s="72">
        <v>0.790121508600284</v>
      </c>
      <c r="V25" s="72">
        <v>0.789599236641221</v>
      </c>
      <c r="W25" s="72">
        <v>0.774610939770995</v>
      </c>
      <c r="X25" s="74">
        <v>0.92</v>
      </c>
      <c r="Y25" s="74">
        <v>0.88661481784691</v>
      </c>
      <c r="Z25" s="74">
        <v>0.900094696969697</v>
      </c>
      <c r="AA25" s="74">
        <v>0.892403486924035</v>
      </c>
      <c r="AB25" s="74">
        <v>0.904731976850761</v>
      </c>
      <c r="AC25" s="74">
        <v>0.92</v>
      </c>
      <c r="AD25" s="72">
        <v>0.991235059760956</v>
      </c>
      <c r="AE25" s="72">
        <v>0.998926654740608</v>
      </c>
      <c r="AF25" s="72">
        <v>0.997816064062121</v>
      </c>
      <c r="AG25" s="72">
        <v>0.996550972269024</v>
      </c>
      <c r="AH25" s="74">
        <v>0.92</v>
      </c>
      <c r="AI25" s="72">
        <v>0.910164638511095</v>
      </c>
      <c r="AJ25" s="72">
        <v>0.927090237666888</v>
      </c>
      <c r="AK25" s="72">
        <v>0.918664466660196</v>
      </c>
      <c r="AL25" s="72">
        <v>0.931921954931721</v>
      </c>
      <c r="AM25" s="71">
        <v>0.99</v>
      </c>
      <c r="AN25" s="76">
        <v>1</v>
      </c>
      <c r="AO25" s="76">
        <v>1</v>
      </c>
      <c r="AP25" s="76">
        <v>1</v>
      </c>
      <c r="AQ25" s="76">
        <v>1</v>
      </c>
      <c r="AR25" s="78">
        <v>0.0872182100128262</v>
      </c>
      <c r="AS25" s="80">
        <v>0.0757575757575758</v>
      </c>
      <c r="AT25" s="80">
        <v>0</v>
      </c>
      <c r="AU25" s="80">
        <v>0.0506329113924051</v>
      </c>
      <c r="AV25" s="80">
        <v>0.0426829268292683</v>
      </c>
      <c r="AW25" s="36"/>
      <c r="AX25" s="34"/>
    </row>
    <row r="26" ht="14.5" spans="1:50">
      <c r="A26" s="32"/>
      <c r="B26" s="36"/>
      <c r="C26" s="68" t="s">
        <v>61</v>
      </c>
      <c r="D26" s="69" t="s">
        <v>29</v>
      </c>
      <c r="E26" s="81" t="s">
        <v>79</v>
      </c>
      <c r="F26" s="81" t="s">
        <v>79</v>
      </c>
      <c r="G26" s="81" t="s">
        <v>79</v>
      </c>
      <c r="H26" s="81" t="s">
        <v>79</v>
      </c>
      <c r="I26" s="71">
        <v>0.9</v>
      </c>
      <c r="J26" s="72">
        <v>0.831578947368421</v>
      </c>
      <c r="K26" s="72">
        <v>0.922330097087379</v>
      </c>
      <c r="L26" s="73">
        <v>0.889908256880734</v>
      </c>
      <c r="M26" s="72">
        <v>0.888185654008439</v>
      </c>
      <c r="N26" s="74">
        <v>0.9</v>
      </c>
      <c r="O26" s="72">
        <v>0.949224688355123</v>
      </c>
      <c r="P26" s="72">
        <v>0.949318364073777</v>
      </c>
      <c r="Q26" s="72">
        <v>0.947020884520885</v>
      </c>
      <c r="R26" s="72">
        <v>0.935990088787941</v>
      </c>
      <c r="S26" s="74">
        <v>0.9</v>
      </c>
      <c r="T26" s="72">
        <v>0.57646701124962</v>
      </c>
      <c r="U26" s="72">
        <v>0.679390537289495</v>
      </c>
      <c r="V26" s="72">
        <v>0.679668304668305</v>
      </c>
      <c r="W26" s="72">
        <v>0.65407116800881</v>
      </c>
      <c r="X26" s="74">
        <v>0.92</v>
      </c>
      <c r="Y26" s="74">
        <v>0.896878704069538</v>
      </c>
      <c r="Z26" s="74">
        <v>0.915730337078652</v>
      </c>
      <c r="AA26" s="74">
        <v>0.905408742899481</v>
      </c>
      <c r="AB26" s="74">
        <v>0.90795892169448</v>
      </c>
      <c r="AC26" s="74">
        <v>0.92</v>
      </c>
      <c r="AD26" s="72">
        <v>0.996857322438718</v>
      </c>
      <c r="AE26" s="72">
        <v>0.998100922409116</v>
      </c>
      <c r="AF26" s="72">
        <v>0.997398091934085</v>
      </c>
      <c r="AG26" s="72">
        <v>0.9892148940138</v>
      </c>
      <c r="AH26" s="74">
        <v>0.92</v>
      </c>
      <c r="AI26" s="72">
        <v>0.917024566225734</v>
      </c>
      <c r="AJ26" s="72">
        <v>0.936149966695214</v>
      </c>
      <c r="AK26" s="72">
        <v>0.93949436606382</v>
      </c>
      <c r="AL26" s="72">
        <v>0.935800892112122</v>
      </c>
      <c r="AM26" s="71">
        <v>0.99</v>
      </c>
      <c r="AN26" s="76">
        <v>1</v>
      </c>
      <c r="AO26" s="76">
        <v>1</v>
      </c>
      <c r="AP26" s="76">
        <v>1</v>
      </c>
      <c r="AQ26" s="76">
        <v>1</v>
      </c>
      <c r="AR26" s="78">
        <v>0.0872182100128262</v>
      </c>
      <c r="AS26" s="80">
        <v>0.051948051948052</v>
      </c>
      <c r="AT26" s="80">
        <v>0.0142857142857143</v>
      </c>
      <c r="AU26" s="80">
        <v>0.0136986301369863</v>
      </c>
      <c r="AV26" s="80">
        <v>0.0214521452145215</v>
      </c>
      <c r="AW26" s="36"/>
      <c r="AX26" s="34"/>
    </row>
    <row r="27" ht="14.5" spans="1:50">
      <c r="A27" s="32"/>
      <c r="B27" s="36"/>
      <c r="C27" s="68" t="s">
        <v>61</v>
      </c>
      <c r="D27" s="69" t="s">
        <v>29</v>
      </c>
      <c r="E27" s="81" t="s">
        <v>80</v>
      </c>
      <c r="F27" s="81" t="s">
        <v>80</v>
      </c>
      <c r="G27" s="81" t="s">
        <v>80</v>
      </c>
      <c r="H27" s="81" t="s">
        <v>80</v>
      </c>
      <c r="I27" s="71">
        <v>0.9</v>
      </c>
      <c r="J27" s="72">
        <v>0.913978494623656</v>
      </c>
      <c r="K27" s="72">
        <v>0.979166666666667</v>
      </c>
      <c r="L27" s="73">
        <v>0.950980392156863</v>
      </c>
      <c r="M27" s="72">
        <v>0.957918050941307</v>
      </c>
      <c r="N27" s="74">
        <v>0.9</v>
      </c>
      <c r="O27" s="72">
        <v>0.974994746795545</v>
      </c>
      <c r="P27" s="72">
        <v>0.980933153880664</v>
      </c>
      <c r="Q27" s="72">
        <v>0.982694684796044</v>
      </c>
      <c r="R27" s="72">
        <v>0.939975275857333</v>
      </c>
      <c r="S27" s="74">
        <v>0.9</v>
      </c>
      <c r="T27" s="72">
        <v>0.857743223366253</v>
      </c>
      <c r="U27" s="72">
        <v>0.858456707043517</v>
      </c>
      <c r="V27" s="72">
        <v>0.892665842604038</v>
      </c>
      <c r="W27" s="72">
        <v>0.891282450437251</v>
      </c>
      <c r="X27" s="74">
        <v>0.92</v>
      </c>
      <c r="Y27" s="74">
        <v>0.923636363636364</v>
      </c>
      <c r="Z27" s="74">
        <v>0.929184549356223</v>
      </c>
      <c r="AA27" s="74">
        <v>0.945267224726336</v>
      </c>
      <c r="AB27" s="74">
        <v>0.947351462817373</v>
      </c>
      <c r="AC27" s="74">
        <v>0.92</v>
      </c>
      <c r="AD27" s="72">
        <v>1</v>
      </c>
      <c r="AE27" s="72">
        <v>0.888888888888889</v>
      </c>
      <c r="AF27" s="72">
        <v>1</v>
      </c>
      <c r="AG27" s="72">
        <v>0.863013698630137</v>
      </c>
      <c r="AH27" s="74">
        <v>0.92</v>
      </c>
      <c r="AI27" s="72">
        <v>0.941130121566862</v>
      </c>
      <c r="AJ27" s="72">
        <v>0.949093264248705</v>
      </c>
      <c r="AK27" s="72">
        <v>0.966708542713568</v>
      </c>
      <c r="AL27" s="72">
        <v>0.965430942184154</v>
      </c>
      <c r="AM27" s="71">
        <v>0.99</v>
      </c>
      <c r="AN27" s="76">
        <v>1</v>
      </c>
      <c r="AO27" s="76">
        <v>1</v>
      </c>
      <c r="AP27" s="76">
        <v>1</v>
      </c>
      <c r="AQ27" s="76">
        <v>1</v>
      </c>
      <c r="AR27" s="78">
        <v>0.0872182100128262</v>
      </c>
      <c r="AS27" s="80">
        <v>0.102040816326531</v>
      </c>
      <c r="AT27" s="80">
        <v>0.0204081632653061</v>
      </c>
      <c r="AU27" s="80">
        <v>0.0392156862745098</v>
      </c>
      <c r="AV27" s="80">
        <v>0.0517647058823529</v>
      </c>
      <c r="AW27" s="36"/>
      <c r="AX27" s="34"/>
    </row>
    <row r="28" ht="14.5" spans="1:50">
      <c r="A28" s="32"/>
      <c r="B28" s="36"/>
      <c r="C28" s="68" t="s">
        <v>61</v>
      </c>
      <c r="D28" s="69" t="s">
        <v>29</v>
      </c>
      <c r="E28" s="81" t="s">
        <v>81</v>
      </c>
      <c r="F28" s="81" t="s">
        <v>81</v>
      </c>
      <c r="G28" s="81" t="s">
        <v>81</v>
      </c>
      <c r="H28" s="81" t="s">
        <v>81</v>
      </c>
      <c r="I28" s="71">
        <v>0.9</v>
      </c>
      <c r="J28" s="72">
        <v>0.98</v>
      </c>
      <c r="K28" s="72">
        <v>0.981818181818182</v>
      </c>
      <c r="L28" s="73">
        <v>0.963636363636364</v>
      </c>
      <c r="M28" s="72">
        <v>0.972916666666667</v>
      </c>
      <c r="N28" s="74">
        <v>0.9</v>
      </c>
      <c r="O28" s="72">
        <v>0.98258559622196</v>
      </c>
      <c r="P28" s="72">
        <v>0.984150717703349</v>
      </c>
      <c r="Q28" s="72">
        <v>0.988001170617501</v>
      </c>
      <c r="R28" s="72">
        <v>0.98186737994526</v>
      </c>
      <c r="S28" s="74">
        <v>0.9</v>
      </c>
      <c r="T28" s="72">
        <v>0.822314049586777</v>
      </c>
      <c r="U28" s="72">
        <v>0.882177033492823</v>
      </c>
      <c r="V28" s="72">
        <v>0.87123207491952</v>
      </c>
      <c r="W28" s="72">
        <v>0.864176412042797</v>
      </c>
      <c r="X28" s="74">
        <v>0.92</v>
      </c>
      <c r="Y28" s="74">
        <v>0.943304007820137</v>
      </c>
      <c r="Z28" s="74">
        <v>0.949041989400734</v>
      </c>
      <c r="AA28" s="74">
        <v>0.958227848101266</v>
      </c>
      <c r="AB28" s="74">
        <v>0.957264204920558</v>
      </c>
      <c r="AC28" s="74">
        <v>0.92</v>
      </c>
      <c r="AD28" s="72">
        <v>0.999196464443552</v>
      </c>
      <c r="AE28" s="72">
        <v>0.996564268391269</v>
      </c>
      <c r="AF28" s="72">
        <v>0.98804347826087</v>
      </c>
      <c r="AG28" s="72">
        <v>0.992618144187651</v>
      </c>
      <c r="AH28" s="74">
        <v>0.92</v>
      </c>
      <c r="AI28" s="72">
        <v>0.954622889886944</v>
      </c>
      <c r="AJ28" s="72">
        <v>0.962752198654941</v>
      </c>
      <c r="AK28" s="72">
        <v>0.972183828610919</v>
      </c>
      <c r="AL28" s="72">
        <v>0.970154692709947</v>
      </c>
      <c r="AM28" s="71">
        <v>0.99</v>
      </c>
      <c r="AN28" s="76">
        <v>1</v>
      </c>
      <c r="AO28" s="76">
        <v>1</v>
      </c>
      <c r="AP28" s="76">
        <v>1</v>
      </c>
      <c r="AQ28" s="76">
        <v>1</v>
      </c>
      <c r="AR28" s="78">
        <v>0.0872182100128262</v>
      </c>
      <c r="AS28" s="80">
        <v>0.0810810810810811</v>
      </c>
      <c r="AT28" s="80">
        <v>0.0857142857142857</v>
      </c>
      <c r="AU28" s="80">
        <v>0</v>
      </c>
      <c r="AV28" s="80">
        <v>0.0504731861198738</v>
      </c>
      <c r="AW28" s="36"/>
      <c r="AX28" s="34"/>
    </row>
    <row r="29" ht="14.5" spans="1:50">
      <c r="A29" s="32"/>
      <c r="B29" s="36"/>
      <c r="C29" s="68" t="s">
        <v>61</v>
      </c>
      <c r="D29" s="69" t="s">
        <v>29</v>
      </c>
      <c r="E29" s="81" t="s">
        <v>82</v>
      </c>
      <c r="F29" s="81" t="s">
        <v>82</v>
      </c>
      <c r="G29" s="81" t="s">
        <v>82</v>
      </c>
      <c r="H29" s="81" t="s">
        <v>82</v>
      </c>
      <c r="I29" s="71">
        <v>0.9</v>
      </c>
      <c r="J29" s="72">
        <v>0.728813559322034</v>
      </c>
      <c r="K29" s="72">
        <v>0.766666666666667</v>
      </c>
      <c r="L29" s="73">
        <v>0.876923076923077</v>
      </c>
      <c r="M29" s="72">
        <v>0.8375</v>
      </c>
      <c r="N29" s="74">
        <v>0.9</v>
      </c>
      <c r="O29" s="72">
        <v>0.992743764172336</v>
      </c>
      <c r="P29" s="72">
        <v>0.991463603911221</v>
      </c>
      <c r="Q29" s="72">
        <v>0.996095021151969</v>
      </c>
      <c r="R29" s="72">
        <v>0.992057812145438</v>
      </c>
      <c r="S29" s="74">
        <v>0.9</v>
      </c>
      <c r="T29" s="72">
        <v>0.764172335600907</v>
      </c>
      <c r="U29" s="72">
        <v>0.826012726990532</v>
      </c>
      <c r="V29" s="72">
        <v>0.905466970387244</v>
      </c>
      <c r="W29" s="72">
        <v>0.821676063467681</v>
      </c>
      <c r="X29" s="74">
        <v>0.92</v>
      </c>
      <c r="Y29" s="74">
        <v>0.951136363636364</v>
      </c>
      <c r="Z29" s="74">
        <v>0.940577249575552</v>
      </c>
      <c r="AA29" s="74">
        <v>0.976119402985075</v>
      </c>
      <c r="AB29" s="74">
        <v>0.96378911624367</v>
      </c>
      <c r="AC29" s="74">
        <v>0.92</v>
      </c>
      <c r="AD29" s="72">
        <v>0.992524656890883</v>
      </c>
      <c r="AE29" s="72">
        <v>0.847975414109447</v>
      </c>
      <c r="AF29" s="72">
        <v>0.964002312260234</v>
      </c>
      <c r="AG29" s="72">
        <v>0.943574033618927</v>
      </c>
      <c r="AH29" s="74">
        <v>0.92</v>
      </c>
      <c r="AI29" s="72">
        <v>0.963067150635209</v>
      </c>
      <c r="AJ29" s="72">
        <v>0.963842147435897</v>
      </c>
      <c r="AK29" s="72">
        <v>0.982787449591817</v>
      </c>
      <c r="AL29" s="72">
        <v>0.976180065152277</v>
      </c>
      <c r="AM29" s="71">
        <v>0.99</v>
      </c>
      <c r="AN29" s="76">
        <v>1</v>
      </c>
      <c r="AO29" s="76">
        <v>1</v>
      </c>
      <c r="AP29" s="76">
        <v>1</v>
      </c>
      <c r="AQ29" s="76">
        <v>1</v>
      </c>
      <c r="AR29" s="78">
        <v>0.0872182100128262</v>
      </c>
      <c r="AS29" s="80">
        <v>0.0217391304347826</v>
      </c>
      <c r="AT29" s="80">
        <v>0.0202702702702703</v>
      </c>
      <c r="AU29" s="80">
        <v>0.0422535211267606</v>
      </c>
      <c r="AV29" s="80">
        <v>0.041388518024032</v>
      </c>
      <c r="AW29" s="36"/>
      <c r="AX29" s="34"/>
    </row>
    <row r="30" ht="14.5" spans="1:50">
      <c r="A30" s="32"/>
      <c r="B30" s="36"/>
      <c r="C30" s="68" t="s">
        <v>61</v>
      </c>
      <c r="D30" s="69" t="s">
        <v>29</v>
      </c>
      <c r="E30" s="81" t="s">
        <v>83</v>
      </c>
      <c r="F30" s="81" t="s">
        <v>83</v>
      </c>
      <c r="G30" s="81" t="s">
        <v>83</v>
      </c>
      <c r="H30" s="81" t="s">
        <v>83</v>
      </c>
      <c r="I30" s="71">
        <v>0.9</v>
      </c>
      <c r="J30" s="72">
        <v>0.842857142857143</v>
      </c>
      <c r="K30" s="72">
        <v>0.924242424242424</v>
      </c>
      <c r="L30" s="73">
        <v>0.926470588235294</v>
      </c>
      <c r="M30" s="72">
        <v>0.89776357827476</v>
      </c>
      <c r="N30" s="74">
        <v>0.9</v>
      </c>
      <c r="O30" s="72">
        <v>0.9033203125</v>
      </c>
      <c r="P30" s="72">
        <v>0.981914301613801</v>
      </c>
      <c r="Q30" s="72">
        <v>0.966701352757544</v>
      </c>
      <c r="R30" s="72">
        <v>0.96403651676759</v>
      </c>
      <c r="S30" s="74">
        <v>0.9</v>
      </c>
      <c r="T30" s="72">
        <v>0.74462890625</v>
      </c>
      <c r="U30" s="72">
        <v>0.816360601001669</v>
      </c>
      <c r="V30" s="72">
        <v>0.842091571279917</v>
      </c>
      <c r="W30" s="72">
        <v>0.812313650754618</v>
      </c>
      <c r="X30" s="74">
        <v>0.92</v>
      </c>
      <c r="Y30" s="74">
        <v>0.902408637873754</v>
      </c>
      <c r="Z30" s="74">
        <v>0.910923014913341</v>
      </c>
      <c r="AA30" s="74">
        <v>0.934867564046895</v>
      </c>
      <c r="AB30" s="74">
        <v>0.921935510170804</v>
      </c>
      <c r="AC30" s="74">
        <v>0.92</v>
      </c>
      <c r="AD30" s="72">
        <v>1</v>
      </c>
      <c r="AE30" s="72">
        <v>0.8</v>
      </c>
      <c r="AF30" s="72">
        <v>0.5</v>
      </c>
      <c r="AG30" s="72">
        <v>0.632911392405063</v>
      </c>
      <c r="AH30" s="74">
        <v>0.92</v>
      </c>
      <c r="AI30" s="72">
        <v>0.909965034965035</v>
      </c>
      <c r="AJ30" s="72">
        <v>0.934979423868313</v>
      </c>
      <c r="AK30" s="72">
        <v>0.955262729786888</v>
      </c>
      <c r="AL30" s="72">
        <v>0.944161459153845</v>
      </c>
      <c r="AM30" s="71">
        <v>0.99</v>
      </c>
      <c r="AN30" s="76">
        <v>1</v>
      </c>
      <c r="AO30" s="76">
        <v>1</v>
      </c>
      <c r="AP30" s="76">
        <v>1</v>
      </c>
      <c r="AQ30" s="76">
        <v>1</v>
      </c>
      <c r="AR30" s="78">
        <v>0.0872182100128262</v>
      </c>
      <c r="AS30" s="80">
        <v>0.153846153846154</v>
      </c>
      <c r="AT30" s="80">
        <v>0.08</v>
      </c>
      <c r="AU30" s="80">
        <v>0.0571428571428571</v>
      </c>
      <c r="AV30" s="80">
        <v>0.0517799352750809</v>
      </c>
      <c r="AW30" s="36"/>
      <c r="AX30" s="34"/>
    </row>
    <row r="31" ht="14.5" spans="1:50">
      <c r="A31" s="32"/>
      <c r="B31" s="36"/>
      <c r="C31" s="68" t="s">
        <v>61</v>
      </c>
      <c r="D31" s="69" t="s">
        <v>29</v>
      </c>
      <c r="E31" s="81" t="s">
        <v>84</v>
      </c>
      <c r="F31" s="81" t="s">
        <v>84</v>
      </c>
      <c r="G31" s="81" t="s">
        <v>84</v>
      </c>
      <c r="H31" s="81" t="s">
        <v>84</v>
      </c>
      <c r="I31" s="71">
        <v>0.9</v>
      </c>
      <c r="J31" s="72">
        <v>0.927536231884058</v>
      </c>
      <c r="K31" s="72">
        <v>0.905405405405405</v>
      </c>
      <c r="L31" s="73">
        <v>0.934065934065934</v>
      </c>
      <c r="M31" s="72">
        <v>0.925619834710744</v>
      </c>
      <c r="N31" s="74">
        <v>0.9</v>
      </c>
      <c r="O31" s="72">
        <v>0.989296395403746</v>
      </c>
      <c r="P31" s="72">
        <v>0.973778307508939</v>
      </c>
      <c r="Q31" s="72">
        <v>0.992225609756098</v>
      </c>
      <c r="R31" s="72">
        <v>0.93204836709384</v>
      </c>
      <c r="S31" s="74">
        <v>0.9</v>
      </c>
      <c r="T31" s="72">
        <v>0.592161183692744</v>
      </c>
      <c r="U31" s="72">
        <v>0.646347692831602</v>
      </c>
      <c r="V31" s="72">
        <v>0.844969512195122</v>
      </c>
      <c r="W31" s="72">
        <v>0.72548918285793</v>
      </c>
      <c r="X31" s="74">
        <v>0.92</v>
      </c>
      <c r="Y31" s="74">
        <v>0.749127298114964</v>
      </c>
      <c r="Z31" s="74">
        <v>0.767126789366053</v>
      </c>
      <c r="AA31" s="74">
        <v>0.928386763185109</v>
      </c>
      <c r="AB31" s="74">
        <v>0.857204556497328</v>
      </c>
      <c r="AC31" s="74">
        <v>0.92</v>
      </c>
      <c r="AD31" s="72">
        <v>0.999028418751518</v>
      </c>
      <c r="AE31" s="72">
        <v>0.99645390070922</v>
      </c>
      <c r="AF31" s="72">
        <v>0.993017456359102</v>
      </c>
      <c r="AG31" s="72">
        <v>0.995367026178793</v>
      </c>
      <c r="AH31" s="74">
        <v>0.92</v>
      </c>
      <c r="AI31" s="72">
        <v>0.764479489345724</v>
      </c>
      <c r="AJ31" s="72">
        <v>0.795034229079391</v>
      </c>
      <c r="AK31" s="72">
        <v>0.957042861252277</v>
      </c>
      <c r="AL31" s="72">
        <v>0.882542786257937</v>
      </c>
      <c r="AM31" s="71">
        <v>0.99</v>
      </c>
      <c r="AN31" s="76">
        <v>1</v>
      </c>
      <c r="AO31" s="76">
        <v>1</v>
      </c>
      <c r="AP31" s="76">
        <v>1</v>
      </c>
      <c r="AQ31" s="76">
        <v>1</v>
      </c>
      <c r="AR31" s="78">
        <v>0.0872182100128262</v>
      </c>
      <c r="AS31" s="80">
        <v>0.0491803278688525</v>
      </c>
      <c r="AT31" s="80">
        <v>0.0425531914893617</v>
      </c>
      <c r="AU31" s="80">
        <v>0.075</v>
      </c>
      <c r="AV31" s="80">
        <v>0.0807174887892377</v>
      </c>
      <c r="AW31" s="36"/>
      <c r="AX31" s="34"/>
    </row>
    <row r="32" ht="14.5" spans="1:50">
      <c r="A32" s="32"/>
      <c r="B32" s="36"/>
      <c r="C32" s="68" t="s">
        <v>61</v>
      </c>
      <c r="D32" s="69" t="s">
        <v>29</v>
      </c>
      <c r="E32" s="81" t="s">
        <v>85</v>
      </c>
      <c r="F32" s="81" t="s">
        <v>85</v>
      </c>
      <c r="G32" s="81" t="s">
        <v>85</v>
      </c>
      <c r="H32" s="81" t="s">
        <v>85</v>
      </c>
      <c r="I32" s="71">
        <v>0.9</v>
      </c>
      <c r="J32" s="72">
        <v>0.9375</v>
      </c>
      <c r="K32" s="72">
        <v>0.884057971014493</v>
      </c>
      <c r="L32" s="73">
        <v>0.972972972972973</v>
      </c>
      <c r="M32" s="72">
        <v>0.934504792332268</v>
      </c>
      <c r="N32" s="74">
        <v>0.9</v>
      </c>
      <c r="O32" s="72">
        <v>0.915744466800805</v>
      </c>
      <c r="P32" s="72">
        <v>0.973886328725038</v>
      </c>
      <c r="Q32" s="72">
        <v>0.985162505887894</v>
      </c>
      <c r="R32" s="72">
        <v>0.942641590197705</v>
      </c>
      <c r="S32" s="74">
        <v>0.9</v>
      </c>
      <c r="T32" s="72">
        <v>0.82645875251509</v>
      </c>
      <c r="U32" s="72">
        <v>0.893753200204813</v>
      </c>
      <c r="V32" s="72">
        <v>0.892133772962789</v>
      </c>
      <c r="W32" s="72">
        <v>0.873431605981968</v>
      </c>
      <c r="X32" s="74">
        <v>0.92</v>
      </c>
      <c r="Y32" s="74">
        <v>0.92206962631747</v>
      </c>
      <c r="Z32" s="74">
        <v>0.939117199391172</v>
      </c>
      <c r="AA32" s="74">
        <v>0.951949586451359</v>
      </c>
      <c r="AB32" s="74">
        <v>0.950912678835718</v>
      </c>
      <c r="AC32" s="74">
        <v>0.92</v>
      </c>
      <c r="AD32" s="72">
        <v>1</v>
      </c>
      <c r="AE32" s="72">
        <v>0.991639295312033</v>
      </c>
      <c r="AF32" s="72">
        <v>0.998758920260627</v>
      </c>
      <c r="AG32" s="72">
        <v>0.997229551451187</v>
      </c>
      <c r="AH32" s="74">
        <v>0.92</v>
      </c>
      <c r="AI32" s="72">
        <v>0.932761288507526</v>
      </c>
      <c r="AJ32" s="72">
        <v>0.953321089684726</v>
      </c>
      <c r="AK32" s="72">
        <v>0.966101694915254</v>
      </c>
      <c r="AL32" s="72">
        <v>0.964591300965839</v>
      </c>
      <c r="AM32" s="71">
        <v>0.99</v>
      </c>
      <c r="AN32" s="76">
        <v>1</v>
      </c>
      <c r="AO32" s="76">
        <v>1</v>
      </c>
      <c r="AP32" s="76">
        <v>1</v>
      </c>
      <c r="AQ32" s="76">
        <v>1</v>
      </c>
      <c r="AR32" s="78">
        <v>0.0872182100128262</v>
      </c>
      <c r="AS32" s="80">
        <v>0.0444444444444444</v>
      </c>
      <c r="AT32" s="80">
        <v>0</v>
      </c>
      <c r="AU32" s="80">
        <v>0.0238095238095238</v>
      </c>
      <c r="AV32" s="80">
        <v>0.0471976401179941</v>
      </c>
      <c r="AW32" s="36"/>
      <c r="AX32" s="34"/>
    </row>
    <row r="33" ht="14.5" spans="1:50">
      <c r="A33" s="32"/>
      <c r="B33" s="36"/>
      <c r="C33" s="68" t="s">
        <v>61</v>
      </c>
      <c r="D33" s="69" t="s">
        <v>29</v>
      </c>
      <c r="E33" s="81" t="s">
        <v>86</v>
      </c>
      <c r="F33" s="81" t="s">
        <v>86</v>
      </c>
      <c r="G33" s="81" t="s">
        <v>86</v>
      </c>
      <c r="H33" s="81" t="s">
        <v>86</v>
      </c>
      <c r="I33" s="71">
        <v>0.9</v>
      </c>
      <c r="J33" s="72">
        <v>0.784615384615385</v>
      </c>
      <c r="K33" s="72">
        <v>0.780821917808219</v>
      </c>
      <c r="L33" s="73">
        <v>0.873417721518987</v>
      </c>
      <c r="M33" s="72">
        <v>0.897520661157025</v>
      </c>
      <c r="N33" s="74">
        <v>0.9</v>
      </c>
      <c r="O33" s="72">
        <v>0.854490337248958</v>
      </c>
      <c r="P33" s="72">
        <v>0.899567812307059</v>
      </c>
      <c r="Q33" s="72">
        <v>0.889690721649484</v>
      </c>
      <c r="R33" s="72">
        <v>0.86430386896357</v>
      </c>
      <c r="S33" s="74">
        <v>0.9</v>
      </c>
      <c r="T33" s="72">
        <v>0.742326638878363</v>
      </c>
      <c r="U33" s="72">
        <v>0.751800782053921</v>
      </c>
      <c r="V33" s="72">
        <v>0.834536082474227</v>
      </c>
      <c r="W33" s="72">
        <v>0.770356773039631</v>
      </c>
      <c r="X33" s="74">
        <v>0.92</v>
      </c>
      <c r="Y33" s="74">
        <v>0.926407766990291</v>
      </c>
      <c r="Z33" s="74">
        <v>0.961528326745718</v>
      </c>
      <c r="AA33" s="74">
        <v>0.969811320754717</v>
      </c>
      <c r="AB33" s="74">
        <v>0.943769050204954</v>
      </c>
      <c r="AC33" s="74">
        <v>0.92</v>
      </c>
      <c r="AD33" s="72">
        <v>0.989251726068296</v>
      </c>
      <c r="AE33" s="72">
        <v>0.984624671543214</v>
      </c>
      <c r="AF33" s="72">
        <v>0.965955213435969</v>
      </c>
      <c r="AG33" s="72">
        <v>0.962891201871389</v>
      </c>
      <c r="AH33" s="74">
        <v>0.92</v>
      </c>
      <c r="AI33" s="72">
        <v>0.929414784394251</v>
      </c>
      <c r="AJ33" s="72">
        <v>0.968118285780293</v>
      </c>
      <c r="AK33" s="72">
        <v>0.97500277746917</v>
      </c>
      <c r="AL33" s="72">
        <v>0.957372250446824</v>
      </c>
      <c r="AM33" s="71">
        <v>0.99</v>
      </c>
      <c r="AN33" s="76">
        <v>1</v>
      </c>
      <c r="AO33" s="76">
        <v>1</v>
      </c>
      <c r="AP33" s="76">
        <v>1</v>
      </c>
      <c r="AQ33" s="76">
        <v>1</v>
      </c>
      <c r="AR33" s="78">
        <v>0.0872182100128262</v>
      </c>
      <c r="AS33" s="80">
        <v>0.117647058823529</v>
      </c>
      <c r="AT33" s="80">
        <v>0.0697674418604651</v>
      </c>
      <c r="AU33" s="80">
        <v>0.0454545454545455</v>
      </c>
      <c r="AV33" s="80">
        <v>0.0639386189258312</v>
      </c>
      <c r="AW33" s="36"/>
      <c r="AX33" s="34"/>
    </row>
    <row r="34" ht="14.5" spans="1:50">
      <c r="A34" s="32"/>
      <c r="B34" s="36"/>
      <c r="C34" s="68" t="s">
        <v>61</v>
      </c>
      <c r="D34" s="69" t="s">
        <v>29</v>
      </c>
      <c r="E34" s="81" t="s">
        <v>87</v>
      </c>
      <c r="F34" s="81" t="s">
        <v>87</v>
      </c>
      <c r="G34" s="81" t="s">
        <v>87</v>
      </c>
      <c r="H34" s="81" t="s">
        <v>87</v>
      </c>
      <c r="I34" s="71">
        <v>0.9</v>
      </c>
      <c r="J34" s="72">
        <v>0.951923076923077</v>
      </c>
      <c r="K34" s="72">
        <v>0.990990990990991</v>
      </c>
      <c r="L34" s="73">
        <v>0.975</v>
      </c>
      <c r="M34" s="72">
        <v>0.974358974358974</v>
      </c>
      <c r="N34" s="74">
        <v>0.9</v>
      </c>
      <c r="O34" s="72">
        <v>0.990764063811923</v>
      </c>
      <c r="P34" s="72">
        <v>0.993458221825751</v>
      </c>
      <c r="Q34" s="72">
        <v>0.99223054103687</v>
      </c>
      <c r="R34" s="72">
        <v>0.99283333594129</v>
      </c>
      <c r="S34" s="74">
        <v>0.9</v>
      </c>
      <c r="T34" s="72">
        <v>0.813182199832074</v>
      </c>
      <c r="U34" s="72">
        <v>0.847903657448707</v>
      </c>
      <c r="V34" s="72">
        <v>0.895747987003814</v>
      </c>
      <c r="W34" s="72">
        <v>0.867181998842067</v>
      </c>
      <c r="X34" s="74">
        <v>0.92</v>
      </c>
      <c r="Y34" s="74">
        <v>0.890700259355317</v>
      </c>
      <c r="Z34" s="74">
        <v>0.908197453651999</v>
      </c>
      <c r="AA34" s="74">
        <v>0.953648462597522</v>
      </c>
      <c r="AB34" s="74">
        <v>0.929150552164391</v>
      </c>
      <c r="AC34" s="74">
        <v>0.92</v>
      </c>
      <c r="AD34" s="72">
        <v>0.994974874371859</v>
      </c>
      <c r="AE34" s="72">
        <v>0.991379310344828</v>
      </c>
      <c r="AF34" s="72">
        <v>0.990157480314961</v>
      </c>
      <c r="AG34" s="72">
        <v>0.985068883244824</v>
      </c>
      <c r="AH34" s="74">
        <v>0.92</v>
      </c>
      <c r="AI34" s="72">
        <v>0.913438546150167</v>
      </c>
      <c r="AJ34" s="72">
        <v>0.930024991074616</v>
      </c>
      <c r="AK34" s="72">
        <v>0.971408586167701</v>
      </c>
      <c r="AL34" s="72">
        <v>0.951148053504067</v>
      </c>
      <c r="AM34" s="71">
        <v>0.99</v>
      </c>
      <c r="AN34" s="76">
        <v>1</v>
      </c>
      <c r="AO34" s="76">
        <v>1</v>
      </c>
      <c r="AP34" s="76">
        <v>1</v>
      </c>
      <c r="AQ34" s="76">
        <v>1</v>
      </c>
      <c r="AR34" s="78">
        <v>0.0872182100128262</v>
      </c>
      <c r="AS34" s="80">
        <v>0.0116279069767442</v>
      </c>
      <c r="AT34" s="80">
        <v>0.0289855072463768</v>
      </c>
      <c r="AU34" s="80">
        <v>0.0784313725490196</v>
      </c>
      <c r="AV34" s="80">
        <v>0.0336538461538462</v>
      </c>
      <c r="AW34" s="36"/>
      <c r="AX34" s="34"/>
    </row>
    <row r="35" ht="14.5" spans="1:50">
      <c r="A35" s="32"/>
      <c r="B35" s="36"/>
      <c r="C35" s="68" t="s">
        <v>61</v>
      </c>
      <c r="D35" s="69" t="s">
        <v>29</v>
      </c>
      <c r="E35" s="81" t="s">
        <v>88</v>
      </c>
      <c r="F35" s="81" t="s">
        <v>88</v>
      </c>
      <c r="G35" s="81" t="s">
        <v>88</v>
      </c>
      <c r="H35" s="81" t="s">
        <v>88</v>
      </c>
      <c r="I35" s="71">
        <v>0.9</v>
      </c>
      <c r="J35" s="72">
        <v>0.901098901098901</v>
      </c>
      <c r="K35" s="72">
        <v>0.911111111111111</v>
      </c>
      <c r="L35" s="73">
        <v>0.865979381443299</v>
      </c>
      <c r="M35" s="72">
        <v>0.876847290640394</v>
      </c>
      <c r="N35" s="74">
        <v>0.9</v>
      </c>
      <c r="O35" s="72">
        <v>0.905753424657534</v>
      </c>
      <c r="P35" s="72">
        <v>0.925057716213816</v>
      </c>
      <c r="Q35" s="72">
        <v>0.906077348066298</v>
      </c>
      <c r="R35" s="72">
        <v>0.943591910423109</v>
      </c>
      <c r="S35" s="74">
        <v>0.9</v>
      </c>
      <c r="T35" s="72">
        <v>0.806027397260274</v>
      </c>
      <c r="U35" s="72">
        <v>0.7773042088439</v>
      </c>
      <c r="V35" s="72">
        <v>0.833006594189984</v>
      </c>
      <c r="W35" s="72">
        <v>0.798778496936639</v>
      </c>
      <c r="X35" s="74">
        <v>0.92</v>
      </c>
      <c r="Y35" s="74">
        <v>0.917422434367542</v>
      </c>
      <c r="Z35" s="74">
        <v>0.924094307073031</v>
      </c>
      <c r="AA35" s="74">
        <v>0.947274352100089</v>
      </c>
      <c r="AB35" s="74">
        <v>0.939066128835106</v>
      </c>
      <c r="AC35" s="74">
        <v>0.92</v>
      </c>
      <c r="AD35" s="72">
        <v>0.996906259667939</v>
      </c>
      <c r="AE35" s="72">
        <v>0.977087493927781</v>
      </c>
      <c r="AF35" s="72">
        <v>0.991191904047976</v>
      </c>
      <c r="AG35" s="72">
        <v>0.932773082704867</v>
      </c>
      <c r="AH35" s="74">
        <v>0.92</v>
      </c>
      <c r="AI35" s="72">
        <v>0.934933278162822</v>
      </c>
      <c r="AJ35" s="72">
        <v>0.945011524530787</v>
      </c>
      <c r="AK35" s="72">
        <v>0.959745762711864</v>
      </c>
      <c r="AL35" s="72">
        <v>0.958533278311619</v>
      </c>
      <c r="AM35" s="71">
        <v>0.99</v>
      </c>
      <c r="AN35" s="76">
        <v>1</v>
      </c>
      <c r="AO35" s="76">
        <v>0.992700729927007</v>
      </c>
      <c r="AP35" s="76">
        <v>1</v>
      </c>
      <c r="AQ35" s="76">
        <v>0.998792270531401</v>
      </c>
      <c r="AR35" s="78">
        <v>0.0872182100128262</v>
      </c>
      <c r="AS35" s="80">
        <v>0.191176470588235</v>
      </c>
      <c r="AT35" s="80">
        <v>0.0655737704918033</v>
      </c>
      <c r="AU35" s="80">
        <v>0.046875</v>
      </c>
      <c r="AV35" s="80">
        <v>0.082815734989648</v>
      </c>
      <c r="AW35" s="36"/>
      <c r="AX35" s="34"/>
    </row>
    <row r="36" ht="14.5" spans="1:50">
      <c r="A36" s="32"/>
      <c r="B36" s="36"/>
      <c r="C36" s="68" t="s">
        <v>61</v>
      </c>
      <c r="D36" s="69" t="s">
        <v>29</v>
      </c>
      <c r="E36" s="81" t="s">
        <v>89</v>
      </c>
      <c r="F36" s="81" t="s">
        <v>89</v>
      </c>
      <c r="G36" s="81" t="s">
        <v>89</v>
      </c>
      <c r="H36" s="81" t="s">
        <v>89</v>
      </c>
      <c r="I36" s="71">
        <v>0.9</v>
      </c>
      <c r="J36" s="72">
        <v>0.875</v>
      </c>
      <c r="K36" s="72">
        <v>0.835526315789474</v>
      </c>
      <c r="L36" s="73">
        <v>0.89873417721519</v>
      </c>
      <c r="M36" s="72">
        <v>0.897884755652808</v>
      </c>
      <c r="N36" s="74">
        <v>0.9</v>
      </c>
      <c r="O36" s="72">
        <v>0.9053539201925</v>
      </c>
      <c r="P36" s="72">
        <v>0.920213881316838</v>
      </c>
      <c r="Q36" s="72">
        <v>0.90529478810486</v>
      </c>
      <c r="R36" s="72">
        <v>0.929358223993298</v>
      </c>
      <c r="S36" s="74">
        <v>0.9</v>
      </c>
      <c r="T36" s="72">
        <v>0.65760978544215</v>
      </c>
      <c r="U36" s="72">
        <v>0.735059760956175</v>
      </c>
      <c r="V36" s="72">
        <v>0.746451144959072</v>
      </c>
      <c r="W36" s="72">
        <v>0.737538632221254</v>
      </c>
      <c r="X36" s="74">
        <v>0.92</v>
      </c>
      <c r="Y36" s="74">
        <v>0.840510800163021</v>
      </c>
      <c r="Z36" s="74">
        <v>0.908004403208052</v>
      </c>
      <c r="AA36" s="74">
        <v>0.924917059542518</v>
      </c>
      <c r="AB36" s="74">
        <v>0.905139026381146</v>
      </c>
      <c r="AC36" s="74">
        <v>0.92</v>
      </c>
      <c r="AD36" s="72">
        <v>0.980165289256198</v>
      </c>
      <c r="AE36" s="72">
        <v>0.978540772532189</v>
      </c>
      <c r="AF36" s="72">
        <v>0.978978978978979</v>
      </c>
      <c r="AG36" s="72">
        <v>0.966821262932572</v>
      </c>
      <c r="AH36" s="74">
        <v>0.92</v>
      </c>
      <c r="AI36" s="72">
        <v>0.876838765503317</v>
      </c>
      <c r="AJ36" s="72">
        <v>0.93150081771292</v>
      </c>
      <c r="AK36" s="72">
        <v>0.940507152145644</v>
      </c>
      <c r="AL36" s="72">
        <v>0.930470179478218</v>
      </c>
      <c r="AM36" s="71">
        <v>0.99</v>
      </c>
      <c r="AN36" s="76">
        <v>1</v>
      </c>
      <c r="AO36" s="76">
        <v>1</v>
      </c>
      <c r="AP36" s="76">
        <v>1</v>
      </c>
      <c r="AQ36" s="76">
        <v>1</v>
      </c>
      <c r="AR36" s="78">
        <v>0.0872182100128262</v>
      </c>
      <c r="AS36" s="80">
        <v>0.046875</v>
      </c>
      <c r="AT36" s="80">
        <v>0.101449275362319</v>
      </c>
      <c r="AU36" s="80">
        <v>0.0297029702970297</v>
      </c>
      <c r="AV36" s="80">
        <v>0.0538674033149171</v>
      </c>
      <c r="AW36" s="36"/>
      <c r="AX36" s="34"/>
    </row>
    <row r="37" ht="14.5" spans="1:50">
      <c r="A37" s="32"/>
      <c r="B37" s="36"/>
      <c r="C37" s="68" t="s">
        <v>61</v>
      </c>
      <c r="D37" s="69" t="s">
        <v>29</v>
      </c>
      <c r="E37" s="81" t="s">
        <v>90</v>
      </c>
      <c r="F37" s="81" t="s">
        <v>90</v>
      </c>
      <c r="G37" s="81" t="s">
        <v>90</v>
      </c>
      <c r="H37" s="81" t="s">
        <v>90</v>
      </c>
      <c r="I37" s="71">
        <v>0.9</v>
      </c>
      <c r="J37" s="72">
        <v>0</v>
      </c>
      <c r="K37" s="72">
        <v>0</v>
      </c>
      <c r="L37" s="73">
        <v>0</v>
      </c>
      <c r="M37" s="72">
        <v>0</v>
      </c>
      <c r="N37" s="74">
        <v>0.9</v>
      </c>
      <c r="O37" s="72">
        <v>0.666666666666667</v>
      </c>
      <c r="P37" s="72">
        <v>0</v>
      </c>
      <c r="Q37" s="72">
        <v>0.958333333333333</v>
      </c>
      <c r="R37" s="72">
        <v>0.993274582560297</v>
      </c>
      <c r="S37" s="74">
        <v>0.9</v>
      </c>
      <c r="T37" s="72">
        <v>0.333333333333333</v>
      </c>
      <c r="U37" s="72">
        <v>0</v>
      </c>
      <c r="V37" s="72">
        <v>0.875</v>
      </c>
      <c r="W37" s="72">
        <v>0.996057513914657</v>
      </c>
      <c r="X37" s="74">
        <v>0.92</v>
      </c>
      <c r="Y37" s="74">
        <v>1</v>
      </c>
      <c r="Z37" s="74">
        <v>1</v>
      </c>
      <c r="AA37" s="74">
        <v>0.785714285714286</v>
      </c>
      <c r="AB37" s="74">
        <v>0.997573993207181</v>
      </c>
      <c r="AC37" s="74">
        <v>0.92</v>
      </c>
      <c r="AD37" s="72">
        <v>0</v>
      </c>
      <c r="AE37" s="72">
        <v>0</v>
      </c>
      <c r="AF37" s="72">
        <v>0</v>
      </c>
      <c r="AG37" s="72">
        <v>0.999397729905027</v>
      </c>
      <c r="AH37" s="74">
        <v>0.92</v>
      </c>
      <c r="AI37" s="72">
        <v>0.5</v>
      </c>
      <c r="AJ37" s="72">
        <v>0.5</v>
      </c>
      <c r="AK37" s="72">
        <v>0.894736842105263</v>
      </c>
      <c r="AL37" s="72">
        <v>0.99733458764503</v>
      </c>
      <c r="AM37" s="71">
        <v>0.99</v>
      </c>
      <c r="AN37" s="76">
        <v>0</v>
      </c>
      <c r="AO37" s="76">
        <v>0</v>
      </c>
      <c r="AP37" s="76">
        <v>0</v>
      </c>
      <c r="AQ37" s="76">
        <v>1</v>
      </c>
      <c r="AR37" s="78">
        <v>0.0872182100128262</v>
      </c>
      <c r="AS37" s="80">
        <v>0</v>
      </c>
      <c r="AT37" s="80">
        <v>0</v>
      </c>
      <c r="AU37" s="80">
        <v>0</v>
      </c>
      <c r="AV37" s="80">
        <v>0</v>
      </c>
      <c r="AW37" s="36"/>
      <c r="AX37" s="34"/>
    </row>
    <row r="38" ht="14.5" spans="1:50">
      <c r="A38" s="32"/>
      <c r="B38" s="36"/>
      <c r="C38" s="68" t="s">
        <v>61</v>
      </c>
      <c r="D38" s="69" t="s">
        <v>29</v>
      </c>
      <c r="E38" s="81" t="s">
        <v>91</v>
      </c>
      <c r="F38" s="81" t="s">
        <v>91</v>
      </c>
      <c r="G38" s="81" t="s">
        <v>91</v>
      </c>
      <c r="H38" s="81" t="s">
        <v>91</v>
      </c>
      <c r="I38" s="71">
        <v>0.9</v>
      </c>
      <c r="J38" s="72">
        <v>1</v>
      </c>
      <c r="K38" s="72">
        <v>0.985294117647059</v>
      </c>
      <c r="L38" s="73">
        <v>1</v>
      </c>
      <c r="M38" s="72">
        <v>0.985172981878089</v>
      </c>
      <c r="N38" s="74">
        <v>0.9</v>
      </c>
      <c r="O38" s="72">
        <v>0.980687093779016</v>
      </c>
      <c r="P38" s="72">
        <v>0.990727954231604</v>
      </c>
      <c r="Q38" s="72">
        <v>0.989950779327317</v>
      </c>
      <c r="R38" s="72">
        <v>0.977195333611618</v>
      </c>
      <c r="S38" s="74">
        <v>0.9</v>
      </c>
      <c r="T38" s="72">
        <v>0.771402042711235</v>
      </c>
      <c r="U38" s="72">
        <v>0.851844545275202</v>
      </c>
      <c r="V38" s="72">
        <v>0.863207547169811</v>
      </c>
      <c r="W38" s="72">
        <v>0.83045894940352</v>
      </c>
      <c r="X38" s="74">
        <v>0.92</v>
      </c>
      <c r="Y38" s="74">
        <v>0.875062845651081</v>
      </c>
      <c r="Z38" s="74">
        <v>0.924216524216524</v>
      </c>
      <c r="AA38" s="74">
        <v>0.941947565543071</v>
      </c>
      <c r="AB38" s="74">
        <v>0.931234944596114</v>
      </c>
      <c r="AC38" s="74">
        <v>0.92</v>
      </c>
      <c r="AD38" s="72">
        <v>0.991520727111505</v>
      </c>
      <c r="AE38" s="72">
        <v>0.928248076052512</v>
      </c>
      <c r="AF38" s="72">
        <v>0.995579353713966</v>
      </c>
      <c r="AG38" s="72">
        <v>0.950482383291515</v>
      </c>
      <c r="AH38" s="74">
        <v>0.92</v>
      </c>
      <c r="AI38" s="72">
        <v>0.903043246129205</v>
      </c>
      <c r="AJ38" s="72">
        <v>0.945448187434433</v>
      </c>
      <c r="AK38" s="72">
        <v>0.963118811881188</v>
      </c>
      <c r="AL38" s="72">
        <v>0.951687166577537</v>
      </c>
      <c r="AM38" s="71">
        <v>0.99</v>
      </c>
      <c r="AN38" s="76">
        <v>1</v>
      </c>
      <c r="AO38" s="76">
        <v>1</v>
      </c>
      <c r="AP38" s="76">
        <v>1</v>
      </c>
      <c r="AQ38" s="76">
        <v>1</v>
      </c>
      <c r="AR38" s="78">
        <v>0.0872182100128262</v>
      </c>
      <c r="AS38" s="80">
        <v>0.185185185185185</v>
      </c>
      <c r="AT38" s="80">
        <v>0</v>
      </c>
      <c r="AU38" s="80">
        <v>0.0571428571428571</v>
      </c>
      <c r="AV38" s="80">
        <v>0.0347490347490347</v>
      </c>
      <c r="AW38" s="36"/>
      <c r="AX38" s="34"/>
    </row>
    <row r="39" ht="14.5" spans="1:50">
      <c r="A39" s="32"/>
      <c r="B39" s="36"/>
      <c r="C39" s="68" t="s">
        <v>61</v>
      </c>
      <c r="D39" s="69" t="s">
        <v>29</v>
      </c>
      <c r="E39" s="81" t="s">
        <v>92</v>
      </c>
      <c r="F39" s="81" t="s">
        <v>92</v>
      </c>
      <c r="G39" s="81" t="s">
        <v>92</v>
      </c>
      <c r="H39" s="81" t="s">
        <v>92</v>
      </c>
      <c r="I39" s="71">
        <v>0.9</v>
      </c>
      <c r="J39" s="72">
        <v>0.941176470588235</v>
      </c>
      <c r="K39" s="72">
        <v>0.926470588235294</v>
      </c>
      <c r="L39" s="73">
        <v>1</v>
      </c>
      <c r="M39" s="72">
        <v>0.951456310679612</v>
      </c>
      <c r="N39" s="74">
        <v>0.9</v>
      </c>
      <c r="O39" s="72">
        <v>0.997038233710285</v>
      </c>
      <c r="P39" s="72">
        <v>0.997296566639632</v>
      </c>
      <c r="Q39" s="72">
        <v>0.99432585787625</v>
      </c>
      <c r="R39" s="72">
        <v>0.996755002704164</v>
      </c>
      <c r="S39" s="74">
        <v>0.9</v>
      </c>
      <c r="T39" s="72">
        <v>0.78163704900377</v>
      </c>
      <c r="U39" s="72">
        <v>0.79345769126791</v>
      </c>
      <c r="V39" s="72">
        <v>0.837071061875169</v>
      </c>
      <c r="W39" s="72">
        <v>0.827203893996755</v>
      </c>
      <c r="X39" s="74">
        <v>0.92</v>
      </c>
      <c r="Y39" s="74">
        <v>0.866065232477446</v>
      </c>
      <c r="Z39" s="74">
        <v>0.912027199320017</v>
      </c>
      <c r="AA39" s="74">
        <v>0.944197530864198</v>
      </c>
      <c r="AB39" s="74">
        <v>0.929597100237</v>
      </c>
      <c r="AC39" s="74">
        <v>0.92</v>
      </c>
      <c r="AD39" s="72">
        <v>0.997816593886463</v>
      </c>
      <c r="AE39" s="72">
        <v>0.989406779661017</v>
      </c>
      <c r="AF39" s="72">
        <v>0.789099526066351</v>
      </c>
      <c r="AG39" s="72">
        <v>0.963220675944334</v>
      </c>
      <c r="AH39" s="74">
        <v>0.92</v>
      </c>
      <c r="AI39" s="72">
        <v>0.89931766489765</v>
      </c>
      <c r="AJ39" s="72">
        <v>0.928134809185528</v>
      </c>
      <c r="AK39" s="72">
        <v>0.957053072625698</v>
      </c>
      <c r="AL39" s="72">
        <v>0.949968068606879</v>
      </c>
      <c r="AM39" s="71">
        <v>0.99</v>
      </c>
      <c r="AN39" s="76">
        <v>1</v>
      </c>
      <c r="AO39" s="76">
        <v>1</v>
      </c>
      <c r="AP39" s="76">
        <v>1</v>
      </c>
      <c r="AQ39" s="76">
        <v>1</v>
      </c>
      <c r="AR39" s="78">
        <v>0.0872182100128262</v>
      </c>
      <c r="AS39" s="80">
        <v>0</v>
      </c>
      <c r="AT39" s="80">
        <v>0.0303030303030303</v>
      </c>
      <c r="AU39" s="80">
        <v>0</v>
      </c>
      <c r="AV39" s="80">
        <v>0.0512820512820513</v>
      </c>
      <c r="AW39" s="36"/>
      <c r="AX39" s="34"/>
    </row>
    <row r="40" ht="14.5" spans="1:50">
      <c r="A40" s="32"/>
      <c r="B40" s="36"/>
      <c r="C40" s="68" t="s">
        <v>61</v>
      </c>
      <c r="D40" s="69" t="s">
        <v>29</v>
      </c>
      <c r="E40" s="81" t="s">
        <v>93</v>
      </c>
      <c r="F40" s="81" t="s">
        <v>93</v>
      </c>
      <c r="G40" s="81" t="s">
        <v>93</v>
      </c>
      <c r="H40" s="81" t="s">
        <v>93</v>
      </c>
      <c r="I40" s="71">
        <v>0.9</v>
      </c>
      <c r="J40" s="72">
        <v>0.932432432432432</v>
      </c>
      <c r="K40" s="72">
        <v>0.925</v>
      </c>
      <c r="L40" s="73">
        <v>0.965116279069767</v>
      </c>
      <c r="M40" s="72">
        <v>0.944827586206897</v>
      </c>
      <c r="N40" s="74">
        <v>0.9</v>
      </c>
      <c r="O40" s="72">
        <v>0.951401869158878</v>
      </c>
      <c r="P40" s="72">
        <v>0.959902370990237</v>
      </c>
      <c r="Q40" s="72">
        <v>0.985123681024044</v>
      </c>
      <c r="R40" s="72">
        <v>0.967950837206589</v>
      </c>
      <c r="S40" s="74">
        <v>0.9</v>
      </c>
      <c r="T40" s="72">
        <v>0.75072217502124</v>
      </c>
      <c r="U40" s="72">
        <v>0.795153417015342</v>
      </c>
      <c r="V40" s="72">
        <v>0.829268292682927</v>
      </c>
      <c r="W40" s="72">
        <v>0.806168685945431</v>
      </c>
      <c r="X40" s="74">
        <v>0.92</v>
      </c>
      <c r="Y40" s="74">
        <v>0.892456564767979</v>
      </c>
      <c r="Z40" s="74">
        <v>0.884528867783054</v>
      </c>
      <c r="AA40" s="74">
        <v>0.937986577181208</v>
      </c>
      <c r="AB40" s="74">
        <v>0.928624727356216</v>
      </c>
      <c r="AC40" s="74">
        <v>0.92</v>
      </c>
      <c r="AD40" s="72">
        <v>0.997998736043817</v>
      </c>
      <c r="AE40" s="72">
        <v>0.996012532042153</v>
      </c>
      <c r="AF40" s="72">
        <v>0.966633404016465</v>
      </c>
      <c r="AG40" s="72">
        <v>0.935702187414045</v>
      </c>
      <c r="AH40" s="74">
        <v>0.92</v>
      </c>
      <c r="AI40" s="72">
        <v>0.914797776499904</v>
      </c>
      <c r="AJ40" s="72">
        <v>0.910695955655923</v>
      </c>
      <c r="AK40" s="72">
        <v>0.948459030188282</v>
      </c>
      <c r="AL40" s="72">
        <v>0.944057483919569</v>
      </c>
      <c r="AM40" s="71">
        <v>0.99</v>
      </c>
      <c r="AN40" s="76">
        <v>1</v>
      </c>
      <c r="AO40" s="76">
        <v>1</v>
      </c>
      <c r="AP40" s="76">
        <v>1</v>
      </c>
      <c r="AQ40" s="76">
        <v>1</v>
      </c>
      <c r="AR40" s="78">
        <v>0.0872182100128262</v>
      </c>
      <c r="AS40" s="80">
        <v>0.0444444444444444</v>
      </c>
      <c r="AT40" s="80">
        <v>0.0425531914893617</v>
      </c>
      <c r="AU40" s="80">
        <v>0</v>
      </c>
      <c r="AV40" s="80">
        <v>0.0415512465373961</v>
      </c>
      <c r="AW40" s="36"/>
      <c r="AX40" s="34"/>
    </row>
    <row r="41" ht="14.5" spans="1:50">
      <c r="A41" s="32"/>
      <c r="B41" s="36"/>
      <c r="C41" s="68" t="s">
        <v>61</v>
      </c>
      <c r="D41" s="69" t="s">
        <v>29</v>
      </c>
      <c r="E41" s="81" t="s">
        <v>94</v>
      </c>
      <c r="F41" s="81" t="s">
        <v>94</v>
      </c>
      <c r="G41" s="81" t="s">
        <v>94</v>
      </c>
      <c r="H41" s="81" t="s">
        <v>94</v>
      </c>
      <c r="I41" s="71">
        <v>0.9</v>
      </c>
      <c r="J41" s="72">
        <v>0.891891891891892</v>
      </c>
      <c r="K41" s="72">
        <v>0.973913043478261</v>
      </c>
      <c r="L41" s="73">
        <v>0.975409836065574</v>
      </c>
      <c r="M41" s="72">
        <v>0.965811965811966</v>
      </c>
      <c r="N41" s="74">
        <v>0.9</v>
      </c>
      <c r="O41" s="72">
        <v>0.992577790465315</v>
      </c>
      <c r="P41" s="72">
        <v>0.989615931721195</v>
      </c>
      <c r="Q41" s="72">
        <v>0.991299303944316</v>
      </c>
      <c r="R41" s="72">
        <v>0.990330848089469</v>
      </c>
      <c r="S41" s="74">
        <v>0.9</v>
      </c>
      <c r="T41" s="72">
        <v>0.873251498715387</v>
      </c>
      <c r="U41" s="72">
        <v>0.876955903271693</v>
      </c>
      <c r="V41" s="72">
        <v>0.899216937354988</v>
      </c>
      <c r="W41" s="72">
        <v>0.891425908667288</v>
      </c>
      <c r="X41" s="74">
        <v>0.92</v>
      </c>
      <c r="Y41" s="74">
        <v>0.939435289178125</v>
      </c>
      <c r="Z41" s="74">
        <v>0.950858034321373</v>
      </c>
      <c r="AA41" s="74">
        <v>0.96031746031746</v>
      </c>
      <c r="AB41" s="74">
        <v>0.954229576008273</v>
      </c>
      <c r="AC41" s="74">
        <v>0.92</v>
      </c>
      <c r="AD41" s="72">
        <v>0.992641363284276</v>
      </c>
      <c r="AE41" s="72">
        <v>0.996328029375765</v>
      </c>
      <c r="AF41" s="72">
        <v>0.977464788732394</v>
      </c>
      <c r="AG41" s="72">
        <v>0.979326119468637</v>
      </c>
      <c r="AH41" s="74">
        <v>0.92</v>
      </c>
      <c r="AI41" s="72">
        <v>0.945740598618573</v>
      </c>
      <c r="AJ41" s="72">
        <v>0.961342326040467</v>
      </c>
      <c r="AK41" s="72">
        <v>0.971658502449265</v>
      </c>
      <c r="AL41" s="72">
        <v>0.968823193109935</v>
      </c>
      <c r="AM41" s="71">
        <v>0.99</v>
      </c>
      <c r="AN41" s="76">
        <v>1</v>
      </c>
      <c r="AO41" s="76">
        <v>1</v>
      </c>
      <c r="AP41" s="76">
        <v>1</v>
      </c>
      <c r="AQ41" s="76">
        <v>1</v>
      </c>
      <c r="AR41" s="78">
        <v>0.0872182100128262</v>
      </c>
      <c r="AS41" s="80">
        <v>0.075</v>
      </c>
      <c r="AT41" s="80">
        <v>0.102564102564103</v>
      </c>
      <c r="AU41" s="80">
        <v>0.05</v>
      </c>
      <c r="AV41" s="80">
        <v>0.0517241379310345</v>
      </c>
      <c r="AW41" s="36"/>
      <c r="AX41" s="34"/>
    </row>
    <row r="42" ht="14.5" spans="1:50">
      <c r="A42" s="32"/>
      <c r="B42" s="36"/>
      <c r="C42" s="68" t="s">
        <v>61</v>
      </c>
      <c r="D42" s="69" t="s">
        <v>29</v>
      </c>
      <c r="E42" s="81" t="s">
        <v>95</v>
      </c>
      <c r="F42" s="81" t="s">
        <v>95</v>
      </c>
      <c r="G42" s="81" t="s">
        <v>95</v>
      </c>
      <c r="H42" s="81" t="s">
        <v>95</v>
      </c>
      <c r="I42" s="71">
        <v>0.9</v>
      </c>
      <c r="J42" s="72">
        <v>0.985074626865672</v>
      </c>
      <c r="K42" s="72">
        <v>1</v>
      </c>
      <c r="L42" s="73">
        <v>0.948905109489051</v>
      </c>
      <c r="M42" s="72">
        <v>0.969063545150502</v>
      </c>
      <c r="N42" s="74">
        <v>0.9</v>
      </c>
      <c r="O42" s="72">
        <v>0.994661288409064</v>
      </c>
      <c r="P42" s="72">
        <v>0.998248686514886</v>
      </c>
      <c r="Q42" s="72">
        <v>0.99715982442551</v>
      </c>
      <c r="R42" s="72">
        <v>0.997948945369883</v>
      </c>
      <c r="S42" s="74">
        <v>0.9</v>
      </c>
      <c r="T42" s="72">
        <v>0.888836160873176</v>
      </c>
      <c r="U42" s="72">
        <v>0.911933950462847</v>
      </c>
      <c r="V42" s="72">
        <v>0.90859798605732</v>
      </c>
      <c r="W42" s="72">
        <v>0.890296294243189</v>
      </c>
      <c r="X42" s="74">
        <v>0.92</v>
      </c>
      <c r="Y42" s="74">
        <v>0.915072933549433</v>
      </c>
      <c r="Z42" s="74">
        <v>0.953122034541659</v>
      </c>
      <c r="AA42" s="74">
        <v>0.96008064516129</v>
      </c>
      <c r="AB42" s="74">
        <v>0.947188600237495</v>
      </c>
      <c r="AC42" s="74">
        <v>0.92</v>
      </c>
      <c r="AD42" s="72">
        <v>0.99764803541782</v>
      </c>
      <c r="AE42" s="72">
        <v>0.994356545399577</v>
      </c>
      <c r="AF42" s="72">
        <v>0.996418979409132</v>
      </c>
      <c r="AG42" s="72">
        <v>0.966894753077764</v>
      </c>
      <c r="AH42" s="74">
        <v>0.92</v>
      </c>
      <c r="AI42" s="72">
        <v>0.93527397260274</v>
      </c>
      <c r="AJ42" s="72">
        <v>0.96395988841137</v>
      </c>
      <c r="AK42" s="72">
        <v>0.969935463560523</v>
      </c>
      <c r="AL42" s="72">
        <v>0.963915681199704</v>
      </c>
      <c r="AM42" s="71">
        <v>0.99</v>
      </c>
      <c r="AN42" s="76">
        <v>1</v>
      </c>
      <c r="AO42" s="76">
        <v>1</v>
      </c>
      <c r="AP42" s="76">
        <v>1</v>
      </c>
      <c r="AQ42" s="76">
        <v>1</v>
      </c>
      <c r="AR42" s="78">
        <v>0.0872182100128262</v>
      </c>
      <c r="AS42" s="80">
        <v>0.0344827586206897</v>
      </c>
      <c r="AT42" s="80">
        <v>0.0689655172413793</v>
      </c>
      <c r="AU42" s="80">
        <v>0.0298507462686567</v>
      </c>
      <c r="AV42" s="80">
        <v>0.0429338103756708</v>
      </c>
      <c r="AW42" s="36"/>
      <c r="AX42" s="34"/>
    </row>
    <row r="43" ht="14.5" spans="1:50">
      <c r="A43" s="32"/>
      <c r="B43" s="36"/>
      <c r="C43" s="68" t="s">
        <v>61</v>
      </c>
      <c r="D43" s="69" t="s">
        <v>29</v>
      </c>
      <c r="E43" s="81" t="s">
        <v>96</v>
      </c>
      <c r="F43" s="81" t="s">
        <v>96</v>
      </c>
      <c r="G43" s="81" t="s">
        <v>96</v>
      </c>
      <c r="H43" s="81" t="s">
        <v>96</v>
      </c>
      <c r="I43" s="71">
        <v>0.9</v>
      </c>
      <c r="J43" s="72">
        <v>0</v>
      </c>
      <c r="K43" s="72">
        <v>0</v>
      </c>
      <c r="L43" s="73">
        <v>0</v>
      </c>
      <c r="M43" s="72">
        <v>0</v>
      </c>
      <c r="N43" s="74">
        <v>0.9</v>
      </c>
      <c r="O43" s="72">
        <v>0</v>
      </c>
      <c r="P43" s="72">
        <v>0</v>
      </c>
      <c r="Q43" s="72">
        <v>0</v>
      </c>
      <c r="R43" s="72">
        <v>0.666666666666667</v>
      </c>
      <c r="S43" s="74">
        <v>0.9</v>
      </c>
      <c r="T43" s="72">
        <v>0</v>
      </c>
      <c r="U43" s="72">
        <v>0</v>
      </c>
      <c r="V43" s="72">
        <v>0</v>
      </c>
      <c r="W43" s="72">
        <v>0.833333333333333</v>
      </c>
      <c r="X43" s="74">
        <v>0.92</v>
      </c>
      <c r="Y43" s="74">
        <v>0</v>
      </c>
      <c r="Z43" s="74">
        <v>0</v>
      </c>
      <c r="AA43" s="74">
        <v>0</v>
      </c>
      <c r="AB43" s="74">
        <v>1</v>
      </c>
      <c r="AC43" s="74">
        <v>0.92</v>
      </c>
      <c r="AD43" s="72">
        <v>0</v>
      </c>
      <c r="AE43" s="72">
        <v>0</v>
      </c>
      <c r="AF43" s="72">
        <v>0</v>
      </c>
      <c r="AG43" s="72">
        <v>0.947368421052632</v>
      </c>
      <c r="AH43" s="74">
        <v>0.92</v>
      </c>
      <c r="AI43" s="72">
        <v>0</v>
      </c>
      <c r="AJ43" s="72">
        <v>0</v>
      </c>
      <c r="AK43" s="72">
        <v>0</v>
      </c>
      <c r="AL43" s="72">
        <v>0.833333333333333</v>
      </c>
      <c r="AM43" s="71">
        <v>0.99</v>
      </c>
      <c r="AN43" s="76">
        <v>0</v>
      </c>
      <c r="AO43" s="76">
        <v>0</v>
      </c>
      <c r="AP43" s="76">
        <v>0</v>
      </c>
      <c r="AQ43" s="76">
        <v>1</v>
      </c>
      <c r="AR43" s="78">
        <v>0.0872182100128262</v>
      </c>
      <c r="AS43" s="80">
        <v>0</v>
      </c>
      <c r="AT43" s="80">
        <v>0</v>
      </c>
      <c r="AU43" s="80">
        <v>0</v>
      </c>
      <c r="AV43" s="80">
        <v>0</v>
      </c>
      <c r="AW43" s="36"/>
      <c r="AX43" s="34"/>
    </row>
    <row r="44" ht="14.5" spans="1:50">
      <c r="A44" s="32"/>
      <c r="B44" s="36"/>
      <c r="C44" s="68" t="s">
        <v>61</v>
      </c>
      <c r="D44" s="69" t="s">
        <v>29</v>
      </c>
      <c r="E44" s="81" t="s">
        <v>97</v>
      </c>
      <c r="F44" s="81" t="s">
        <v>97</v>
      </c>
      <c r="G44" s="81" t="s">
        <v>97</v>
      </c>
      <c r="H44" s="81" t="s">
        <v>97</v>
      </c>
      <c r="I44" s="71">
        <v>0.9</v>
      </c>
      <c r="J44" s="72">
        <v>0.75</v>
      </c>
      <c r="K44" s="72">
        <v>0.796610169491525</v>
      </c>
      <c r="L44" s="73">
        <v>0.887096774193548</v>
      </c>
      <c r="M44" s="72">
        <v>0.805243445692884</v>
      </c>
      <c r="N44" s="74">
        <v>0.9</v>
      </c>
      <c r="O44" s="72">
        <v>0.990329265484688</v>
      </c>
      <c r="P44" s="72">
        <v>0.988573846804909</v>
      </c>
      <c r="Q44" s="72">
        <v>0.950825756169976</v>
      </c>
      <c r="R44" s="72">
        <v>0.950313104861665</v>
      </c>
      <c r="S44" s="74">
        <v>0.9</v>
      </c>
      <c r="T44" s="72">
        <v>0.387980658530969</v>
      </c>
      <c r="U44" s="72">
        <v>0.478628861616589</v>
      </c>
      <c r="V44" s="72">
        <v>0.583039524958248</v>
      </c>
      <c r="W44" s="72">
        <v>0.510144597517932</v>
      </c>
      <c r="X44" s="74">
        <v>0.92</v>
      </c>
      <c r="Y44" s="74">
        <v>0.684807256235828</v>
      </c>
      <c r="Z44" s="74">
        <v>0.853386809269162</v>
      </c>
      <c r="AA44" s="74">
        <v>0.849056603773585</v>
      </c>
      <c r="AB44" s="74">
        <v>0.842862328704964</v>
      </c>
      <c r="AC44" s="74">
        <v>0.92</v>
      </c>
      <c r="AD44" s="72">
        <v>0.333333333333333</v>
      </c>
      <c r="AE44" s="72">
        <v>0.631578947368421</v>
      </c>
      <c r="AF44" s="72">
        <v>0.65</v>
      </c>
      <c r="AG44" s="72">
        <v>0.592356687898089</v>
      </c>
      <c r="AH44" s="74">
        <v>0.92</v>
      </c>
      <c r="AI44" s="72">
        <v>0.720703963371012</v>
      </c>
      <c r="AJ44" s="72">
        <v>0.835868005738881</v>
      </c>
      <c r="AK44" s="72">
        <v>0.876483631146472</v>
      </c>
      <c r="AL44" s="72">
        <v>0.862078898693108</v>
      </c>
      <c r="AM44" s="71">
        <v>0.99</v>
      </c>
      <c r="AN44" s="76">
        <v>1</v>
      </c>
      <c r="AO44" s="76">
        <v>1</v>
      </c>
      <c r="AP44" s="76">
        <v>1</v>
      </c>
      <c r="AQ44" s="76">
        <v>1</v>
      </c>
      <c r="AR44" s="78">
        <v>0.0872182100128262</v>
      </c>
      <c r="AS44" s="80">
        <v>0.121951219512195</v>
      </c>
      <c r="AT44" s="80">
        <v>0.119047619047619</v>
      </c>
      <c r="AU44" s="80">
        <v>0.0416666666666667</v>
      </c>
      <c r="AV44" s="80">
        <v>0.0458167330677291</v>
      </c>
      <c r="AW44" s="36"/>
      <c r="AX44" s="34"/>
    </row>
    <row r="45" ht="14.5" spans="1:50">
      <c r="A45" s="32"/>
      <c r="B45" s="36"/>
      <c r="C45" s="68" t="s">
        <v>61</v>
      </c>
      <c r="D45" s="69" t="s">
        <v>29</v>
      </c>
      <c r="E45" s="81" t="s">
        <v>98</v>
      </c>
      <c r="F45" s="81" t="s">
        <v>98</v>
      </c>
      <c r="G45" s="81" t="s">
        <v>98</v>
      </c>
      <c r="H45" s="81" t="s">
        <v>98</v>
      </c>
      <c r="I45" s="71">
        <v>0.9</v>
      </c>
      <c r="J45" s="72">
        <v>0.813559322033898</v>
      </c>
      <c r="K45" s="72">
        <v>0.880597014925373</v>
      </c>
      <c r="L45" s="73">
        <v>0.954545454545455</v>
      </c>
      <c r="M45" s="72">
        <v>0.893238434163701</v>
      </c>
      <c r="N45" s="74">
        <v>0.9</v>
      </c>
      <c r="O45" s="72">
        <v>0.897278911564626</v>
      </c>
      <c r="P45" s="72">
        <v>0.918200859883144</v>
      </c>
      <c r="Q45" s="72">
        <v>0.928681771369722</v>
      </c>
      <c r="R45" s="72">
        <v>0.902405488925494</v>
      </c>
      <c r="S45" s="74">
        <v>0.9</v>
      </c>
      <c r="T45" s="72">
        <v>0.819727891156463</v>
      </c>
      <c r="U45" s="72">
        <v>0.850181898357403</v>
      </c>
      <c r="V45" s="72">
        <v>0.849768280123584</v>
      </c>
      <c r="W45" s="72">
        <v>0.838694746586438</v>
      </c>
      <c r="X45" s="74">
        <v>0.92</v>
      </c>
      <c r="Y45" s="74">
        <v>0.732151589242054</v>
      </c>
      <c r="Z45" s="74">
        <v>0.970159006752342</v>
      </c>
      <c r="AA45" s="74">
        <v>0.985779294653015</v>
      </c>
      <c r="AB45" s="74">
        <v>0.93285046728972</v>
      </c>
      <c r="AC45" s="74">
        <v>0.92</v>
      </c>
      <c r="AD45" s="72">
        <v>0.998328390401725</v>
      </c>
      <c r="AE45" s="72">
        <v>0.99682164007561</v>
      </c>
      <c r="AF45" s="72">
        <v>0.996077664360136</v>
      </c>
      <c r="AG45" s="72">
        <v>0.99701051252285</v>
      </c>
      <c r="AH45" s="74">
        <v>0.92</v>
      </c>
      <c r="AI45" s="72">
        <v>0.809812001030131</v>
      </c>
      <c r="AJ45" s="72">
        <v>0.976587649985367</v>
      </c>
      <c r="AK45" s="72">
        <v>0.982773141413368</v>
      </c>
      <c r="AL45" s="72">
        <v>0.960144398126262</v>
      </c>
      <c r="AM45" s="71">
        <v>0.99</v>
      </c>
      <c r="AN45" s="76">
        <v>1</v>
      </c>
      <c r="AO45" s="76">
        <v>1</v>
      </c>
      <c r="AP45" s="76">
        <v>1</v>
      </c>
      <c r="AQ45" s="76">
        <v>1</v>
      </c>
      <c r="AR45" s="78">
        <v>0.0872182100128262</v>
      </c>
      <c r="AS45" s="80">
        <v>0.0714285714285714</v>
      </c>
      <c r="AT45" s="80">
        <v>0.04</v>
      </c>
      <c r="AU45" s="80">
        <v>0.225806451612903</v>
      </c>
      <c r="AV45" s="80">
        <v>0.0671936758893281</v>
      </c>
      <c r="AW45" s="36"/>
      <c r="AX45" s="34"/>
    </row>
    <row r="46" ht="14.5" spans="1:50">
      <c r="A46" s="32"/>
      <c r="B46" s="36"/>
      <c r="C46" s="68" t="s">
        <v>61</v>
      </c>
      <c r="D46" s="69" t="s">
        <v>29</v>
      </c>
      <c r="E46" s="81" t="s">
        <v>99</v>
      </c>
      <c r="F46" s="81" t="s">
        <v>99</v>
      </c>
      <c r="G46" s="81" t="s">
        <v>99</v>
      </c>
      <c r="H46" s="81" t="s">
        <v>99</v>
      </c>
      <c r="I46" s="71">
        <v>0.9</v>
      </c>
      <c r="J46" s="72">
        <v>0.893617021276596</v>
      </c>
      <c r="K46" s="72">
        <v>0.907407407407407</v>
      </c>
      <c r="L46" s="73">
        <v>0.933333333333333</v>
      </c>
      <c r="M46" s="72">
        <v>0.92479674796748</v>
      </c>
      <c r="N46" s="74">
        <v>0.9</v>
      </c>
      <c r="O46" s="72">
        <v>0.945403899721448</v>
      </c>
      <c r="P46" s="72">
        <v>0.961013259449832</v>
      </c>
      <c r="Q46" s="72">
        <v>0.955262669389271</v>
      </c>
      <c r="R46" s="72">
        <v>0.944450280479862</v>
      </c>
      <c r="S46" s="74">
        <v>0.9</v>
      </c>
      <c r="T46" s="72">
        <v>0.674837511606314</v>
      </c>
      <c r="U46" s="72">
        <v>0.854937660795567</v>
      </c>
      <c r="V46" s="72">
        <v>0.842212734360497</v>
      </c>
      <c r="W46" s="72">
        <v>0.768472802907746</v>
      </c>
      <c r="X46" s="74">
        <v>0.92</v>
      </c>
      <c r="Y46" s="74">
        <v>0.82030660970093</v>
      </c>
      <c r="Z46" s="74">
        <v>0.922191946715108</v>
      </c>
      <c r="AA46" s="74">
        <v>0.948007471980075</v>
      </c>
      <c r="AB46" s="74">
        <v>0.889229280877136</v>
      </c>
      <c r="AC46" s="74">
        <v>0.92</v>
      </c>
      <c r="AD46" s="72">
        <v>0.973177441540578</v>
      </c>
      <c r="AE46" s="72">
        <v>0.980711780750747</v>
      </c>
      <c r="AF46" s="72">
        <v>0.972181008902077</v>
      </c>
      <c r="AG46" s="72">
        <v>0.967003660316514</v>
      </c>
      <c r="AH46" s="74">
        <v>0.92</v>
      </c>
      <c r="AI46" s="72">
        <v>0.85834756618275</v>
      </c>
      <c r="AJ46" s="72">
        <v>0.943427819638799</v>
      </c>
      <c r="AK46" s="72">
        <v>0.965477159130536</v>
      </c>
      <c r="AL46" s="72">
        <v>0.928476046343045</v>
      </c>
      <c r="AM46" s="71">
        <v>0.99</v>
      </c>
      <c r="AN46" s="76">
        <v>1</v>
      </c>
      <c r="AO46" s="76">
        <v>0.990909090909091</v>
      </c>
      <c r="AP46" s="76">
        <v>1</v>
      </c>
      <c r="AQ46" s="76">
        <v>0.999129677980853</v>
      </c>
      <c r="AR46" s="78">
        <v>0.0872182100128262</v>
      </c>
      <c r="AS46" s="80">
        <v>0.0909090909090909</v>
      </c>
      <c r="AT46" s="80">
        <v>0.03125</v>
      </c>
      <c r="AU46" s="80">
        <v>0.0344827586206897</v>
      </c>
      <c r="AV46" s="80">
        <v>0.0635451505016722</v>
      </c>
      <c r="AW46" s="36"/>
      <c r="AX46" s="34"/>
    </row>
    <row r="47" ht="14.5" spans="1:50">
      <c r="A47" s="32"/>
      <c r="B47" s="36"/>
      <c r="C47" s="68" t="s">
        <v>61</v>
      </c>
      <c r="D47" s="69" t="s">
        <v>29</v>
      </c>
      <c r="E47" s="81" t="s">
        <v>100</v>
      </c>
      <c r="F47" s="81" t="s">
        <v>100</v>
      </c>
      <c r="G47" s="81" t="s">
        <v>100</v>
      </c>
      <c r="H47" s="81" t="s">
        <v>100</v>
      </c>
      <c r="I47" s="71">
        <v>0.9</v>
      </c>
      <c r="J47" s="72">
        <v>0.865384615384615</v>
      </c>
      <c r="K47" s="72">
        <v>0.867768595041322</v>
      </c>
      <c r="L47" s="73">
        <v>0.900763358778626</v>
      </c>
      <c r="M47" s="72">
        <v>0.893295561850803</v>
      </c>
      <c r="N47" s="74">
        <v>0.9</v>
      </c>
      <c r="O47" s="72">
        <v>0.801973536667414</v>
      </c>
      <c r="P47" s="72">
        <v>0.93707065750736</v>
      </c>
      <c r="Q47" s="72">
        <v>0.96667517875383</v>
      </c>
      <c r="R47" s="72">
        <v>0.924317750514527</v>
      </c>
      <c r="S47" s="74">
        <v>0.9</v>
      </c>
      <c r="T47" s="72">
        <v>0.679748822605965</v>
      </c>
      <c r="U47" s="72">
        <v>0.779685966633955</v>
      </c>
      <c r="V47" s="72">
        <v>0.860827374872319</v>
      </c>
      <c r="W47" s="72">
        <v>0.784473311415818</v>
      </c>
      <c r="X47" s="74">
        <v>0.92</v>
      </c>
      <c r="Y47" s="74">
        <v>0.871176018447348</v>
      </c>
      <c r="Z47" s="74">
        <v>0.940613401054894</v>
      </c>
      <c r="AA47" s="74">
        <v>0.963260389480024</v>
      </c>
      <c r="AB47" s="74">
        <v>0.938392170714983</v>
      </c>
      <c r="AC47" s="74">
        <v>0.92</v>
      </c>
      <c r="AD47" s="72">
        <v>0.997261024376883</v>
      </c>
      <c r="AE47" s="72">
        <v>0.994936708860759</v>
      </c>
      <c r="AF47" s="72">
        <v>0.99392861286206</v>
      </c>
      <c r="AG47" s="72">
        <v>0.984329297477442</v>
      </c>
      <c r="AH47" s="74">
        <v>0.92</v>
      </c>
      <c r="AI47" s="72">
        <v>0.882715248962656</v>
      </c>
      <c r="AJ47" s="72">
        <v>0.94860975058398</v>
      </c>
      <c r="AK47" s="72">
        <v>0.974090838145778</v>
      </c>
      <c r="AL47" s="72">
        <v>0.952423939297826</v>
      </c>
      <c r="AM47" s="71">
        <v>0.99</v>
      </c>
      <c r="AN47" s="76">
        <v>1</v>
      </c>
      <c r="AO47" s="76">
        <v>1</v>
      </c>
      <c r="AP47" s="76">
        <v>1</v>
      </c>
      <c r="AQ47" s="76">
        <v>1</v>
      </c>
      <c r="AR47" s="78">
        <v>0.0872182100128262</v>
      </c>
      <c r="AS47" s="80">
        <v>0</v>
      </c>
      <c r="AT47" s="80">
        <v>0.0212765957446809</v>
      </c>
      <c r="AU47" s="80">
        <v>0</v>
      </c>
      <c r="AV47" s="80">
        <v>0.0637860082304527</v>
      </c>
      <c r="AW47" s="36"/>
      <c r="AX47" s="34"/>
    </row>
    <row r="48" ht="14.5" spans="1:50">
      <c r="A48" s="32"/>
      <c r="B48" s="36"/>
      <c r="C48" s="68" t="s">
        <v>61</v>
      </c>
      <c r="D48" s="69" t="s">
        <v>29</v>
      </c>
      <c r="E48" s="81" t="s">
        <v>101</v>
      </c>
      <c r="F48" s="81" t="s">
        <v>101</v>
      </c>
      <c r="G48" s="81" t="s">
        <v>101</v>
      </c>
      <c r="H48" s="81" t="s">
        <v>101</v>
      </c>
      <c r="I48" s="71">
        <v>0.9</v>
      </c>
      <c r="J48" s="72">
        <v>0.942857142857143</v>
      </c>
      <c r="K48" s="72">
        <v>0.959459459459459</v>
      </c>
      <c r="L48" s="73">
        <v>0.986301369863014</v>
      </c>
      <c r="M48" s="72">
        <v>0.975116640746501</v>
      </c>
      <c r="N48" s="74">
        <v>0.9</v>
      </c>
      <c r="O48" s="72">
        <v>0.887392503650819</v>
      </c>
      <c r="P48" s="72">
        <v>0.974397092831186</v>
      </c>
      <c r="Q48" s="72">
        <v>0.974916943521595</v>
      </c>
      <c r="R48" s="72">
        <v>0.940498171680967</v>
      </c>
      <c r="S48" s="74">
        <v>0.9</v>
      </c>
      <c r="T48" s="72">
        <v>0.791822164530261</v>
      </c>
      <c r="U48" s="72">
        <v>0.846217376940866</v>
      </c>
      <c r="V48" s="72">
        <v>0.882392026578073</v>
      </c>
      <c r="W48" s="72">
        <v>0.838655370913435</v>
      </c>
      <c r="X48" s="74">
        <v>0.92</v>
      </c>
      <c r="Y48" s="74">
        <v>0.907826086956522</v>
      </c>
      <c r="Z48" s="74">
        <v>0.936125654450262</v>
      </c>
      <c r="AA48" s="74">
        <v>0.95837780149413</v>
      </c>
      <c r="AB48" s="74">
        <v>0.952799682305554</v>
      </c>
      <c r="AC48" s="74">
        <v>0.92</v>
      </c>
      <c r="AD48" s="72">
        <v>0.984044250611637</v>
      </c>
      <c r="AE48" s="72">
        <v>0.953251157282808</v>
      </c>
      <c r="AF48" s="72">
        <v>0.972450228337761</v>
      </c>
      <c r="AG48" s="72">
        <v>0.977518791136036</v>
      </c>
      <c r="AH48" s="74">
        <v>0.92</v>
      </c>
      <c r="AI48" s="72">
        <v>0.922912603324974</v>
      </c>
      <c r="AJ48" s="72">
        <v>0.953325908676724</v>
      </c>
      <c r="AK48" s="72">
        <v>0.97216252174803</v>
      </c>
      <c r="AL48" s="72">
        <v>0.966181653464143</v>
      </c>
      <c r="AM48" s="71">
        <v>0.99</v>
      </c>
      <c r="AN48" s="76">
        <v>1</v>
      </c>
      <c r="AO48" s="76">
        <v>1</v>
      </c>
      <c r="AP48" s="76">
        <v>1</v>
      </c>
      <c r="AQ48" s="76">
        <v>1</v>
      </c>
      <c r="AR48" s="78">
        <v>0.0872182100128262</v>
      </c>
      <c r="AS48" s="80">
        <v>0.025</v>
      </c>
      <c r="AT48" s="80">
        <v>0.0566037735849057</v>
      </c>
      <c r="AU48" s="80">
        <v>0.025</v>
      </c>
      <c r="AV48" s="80">
        <v>0.041994750656168</v>
      </c>
      <c r="AW48" s="36"/>
      <c r="AX48" s="34"/>
    </row>
    <row r="49" ht="14.5" spans="1:50">
      <c r="A49" s="32"/>
      <c r="B49" s="36"/>
      <c r="C49" s="68" t="s">
        <v>61</v>
      </c>
      <c r="D49" s="69" t="s">
        <v>29</v>
      </c>
      <c r="E49" s="81" t="s">
        <v>102</v>
      </c>
      <c r="F49" s="81" t="s">
        <v>102</v>
      </c>
      <c r="G49" s="81" t="s">
        <v>102</v>
      </c>
      <c r="H49" s="81" t="s">
        <v>102</v>
      </c>
      <c r="I49" s="71">
        <v>0.9</v>
      </c>
      <c r="J49" s="72">
        <v>0.96</v>
      </c>
      <c r="K49" s="72">
        <v>0.94</v>
      </c>
      <c r="L49" s="73">
        <v>0.96</v>
      </c>
      <c r="M49" s="72">
        <v>0.94</v>
      </c>
      <c r="N49" s="74">
        <v>0.9</v>
      </c>
      <c r="O49" s="72">
        <v>0.749604273842501</v>
      </c>
      <c r="P49" s="72">
        <v>0.988429752066116</v>
      </c>
      <c r="Q49" s="72">
        <v>0.991307497283593</v>
      </c>
      <c r="R49" s="72">
        <v>0.934830465742643</v>
      </c>
      <c r="S49" s="74">
        <v>0.9</v>
      </c>
      <c r="T49" s="72">
        <v>0.868223189552829</v>
      </c>
      <c r="U49" s="72">
        <v>0.928615702479339</v>
      </c>
      <c r="V49" s="72">
        <v>0.935651334057709</v>
      </c>
      <c r="W49" s="72">
        <v>0.914439620715524</v>
      </c>
      <c r="X49" s="74">
        <v>0.92</v>
      </c>
      <c r="Y49" s="74">
        <v>0.91678874890126</v>
      </c>
      <c r="Z49" s="74">
        <v>0.948487626031164</v>
      </c>
      <c r="AA49" s="74">
        <v>0.980901690670006</v>
      </c>
      <c r="AB49" s="74">
        <v>0.96646806433902</v>
      </c>
      <c r="AC49" s="74">
        <v>0.92</v>
      </c>
      <c r="AD49" s="72">
        <v>0.993479858690756</v>
      </c>
      <c r="AE49" s="72">
        <v>0.97290140472774</v>
      </c>
      <c r="AF49" s="72">
        <v>0.985703525004835</v>
      </c>
      <c r="AG49" s="72">
        <v>0.979513091355854</v>
      </c>
      <c r="AH49" s="74">
        <v>0.92</v>
      </c>
      <c r="AI49" s="72">
        <v>0.93584371126719</v>
      </c>
      <c r="AJ49" s="72">
        <v>0.968764445618438</v>
      </c>
      <c r="AK49" s="72">
        <v>0.98555661534269</v>
      </c>
      <c r="AL49" s="72">
        <v>0.977715813422603</v>
      </c>
      <c r="AM49" s="71">
        <v>0.99</v>
      </c>
      <c r="AN49" s="76">
        <v>1</v>
      </c>
      <c r="AO49" s="76">
        <v>1</v>
      </c>
      <c r="AP49" s="76">
        <v>1</v>
      </c>
      <c r="AQ49" s="76">
        <v>1</v>
      </c>
      <c r="AR49" s="78">
        <v>0.0872182100128262</v>
      </c>
      <c r="AS49" s="80">
        <v>0.1</v>
      </c>
      <c r="AT49" s="80">
        <v>0</v>
      </c>
      <c r="AU49" s="80">
        <v>0.111111111111111</v>
      </c>
      <c r="AV49" s="80">
        <v>0.0761421319796954</v>
      </c>
      <c r="AW49" s="36"/>
      <c r="AX49" s="34"/>
    </row>
    <row r="50" ht="14.5" spans="1:50">
      <c r="A50" s="32"/>
      <c r="B50" s="36"/>
      <c r="C50" s="68" t="s">
        <v>61</v>
      </c>
      <c r="D50" s="69" t="s">
        <v>29</v>
      </c>
      <c r="E50" s="81" t="s">
        <v>103</v>
      </c>
      <c r="F50" s="81" t="s">
        <v>103</v>
      </c>
      <c r="G50" s="81" t="s">
        <v>103</v>
      </c>
      <c r="H50" s="81" t="s">
        <v>103</v>
      </c>
      <c r="I50" s="71">
        <v>0.9</v>
      </c>
      <c r="J50" s="72">
        <v>0.923076923076923</v>
      </c>
      <c r="K50" s="72">
        <v>0.893805309734513</v>
      </c>
      <c r="L50" s="73">
        <v>0.932773109243697</v>
      </c>
      <c r="M50" s="72">
        <v>0.935735150925024</v>
      </c>
      <c r="N50" s="74">
        <v>0.9</v>
      </c>
      <c r="O50" s="72">
        <v>0.888508452814038</v>
      </c>
      <c r="P50" s="72">
        <v>0.888595041322314</v>
      </c>
      <c r="Q50" s="72">
        <v>0.942404453484638</v>
      </c>
      <c r="R50" s="72">
        <v>0.901886610024051</v>
      </c>
      <c r="S50" s="74">
        <v>0.9</v>
      </c>
      <c r="T50" s="72">
        <v>0.542906056066767</v>
      </c>
      <c r="U50" s="72">
        <v>0.609586776859504</v>
      </c>
      <c r="V50" s="72">
        <v>0.69360882132534</v>
      </c>
      <c r="W50" s="72">
        <v>0.620514617904062</v>
      </c>
      <c r="X50" s="74">
        <v>0.92</v>
      </c>
      <c r="Y50" s="74">
        <v>0.780405405405405</v>
      </c>
      <c r="Z50" s="74">
        <v>0.863758269265153</v>
      </c>
      <c r="AA50" s="74">
        <v>0.923285688438574</v>
      </c>
      <c r="AB50" s="74">
        <v>0.874550614947966</v>
      </c>
      <c r="AC50" s="74">
        <v>0.92</v>
      </c>
      <c r="AD50" s="72">
        <v>0.966850828729282</v>
      </c>
      <c r="AE50" s="72">
        <v>0.975757575757576</v>
      </c>
      <c r="AF50" s="72">
        <v>0.961325966850829</v>
      </c>
      <c r="AG50" s="72">
        <v>0.9601921757035</v>
      </c>
      <c r="AH50" s="74">
        <v>0.92</v>
      </c>
      <c r="AI50" s="72">
        <v>0.828171186222851</v>
      </c>
      <c r="AJ50" s="72">
        <v>0.891683708248125</v>
      </c>
      <c r="AK50" s="72">
        <v>0.948748991121872</v>
      </c>
      <c r="AL50" s="72">
        <v>0.912174868546228</v>
      </c>
      <c r="AM50" s="71">
        <v>0.99</v>
      </c>
      <c r="AN50" s="76">
        <v>1</v>
      </c>
      <c r="AO50" s="76">
        <v>1</v>
      </c>
      <c r="AP50" s="76">
        <v>1</v>
      </c>
      <c r="AQ50" s="76">
        <v>1</v>
      </c>
      <c r="AR50" s="78">
        <v>0.0872182100128262</v>
      </c>
      <c r="AS50" s="80">
        <v>0.0266666666666667</v>
      </c>
      <c r="AT50" s="80">
        <v>0.111111111111111</v>
      </c>
      <c r="AU50" s="80">
        <v>0.0625</v>
      </c>
      <c r="AV50" s="80">
        <v>0.0617886178861789</v>
      </c>
      <c r="AW50" s="36"/>
      <c r="AX50" s="34"/>
    </row>
    <row r="51" ht="14.5" spans="1:50">
      <c r="A51" s="32"/>
      <c r="B51" s="36"/>
      <c r="C51" s="68" t="s">
        <v>61</v>
      </c>
      <c r="D51" s="69" t="s">
        <v>29</v>
      </c>
      <c r="E51" s="81" t="s">
        <v>104</v>
      </c>
      <c r="F51" s="81" t="s">
        <v>104</v>
      </c>
      <c r="G51" s="81" t="s">
        <v>104</v>
      </c>
      <c r="H51" s="81" t="s">
        <v>104</v>
      </c>
      <c r="I51" s="71">
        <v>0.9</v>
      </c>
      <c r="J51" s="72">
        <v>0.85</v>
      </c>
      <c r="K51" s="72">
        <v>0.788888888888889</v>
      </c>
      <c r="L51" s="73">
        <v>0.926315789473684</v>
      </c>
      <c r="M51" s="72">
        <v>0.910648714810282</v>
      </c>
      <c r="N51" s="74">
        <v>0.9</v>
      </c>
      <c r="O51" s="72">
        <v>0.870627261761158</v>
      </c>
      <c r="P51" s="72">
        <v>0.946819761293247</v>
      </c>
      <c r="Q51" s="72">
        <v>0.954261954261954</v>
      </c>
      <c r="R51" s="72">
        <v>0.927293515193481</v>
      </c>
      <c r="S51" s="74">
        <v>0.9</v>
      </c>
      <c r="T51" s="72">
        <v>0.724668275030157</v>
      </c>
      <c r="U51" s="72">
        <v>0.800574104849675</v>
      </c>
      <c r="V51" s="72">
        <v>0.839025839025839</v>
      </c>
      <c r="W51" s="72">
        <v>0.797694004734376</v>
      </c>
      <c r="X51" s="74">
        <v>0.92</v>
      </c>
      <c r="Y51" s="74">
        <v>0.915459380157711</v>
      </c>
      <c r="Z51" s="74">
        <v>0.923348017621145</v>
      </c>
      <c r="AA51" s="74">
        <v>0.946241563881778</v>
      </c>
      <c r="AB51" s="74">
        <v>0.935473815461347</v>
      </c>
      <c r="AC51" s="74">
        <v>0.92</v>
      </c>
      <c r="AD51" s="72">
        <v>0.5</v>
      </c>
      <c r="AE51" s="72">
        <v>1</v>
      </c>
      <c r="AF51" s="72">
        <v>0.6</v>
      </c>
      <c r="AG51" s="72">
        <v>0.553191489361702</v>
      </c>
      <c r="AH51" s="74">
        <v>0.92</v>
      </c>
      <c r="AI51" s="72">
        <v>0.930917514685199</v>
      </c>
      <c r="AJ51" s="72">
        <v>0.946859037548167</v>
      </c>
      <c r="AK51" s="72">
        <v>0.969449732571843</v>
      </c>
      <c r="AL51" s="72">
        <v>0.957315017291705</v>
      </c>
      <c r="AM51" s="71">
        <v>0.99</v>
      </c>
      <c r="AN51" s="76">
        <v>1</v>
      </c>
      <c r="AO51" s="76">
        <v>1</v>
      </c>
      <c r="AP51" s="76">
        <v>1</v>
      </c>
      <c r="AQ51" s="76">
        <v>1</v>
      </c>
      <c r="AR51" s="78">
        <v>0.0872182100128262</v>
      </c>
      <c r="AS51" s="80">
        <v>0.117647058823529</v>
      </c>
      <c r="AT51" s="80">
        <v>0.0666666666666667</v>
      </c>
      <c r="AU51" s="80">
        <v>0.0769230769230769</v>
      </c>
      <c r="AV51" s="80">
        <v>0.0555555555555556</v>
      </c>
      <c r="AW51" s="36"/>
      <c r="AX51" s="34"/>
    </row>
    <row r="52" ht="14.5" spans="1:50">
      <c r="A52" s="32"/>
      <c r="B52" s="36"/>
      <c r="C52" s="68" t="s">
        <v>61</v>
      </c>
      <c r="D52" s="69" t="s">
        <v>29</v>
      </c>
      <c r="E52" s="81" t="s">
        <v>105</v>
      </c>
      <c r="F52" s="81" t="s">
        <v>105</v>
      </c>
      <c r="G52" s="81" t="s">
        <v>105</v>
      </c>
      <c r="H52" s="81" t="s">
        <v>105</v>
      </c>
      <c r="I52" s="71">
        <v>0.9</v>
      </c>
      <c r="J52" s="72">
        <v>0.96</v>
      </c>
      <c r="K52" s="72">
        <v>0.975903614457831</v>
      </c>
      <c r="L52" s="73">
        <v>0.966666666666667</v>
      </c>
      <c r="M52" s="72">
        <v>0.968503937007874</v>
      </c>
      <c r="N52" s="74">
        <v>0.9</v>
      </c>
      <c r="O52" s="72">
        <v>0.991893577218873</v>
      </c>
      <c r="P52" s="72">
        <v>0.992461813132315</v>
      </c>
      <c r="Q52" s="72">
        <v>0.992157612853864</v>
      </c>
      <c r="R52" s="72">
        <v>0.992545014215015</v>
      </c>
      <c r="S52" s="74">
        <v>0.9</v>
      </c>
      <c r="T52" s="72">
        <v>0.862606526709624</v>
      </c>
      <c r="U52" s="72">
        <v>0.89744098393176</v>
      </c>
      <c r="V52" s="72">
        <v>0.928462127008416</v>
      </c>
      <c r="W52" s="72">
        <v>0.911866905338528</v>
      </c>
      <c r="X52" s="74">
        <v>0.92</v>
      </c>
      <c r="Y52" s="74">
        <v>0.919843171422348</v>
      </c>
      <c r="Z52" s="74">
        <v>0.949157383604684</v>
      </c>
      <c r="AA52" s="74">
        <v>0.951240875912409</v>
      </c>
      <c r="AB52" s="74">
        <v>0.950260597113849</v>
      </c>
      <c r="AC52" s="74">
        <v>0.92</v>
      </c>
      <c r="AD52" s="72">
        <v>0.996168582375479</v>
      </c>
      <c r="AE52" s="72">
        <v>0.990168273775761</v>
      </c>
      <c r="AF52" s="72">
        <v>0.805276381909548</v>
      </c>
      <c r="AG52" s="72">
        <v>0.963601013954175</v>
      </c>
      <c r="AH52" s="74">
        <v>0.92</v>
      </c>
      <c r="AI52" s="72">
        <v>0.931624840493407</v>
      </c>
      <c r="AJ52" s="72">
        <v>0.958562565843381</v>
      </c>
      <c r="AK52" s="72">
        <v>0.967645019644095</v>
      </c>
      <c r="AL52" s="72">
        <v>0.96498729627564</v>
      </c>
      <c r="AM52" s="71">
        <v>0.99</v>
      </c>
      <c r="AN52" s="76">
        <v>1</v>
      </c>
      <c r="AO52" s="76">
        <v>1</v>
      </c>
      <c r="AP52" s="76">
        <v>1</v>
      </c>
      <c r="AQ52" s="76">
        <v>1</v>
      </c>
      <c r="AR52" s="78">
        <v>0.0872182100128262</v>
      </c>
      <c r="AS52" s="80">
        <v>0.0136986301369863</v>
      </c>
      <c r="AT52" s="80">
        <v>0.0681818181818182</v>
      </c>
      <c r="AU52" s="80">
        <v>0.0769230769230769</v>
      </c>
      <c r="AV52" s="80">
        <v>0.0598591549295775</v>
      </c>
      <c r="AW52" s="36"/>
      <c r="AX52" s="34"/>
    </row>
    <row r="53" ht="14.5" spans="1:50">
      <c r="A53" s="32"/>
      <c r="B53" s="36"/>
      <c r="C53" s="68" t="s">
        <v>61</v>
      </c>
      <c r="D53" s="69" t="s">
        <v>29</v>
      </c>
      <c r="E53" s="81" t="s">
        <v>106</v>
      </c>
      <c r="F53" s="81" t="s">
        <v>106</v>
      </c>
      <c r="G53" s="81" t="s">
        <v>106</v>
      </c>
      <c r="H53" s="81" t="s">
        <v>106</v>
      </c>
      <c r="I53" s="71">
        <v>0.9</v>
      </c>
      <c r="J53" s="72">
        <v>0.979166666666667</v>
      </c>
      <c r="K53" s="72">
        <v>0.978723404255319</v>
      </c>
      <c r="L53" s="73">
        <v>0.942307692307692</v>
      </c>
      <c r="M53" s="72">
        <v>0.960352422907489</v>
      </c>
      <c r="N53" s="74">
        <v>0.9</v>
      </c>
      <c r="O53" s="72">
        <v>0.956743566992014</v>
      </c>
      <c r="P53" s="72">
        <v>0.98411945958758</v>
      </c>
      <c r="Q53" s="72">
        <v>0.927158273381295</v>
      </c>
      <c r="R53" s="72">
        <v>0.961928567995001</v>
      </c>
      <c r="S53" s="74">
        <v>0.9</v>
      </c>
      <c r="T53" s="72">
        <v>0.757985803016859</v>
      </c>
      <c r="U53" s="72">
        <v>0.802322825314055</v>
      </c>
      <c r="V53" s="72">
        <v>0.828911870503597</v>
      </c>
      <c r="W53" s="72">
        <v>0.803874441186367</v>
      </c>
      <c r="X53" s="74">
        <v>0.92</v>
      </c>
      <c r="Y53" s="74">
        <v>0.897176181706568</v>
      </c>
      <c r="Z53" s="74">
        <v>0.908278941944349</v>
      </c>
      <c r="AA53" s="74">
        <v>0.944805194805195</v>
      </c>
      <c r="AB53" s="74">
        <v>0.92738551359241</v>
      </c>
      <c r="AC53" s="74">
        <v>0.92</v>
      </c>
      <c r="AD53" s="72">
        <v>0.965468639887245</v>
      </c>
      <c r="AE53" s="72">
        <v>0.952234206471495</v>
      </c>
      <c r="AF53" s="72">
        <v>0.984341938214135</v>
      </c>
      <c r="AG53" s="72">
        <v>0.953391389672513</v>
      </c>
      <c r="AH53" s="74">
        <v>0.92</v>
      </c>
      <c r="AI53" s="72">
        <v>0.915271697141386</v>
      </c>
      <c r="AJ53" s="72">
        <v>0.928200813350161</v>
      </c>
      <c r="AK53" s="72">
        <v>0.954860149543063</v>
      </c>
      <c r="AL53" s="72">
        <v>0.948249134346522</v>
      </c>
      <c r="AM53" s="71">
        <v>0.99</v>
      </c>
      <c r="AN53" s="76">
        <v>1</v>
      </c>
      <c r="AO53" s="76">
        <v>1</v>
      </c>
      <c r="AP53" s="76">
        <v>1</v>
      </c>
      <c r="AQ53" s="76">
        <v>1</v>
      </c>
      <c r="AR53" s="78">
        <v>0.0872182100128262</v>
      </c>
      <c r="AS53" s="80">
        <v>0</v>
      </c>
      <c r="AT53" s="80">
        <v>0.0294117647058824</v>
      </c>
      <c r="AU53" s="80">
        <v>0.0344827586206897</v>
      </c>
      <c r="AV53" s="80">
        <v>0.0453074433656958</v>
      </c>
      <c r="AW53" s="36"/>
      <c r="AX53" s="34"/>
    </row>
    <row r="54" ht="14.5" spans="1:50">
      <c r="A54" s="32"/>
      <c r="B54" s="36"/>
      <c r="C54" s="68" t="s">
        <v>61</v>
      </c>
      <c r="D54" s="69" t="s">
        <v>29</v>
      </c>
      <c r="E54" s="81" t="s">
        <v>107</v>
      </c>
      <c r="F54" s="81" t="s">
        <v>107</v>
      </c>
      <c r="G54" s="81" t="s">
        <v>107</v>
      </c>
      <c r="H54" s="81" t="s">
        <v>107</v>
      </c>
      <c r="I54" s="71">
        <v>0.9</v>
      </c>
      <c r="J54" s="72">
        <v>1</v>
      </c>
      <c r="K54" s="72">
        <v>0.91304347826087</v>
      </c>
      <c r="L54" s="73">
        <v>0.96</v>
      </c>
      <c r="M54" s="72">
        <v>0.945273631840796</v>
      </c>
      <c r="N54" s="74">
        <v>0.9</v>
      </c>
      <c r="O54" s="72">
        <v>0.85821325648415</v>
      </c>
      <c r="P54" s="72">
        <v>0.967914438502674</v>
      </c>
      <c r="Q54" s="72">
        <v>0.963199214916585</v>
      </c>
      <c r="R54" s="72">
        <v>0.953586749285033</v>
      </c>
      <c r="S54" s="74">
        <v>0.9</v>
      </c>
      <c r="T54" s="72">
        <v>0.822478386167147</v>
      </c>
      <c r="U54" s="72">
        <v>0.917112299465241</v>
      </c>
      <c r="V54" s="72">
        <v>0.912168792934249</v>
      </c>
      <c r="W54" s="72">
        <v>0.888167302192564</v>
      </c>
      <c r="X54" s="74">
        <v>0.92</v>
      </c>
      <c r="Y54" s="74">
        <v>0.929532351057015</v>
      </c>
      <c r="Z54" s="74">
        <v>0.932069510268562</v>
      </c>
      <c r="AA54" s="74">
        <v>0.943977591036415</v>
      </c>
      <c r="AB54" s="74">
        <v>0.944549464398236</v>
      </c>
      <c r="AC54" s="74">
        <v>0.92</v>
      </c>
      <c r="AD54" s="72">
        <v>0.993339676498573</v>
      </c>
      <c r="AE54" s="72">
        <v>0.890672782874618</v>
      </c>
      <c r="AF54" s="72">
        <v>0.837758112094395</v>
      </c>
      <c r="AG54" s="72">
        <v>0.809967551376986</v>
      </c>
      <c r="AH54" s="74">
        <v>0.92</v>
      </c>
      <c r="AI54" s="72">
        <v>0.94872572815534</v>
      </c>
      <c r="AJ54" s="72">
        <v>0.96077806122449</v>
      </c>
      <c r="AK54" s="72">
        <v>0.969131832797428</v>
      </c>
      <c r="AL54" s="72">
        <v>0.966305828374794</v>
      </c>
      <c r="AM54" s="71">
        <v>0.99</v>
      </c>
      <c r="AN54" s="76">
        <v>1</v>
      </c>
      <c r="AO54" s="76">
        <v>1</v>
      </c>
      <c r="AP54" s="76">
        <v>1</v>
      </c>
      <c r="AQ54" s="76">
        <v>1</v>
      </c>
      <c r="AR54" s="78">
        <v>0.0872182100128262</v>
      </c>
      <c r="AS54" s="80">
        <v>0</v>
      </c>
      <c r="AT54" s="80">
        <v>0.0666666666666667</v>
      </c>
      <c r="AU54" s="80">
        <v>0.0434782608695652</v>
      </c>
      <c r="AV54" s="80">
        <v>0.0566037735849057</v>
      </c>
      <c r="AW54" s="36"/>
      <c r="AX54" s="34"/>
    </row>
    <row r="55" ht="14.5" spans="1:50">
      <c r="A55" s="32"/>
      <c r="B55" s="36"/>
      <c r="C55" s="68" t="s">
        <v>61</v>
      </c>
      <c r="D55" s="69" t="s">
        <v>29</v>
      </c>
      <c r="E55" s="81" t="s">
        <v>108</v>
      </c>
      <c r="F55" s="81" t="s">
        <v>108</v>
      </c>
      <c r="G55" s="81" t="s">
        <v>108</v>
      </c>
      <c r="H55" s="81" t="s">
        <v>108</v>
      </c>
      <c r="I55" s="71">
        <v>0.9</v>
      </c>
      <c r="J55" s="72">
        <v>0.88</v>
      </c>
      <c r="K55" s="72">
        <v>0.896551724137931</v>
      </c>
      <c r="L55" s="73">
        <v>0.897959183673469</v>
      </c>
      <c r="M55" s="72">
        <v>0.917705735660848</v>
      </c>
      <c r="N55" s="74">
        <v>0.9</v>
      </c>
      <c r="O55" s="72">
        <v>0.763446215139442</v>
      </c>
      <c r="P55" s="72">
        <v>0.962455606291223</v>
      </c>
      <c r="Q55" s="72">
        <v>0.976795931341386</v>
      </c>
      <c r="R55" s="72">
        <v>0.949594810635991</v>
      </c>
      <c r="S55" s="74">
        <v>0.9</v>
      </c>
      <c r="T55" s="72">
        <v>0.799800796812749</v>
      </c>
      <c r="U55" s="72">
        <v>0.895146287840352</v>
      </c>
      <c r="V55" s="72">
        <v>0.910680228862047</v>
      </c>
      <c r="W55" s="72">
        <v>0.881015821679928</v>
      </c>
      <c r="X55" s="74">
        <v>0.92</v>
      </c>
      <c r="Y55" s="74">
        <v>0.912040990606319</v>
      </c>
      <c r="Z55" s="74">
        <v>0.936662606577345</v>
      </c>
      <c r="AA55" s="74">
        <v>0.949238578680203</v>
      </c>
      <c r="AB55" s="74">
        <v>0.940533114944654</v>
      </c>
      <c r="AC55" s="74">
        <v>0.92</v>
      </c>
      <c r="AD55" s="72">
        <v>0.996832101372756</v>
      </c>
      <c r="AE55" s="72">
        <v>0.985124581628858</v>
      </c>
      <c r="AF55" s="72">
        <v>0.964985544490845</v>
      </c>
      <c r="AG55" s="72">
        <v>0.930887111545271</v>
      </c>
      <c r="AH55" s="74">
        <v>0.92</v>
      </c>
      <c r="AI55" s="72">
        <v>0.933986928104575</v>
      </c>
      <c r="AJ55" s="72">
        <v>0.954785906777123</v>
      </c>
      <c r="AK55" s="72">
        <v>0.966090100654744</v>
      </c>
      <c r="AL55" s="72">
        <v>0.958993476234856</v>
      </c>
      <c r="AM55" s="71">
        <v>0.99</v>
      </c>
      <c r="AN55" s="76">
        <v>1</v>
      </c>
      <c r="AO55" s="76">
        <v>1</v>
      </c>
      <c r="AP55" s="76">
        <v>1</v>
      </c>
      <c r="AQ55" s="76">
        <v>1</v>
      </c>
      <c r="AR55" s="78">
        <v>0.0872182100128262</v>
      </c>
      <c r="AS55" s="80">
        <v>0.114285714285714</v>
      </c>
      <c r="AT55" s="80">
        <v>0.0526315789473684</v>
      </c>
      <c r="AU55" s="80">
        <v>0.0208333333333333</v>
      </c>
      <c r="AV55" s="80">
        <v>0.0460048426150121</v>
      </c>
      <c r="AW55" s="36"/>
      <c r="AX55" s="34"/>
    </row>
    <row r="56" ht="14.5" spans="1:50">
      <c r="A56" s="32"/>
      <c r="B56" s="36"/>
      <c r="C56" s="68" t="s">
        <v>61</v>
      </c>
      <c r="D56" s="69" t="s">
        <v>29</v>
      </c>
      <c r="E56" s="81" t="s">
        <v>109</v>
      </c>
      <c r="F56" s="81" t="s">
        <v>109</v>
      </c>
      <c r="G56" s="81" t="s">
        <v>109</v>
      </c>
      <c r="H56" s="81" t="s">
        <v>109</v>
      </c>
      <c r="I56" s="71">
        <v>0.9</v>
      </c>
      <c r="J56" s="72">
        <v>0.972222222222222</v>
      </c>
      <c r="K56" s="72">
        <v>1</v>
      </c>
      <c r="L56" s="73">
        <v>1</v>
      </c>
      <c r="M56" s="72">
        <v>0.992836676217765</v>
      </c>
      <c r="N56" s="74">
        <v>0.9</v>
      </c>
      <c r="O56" s="72">
        <v>0.971550985432734</v>
      </c>
      <c r="P56" s="72">
        <v>0.971419076105018</v>
      </c>
      <c r="Q56" s="72">
        <v>0.973850031505986</v>
      </c>
      <c r="R56" s="72">
        <v>0.974663234360674</v>
      </c>
      <c r="S56" s="74">
        <v>0.9</v>
      </c>
      <c r="T56" s="72">
        <v>0.848843187660668</v>
      </c>
      <c r="U56" s="72">
        <v>0.876537055500166</v>
      </c>
      <c r="V56" s="72">
        <v>0.902173913043478</v>
      </c>
      <c r="W56" s="72">
        <v>0.90004584244305</v>
      </c>
      <c r="X56" s="74">
        <v>0.92</v>
      </c>
      <c r="Y56" s="74">
        <v>0.894034378159757</v>
      </c>
      <c r="Z56" s="74">
        <v>0.899806856591019</v>
      </c>
      <c r="AA56" s="74">
        <v>0.947582697201018</v>
      </c>
      <c r="AB56" s="74">
        <v>0.933572850164129</v>
      </c>
      <c r="AC56" s="74">
        <v>0.92</v>
      </c>
      <c r="AD56" s="72">
        <v>0.997605051164816</v>
      </c>
      <c r="AE56" s="72">
        <v>0.998938428874735</v>
      </c>
      <c r="AF56" s="72">
        <v>0.998584772148316</v>
      </c>
      <c r="AG56" s="72">
        <v>0.952387894337862</v>
      </c>
      <c r="AH56" s="74">
        <v>0.92</v>
      </c>
      <c r="AI56" s="72">
        <v>0.909748631852333</v>
      </c>
      <c r="AJ56" s="72">
        <v>0.923129921259843</v>
      </c>
      <c r="AK56" s="72">
        <v>0.967311995330285</v>
      </c>
      <c r="AL56" s="72">
        <v>0.95298186772875</v>
      </c>
      <c r="AM56" s="71">
        <v>0.99</v>
      </c>
      <c r="AN56" s="76">
        <v>1</v>
      </c>
      <c r="AO56" s="76">
        <v>1</v>
      </c>
      <c r="AP56" s="76">
        <v>1</v>
      </c>
      <c r="AQ56" s="76">
        <v>1</v>
      </c>
      <c r="AR56" s="78">
        <v>0.0872182100128262</v>
      </c>
      <c r="AS56" s="80">
        <v>0.104166666666667</v>
      </c>
      <c r="AT56" s="80">
        <v>0.08</v>
      </c>
      <c r="AU56" s="80">
        <v>0.0869565217391304</v>
      </c>
      <c r="AV56" s="80">
        <v>0.053921568627451</v>
      </c>
      <c r="AW56" s="36"/>
      <c r="AX56" s="34"/>
    </row>
    <row r="57" ht="14.5" spans="1:50">
      <c r="A57" s="32"/>
      <c r="B57" s="36"/>
      <c r="C57" s="68" t="s">
        <v>61</v>
      </c>
      <c r="D57" s="69" t="s">
        <v>29</v>
      </c>
      <c r="E57" s="81" t="s">
        <v>110</v>
      </c>
      <c r="F57" s="81" t="s">
        <v>110</v>
      </c>
      <c r="G57" s="81" t="s">
        <v>110</v>
      </c>
      <c r="H57" s="81" t="s">
        <v>110</v>
      </c>
      <c r="I57" s="71">
        <v>0.9</v>
      </c>
      <c r="J57" s="72">
        <v>0.931034482758621</v>
      </c>
      <c r="K57" s="72">
        <v>0.890625</v>
      </c>
      <c r="L57" s="73">
        <v>0.986111111111111</v>
      </c>
      <c r="M57" s="72">
        <v>0.950847457627119</v>
      </c>
      <c r="N57" s="74">
        <v>0.9</v>
      </c>
      <c r="O57" s="72">
        <v>0.952302025782689</v>
      </c>
      <c r="P57" s="72">
        <v>0.973745624270712</v>
      </c>
      <c r="Q57" s="72">
        <v>0.975427145325398</v>
      </c>
      <c r="R57" s="72">
        <v>0.970969015606492</v>
      </c>
      <c r="S57" s="74">
        <v>0.9</v>
      </c>
      <c r="T57" s="72">
        <v>0.858011049723757</v>
      </c>
      <c r="U57" s="72">
        <v>0.928821470245041</v>
      </c>
      <c r="V57" s="72">
        <v>0.934728354770589</v>
      </c>
      <c r="W57" s="72">
        <v>0.914340932233328</v>
      </c>
      <c r="X57" s="74">
        <v>0.92</v>
      </c>
      <c r="Y57" s="74">
        <v>0.935467349551857</v>
      </c>
      <c r="Z57" s="74">
        <v>0.939923054158035</v>
      </c>
      <c r="AA57" s="74">
        <v>0.960981377475613</v>
      </c>
      <c r="AB57" s="74">
        <v>0.950118990956687</v>
      </c>
      <c r="AC57" s="74">
        <v>0.92</v>
      </c>
      <c r="AD57" s="72">
        <v>0.983797569635445</v>
      </c>
      <c r="AE57" s="72">
        <v>0.970631551589708</v>
      </c>
      <c r="AF57" s="72">
        <v>0.975973789588642</v>
      </c>
      <c r="AG57" s="72">
        <v>0.976200198331681</v>
      </c>
      <c r="AH57" s="74">
        <v>0.92</v>
      </c>
      <c r="AI57" s="72">
        <v>0.95307980717729</v>
      </c>
      <c r="AJ57" s="72">
        <v>0.963271532504107</v>
      </c>
      <c r="AK57" s="72">
        <v>0.975098906213637</v>
      </c>
      <c r="AL57" s="72">
        <v>0.968598154309749</v>
      </c>
      <c r="AM57" s="71">
        <v>0.99</v>
      </c>
      <c r="AN57" s="76">
        <v>1</v>
      </c>
      <c r="AO57" s="76">
        <v>1</v>
      </c>
      <c r="AP57" s="76">
        <v>1</v>
      </c>
      <c r="AQ57" s="76">
        <v>1</v>
      </c>
      <c r="AR57" s="78">
        <v>0.0872182100128262</v>
      </c>
      <c r="AS57" s="80">
        <v>0.0857142857142857</v>
      </c>
      <c r="AT57" s="80">
        <v>0</v>
      </c>
      <c r="AU57" s="80">
        <v>0.0526315789473684</v>
      </c>
      <c r="AV57" s="80">
        <v>0.0360576923076923</v>
      </c>
      <c r="AW57" s="36"/>
      <c r="AX57" s="34"/>
    </row>
    <row r="58" ht="14.5" spans="1:50">
      <c r="A58" s="32"/>
      <c r="B58" s="36"/>
      <c r="C58" s="68" t="s">
        <v>61</v>
      </c>
      <c r="D58" s="69" t="s">
        <v>29</v>
      </c>
      <c r="E58" s="81" t="s">
        <v>111</v>
      </c>
      <c r="F58" s="81" t="s">
        <v>111</v>
      </c>
      <c r="G58" s="81" t="s">
        <v>111</v>
      </c>
      <c r="H58" s="81" t="s">
        <v>111</v>
      </c>
      <c r="I58" s="71">
        <v>0.9</v>
      </c>
      <c r="J58" s="72">
        <v>0.818181818181818</v>
      </c>
      <c r="K58" s="72">
        <v>0.96969696969697</v>
      </c>
      <c r="L58" s="73">
        <v>0.944444444444444</v>
      </c>
      <c r="M58" s="72">
        <v>0.955631399317406</v>
      </c>
      <c r="N58" s="74">
        <v>0.9</v>
      </c>
      <c r="O58" s="72">
        <v>0.948626045400239</v>
      </c>
      <c r="P58" s="72">
        <v>0.98436278342455</v>
      </c>
      <c r="Q58" s="72">
        <v>0.966383151073309</v>
      </c>
      <c r="R58" s="72">
        <v>0.9588900729568</v>
      </c>
      <c r="S58" s="74">
        <v>0.9</v>
      </c>
      <c r="T58" s="72">
        <v>0.913978494623656</v>
      </c>
      <c r="U58" s="72">
        <v>0.927677873338546</v>
      </c>
      <c r="V58" s="72">
        <v>0.942891859052248</v>
      </c>
      <c r="W58" s="72">
        <v>0.920690220509878</v>
      </c>
      <c r="X58" s="74">
        <v>0.92</v>
      </c>
      <c r="Y58" s="74">
        <v>0.953959484346225</v>
      </c>
      <c r="Z58" s="74">
        <v>0.954221165279429</v>
      </c>
      <c r="AA58" s="74">
        <v>0.981729598051157</v>
      </c>
      <c r="AB58" s="74">
        <v>0.965601664830457</v>
      </c>
      <c r="AC58" s="74">
        <v>0.92</v>
      </c>
      <c r="AD58" s="72">
        <v>0.996560619088564</v>
      </c>
      <c r="AE58" s="72">
        <v>0.98859543817527</v>
      </c>
      <c r="AF58" s="72">
        <v>0.991116046640755</v>
      </c>
      <c r="AG58" s="72">
        <v>0.983674038931138</v>
      </c>
      <c r="AH58" s="74">
        <v>0.92</v>
      </c>
      <c r="AI58" s="72">
        <v>0.958146487294469</v>
      </c>
      <c r="AJ58" s="72">
        <v>0.961320754716981</v>
      </c>
      <c r="AK58" s="72">
        <v>0.982972512770615</v>
      </c>
      <c r="AL58" s="72">
        <v>0.974010994404633</v>
      </c>
      <c r="AM58" s="71">
        <v>0.99</v>
      </c>
      <c r="AN58" s="76">
        <v>1</v>
      </c>
      <c r="AO58" s="76">
        <v>1</v>
      </c>
      <c r="AP58" s="76">
        <v>1</v>
      </c>
      <c r="AQ58" s="76">
        <v>1</v>
      </c>
      <c r="AR58" s="78">
        <v>0.0872182100128262</v>
      </c>
      <c r="AS58" s="80">
        <v>0.2</v>
      </c>
      <c r="AT58" s="80">
        <v>0.0833333333333333</v>
      </c>
      <c r="AU58" s="80">
        <v>0</v>
      </c>
      <c r="AV58" s="80">
        <v>0.0810810810810811</v>
      </c>
      <c r="AW58" s="36"/>
      <c r="AX58" s="34"/>
    </row>
    <row r="59" ht="14.5" spans="1:50">
      <c r="A59" s="32"/>
      <c r="B59" s="36"/>
      <c r="C59" s="68" t="s">
        <v>61</v>
      </c>
      <c r="D59" s="69" t="s">
        <v>29</v>
      </c>
      <c r="E59" s="81" t="s">
        <v>112</v>
      </c>
      <c r="F59" s="81" t="s">
        <v>112</v>
      </c>
      <c r="G59" s="81" t="s">
        <v>112</v>
      </c>
      <c r="H59" s="81" t="s">
        <v>112</v>
      </c>
      <c r="I59" s="71">
        <v>0.9</v>
      </c>
      <c r="J59" s="72">
        <v>0.903614457831325</v>
      </c>
      <c r="K59" s="72">
        <v>0.946808510638298</v>
      </c>
      <c r="L59" s="73">
        <v>0.91</v>
      </c>
      <c r="M59" s="72">
        <v>0.866359447004608</v>
      </c>
      <c r="N59" s="74">
        <v>0.9</v>
      </c>
      <c r="O59" s="72">
        <v>0.867415422544857</v>
      </c>
      <c r="P59" s="72">
        <v>0.944803288314739</v>
      </c>
      <c r="Q59" s="72">
        <v>0.972186746133106</v>
      </c>
      <c r="R59" s="72">
        <v>0.945214334137382</v>
      </c>
      <c r="S59" s="74">
        <v>0.9</v>
      </c>
      <c r="T59" s="72">
        <v>0.543076290919052</v>
      </c>
      <c r="U59" s="72">
        <v>0.634028185554903</v>
      </c>
      <c r="V59" s="72">
        <v>0.694621824890024</v>
      </c>
      <c r="W59" s="72">
        <v>0.641079001718457</v>
      </c>
      <c r="X59" s="74">
        <v>0.92</v>
      </c>
      <c r="Y59" s="74">
        <v>0.867070040337367</v>
      </c>
      <c r="Z59" s="74">
        <v>0.905734144222415</v>
      </c>
      <c r="AA59" s="74">
        <v>0.941020062847474</v>
      </c>
      <c r="AB59" s="74">
        <v>0.913220581229157</v>
      </c>
      <c r="AC59" s="74">
        <v>0.92</v>
      </c>
      <c r="AD59" s="72">
        <v>0.998200514138817</v>
      </c>
      <c r="AE59" s="72">
        <v>0.997475455820477</v>
      </c>
      <c r="AF59" s="72">
        <v>0.999074359765505</v>
      </c>
      <c r="AG59" s="72">
        <v>0.998036832756848</v>
      </c>
      <c r="AH59" s="74">
        <v>0.92</v>
      </c>
      <c r="AI59" s="72">
        <v>0.886554292434339</v>
      </c>
      <c r="AJ59" s="72">
        <v>0.932206358938425</v>
      </c>
      <c r="AK59" s="72">
        <v>0.960121602288984</v>
      </c>
      <c r="AL59" s="72">
        <v>0.937368965288253</v>
      </c>
      <c r="AM59" s="71">
        <v>0.99</v>
      </c>
      <c r="AN59" s="76">
        <v>1</v>
      </c>
      <c r="AO59" s="76">
        <v>1</v>
      </c>
      <c r="AP59" s="76">
        <v>1</v>
      </c>
      <c r="AQ59" s="76">
        <v>1</v>
      </c>
      <c r="AR59" s="78">
        <v>0.0872182100128262</v>
      </c>
      <c r="AS59" s="80">
        <v>0</v>
      </c>
      <c r="AT59" s="80">
        <v>0.0816326530612245</v>
      </c>
      <c r="AU59" s="80">
        <v>0</v>
      </c>
      <c r="AV59" s="80">
        <v>0.0541871921182266</v>
      </c>
      <c r="AW59" s="36"/>
      <c r="AX59" s="34"/>
    </row>
    <row r="60" ht="14.5" spans="1:50">
      <c r="A60" s="32"/>
      <c r="B60" s="36"/>
      <c r="C60" s="68" t="s">
        <v>61</v>
      </c>
      <c r="D60" s="69" t="s">
        <v>29</v>
      </c>
      <c r="E60" s="81" t="s">
        <v>113</v>
      </c>
      <c r="F60" s="81" t="s">
        <v>113</v>
      </c>
      <c r="G60" s="81" t="s">
        <v>113</v>
      </c>
      <c r="H60" s="81" t="s">
        <v>113</v>
      </c>
      <c r="I60" s="71">
        <v>0.9</v>
      </c>
      <c r="J60" s="72">
        <v>0.923076923076923</v>
      </c>
      <c r="K60" s="72">
        <v>0.958904109589041</v>
      </c>
      <c r="L60" s="73">
        <v>0.9125</v>
      </c>
      <c r="M60" s="72">
        <v>0.937878787878788</v>
      </c>
      <c r="N60" s="74">
        <v>0.9</v>
      </c>
      <c r="O60" s="72">
        <v>0.945138206819139</v>
      </c>
      <c r="P60" s="72">
        <v>0.97824531272363</v>
      </c>
      <c r="Q60" s="72">
        <v>0.983804517687171</v>
      </c>
      <c r="R60" s="72">
        <v>0.943818300694293</v>
      </c>
      <c r="S60" s="74">
        <v>0.9</v>
      </c>
      <c r="T60" s="72">
        <v>0.62578925213975</v>
      </c>
      <c r="U60" s="72">
        <v>0.761557177615572</v>
      </c>
      <c r="V60" s="72">
        <v>0.792868305156982</v>
      </c>
      <c r="W60" s="72">
        <v>0.72995734611912</v>
      </c>
      <c r="X60" s="74">
        <v>0.92</v>
      </c>
      <c r="Y60" s="74">
        <v>0.923823910228744</v>
      </c>
      <c r="Z60" s="74">
        <v>0.948673870333988</v>
      </c>
      <c r="AA60" s="74">
        <v>0.963595279939744</v>
      </c>
      <c r="AB60" s="74">
        <v>0.949349867880595</v>
      </c>
      <c r="AC60" s="74">
        <v>0.92</v>
      </c>
      <c r="AD60" s="72">
        <v>0.962887618209809</v>
      </c>
      <c r="AE60" s="72">
        <v>0.991077119184194</v>
      </c>
      <c r="AF60" s="72">
        <v>0.989835966589514</v>
      </c>
      <c r="AG60" s="72">
        <v>0.987215556668648</v>
      </c>
      <c r="AH60" s="74">
        <v>0.92</v>
      </c>
      <c r="AI60" s="72">
        <v>0.932664512837953</v>
      </c>
      <c r="AJ60" s="72">
        <v>0.955240075956235</v>
      </c>
      <c r="AK60" s="72">
        <v>0.967159575433185</v>
      </c>
      <c r="AL60" s="72">
        <v>0.961625921046211</v>
      </c>
      <c r="AM60" s="71">
        <v>0.99</v>
      </c>
      <c r="AN60" s="76">
        <v>1</v>
      </c>
      <c r="AO60" s="76">
        <v>1</v>
      </c>
      <c r="AP60" s="76">
        <v>1</v>
      </c>
      <c r="AQ60" s="76">
        <v>1</v>
      </c>
      <c r="AR60" s="78">
        <v>0.0872182100128262</v>
      </c>
      <c r="AS60" s="80">
        <v>0.0638297872340425</v>
      </c>
      <c r="AT60" s="80">
        <v>0.0588235294117647</v>
      </c>
      <c r="AU60" s="80">
        <v>0.0222222222222222</v>
      </c>
      <c r="AV60" s="80">
        <v>0.035799522673031</v>
      </c>
      <c r="AW60" s="36"/>
      <c r="AX60" s="34"/>
    </row>
    <row r="61" ht="14.5" spans="1:50">
      <c r="A61" s="32"/>
      <c r="B61" s="36"/>
      <c r="C61" s="68" t="s">
        <v>61</v>
      </c>
      <c r="D61" s="69" t="s">
        <v>29</v>
      </c>
      <c r="E61" s="81" t="s">
        <v>114</v>
      </c>
      <c r="F61" s="81" t="s">
        <v>114</v>
      </c>
      <c r="G61" s="81" t="s">
        <v>114</v>
      </c>
      <c r="H61" s="81" t="s">
        <v>114</v>
      </c>
      <c r="I61" s="71">
        <v>0.9</v>
      </c>
      <c r="J61" s="72">
        <v>0.92</v>
      </c>
      <c r="K61" s="72">
        <v>0.911392405063291</v>
      </c>
      <c r="L61" s="73">
        <v>0.917647058823529</v>
      </c>
      <c r="M61" s="72">
        <v>0.933333333333333</v>
      </c>
      <c r="N61" s="74">
        <v>0.9</v>
      </c>
      <c r="O61" s="72">
        <v>0.969262295081967</v>
      </c>
      <c r="P61" s="72">
        <v>0.978891461255618</v>
      </c>
      <c r="Q61" s="72">
        <v>0.964346128822381</v>
      </c>
      <c r="R61" s="72">
        <v>0.967933695341526</v>
      </c>
      <c r="S61" s="74">
        <v>0.9</v>
      </c>
      <c r="T61" s="72">
        <v>0.782530737704918</v>
      </c>
      <c r="U61" s="72">
        <v>0.854555358845159</v>
      </c>
      <c r="V61" s="72">
        <v>0.871567989590111</v>
      </c>
      <c r="W61" s="72">
        <v>0.820920262932266</v>
      </c>
      <c r="X61" s="74">
        <v>0.92</v>
      </c>
      <c r="Y61" s="74">
        <v>0.92674512987013</v>
      </c>
      <c r="Z61" s="74">
        <v>0.943307086614173</v>
      </c>
      <c r="AA61" s="74">
        <v>0.956424079065588</v>
      </c>
      <c r="AB61" s="74">
        <v>0.948320537428023</v>
      </c>
      <c r="AC61" s="74">
        <v>0.92</v>
      </c>
      <c r="AD61" s="72">
        <v>0.994395578734335</v>
      </c>
      <c r="AE61" s="72">
        <v>0.971027660004038</v>
      </c>
      <c r="AF61" s="72">
        <v>0.979856045601662</v>
      </c>
      <c r="AG61" s="72">
        <v>0.968914313819634</v>
      </c>
      <c r="AH61" s="74">
        <v>0.92</v>
      </c>
      <c r="AI61" s="72">
        <v>0.940405150753769</v>
      </c>
      <c r="AJ61" s="72">
        <v>0.961323155216285</v>
      </c>
      <c r="AK61" s="72">
        <v>0.970510708401977</v>
      </c>
      <c r="AL61" s="72">
        <v>0.962714231988395</v>
      </c>
      <c r="AM61" s="71">
        <v>0.99</v>
      </c>
      <c r="AN61" s="76">
        <v>1</v>
      </c>
      <c r="AO61" s="76">
        <v>0.98728813559322</v>
      </c>
      <c r="AP61" s="76">
        <v>1</v>
      </c>
      <c r="AQ61" s="76">
        <v>0.998401704848162</v>
      </c>
      <c r="AR61" s="78">
        <v>0.0872182100128262</v>
      </c>
      <c r="AS61" s="80">
        <v>0.0344827586206897</v>
      </c>
      <c r="AT61" s="80">
        <v>0.0555555555555556</v>
      </c>
      <c r="AU61" s="80">
        <v>0.186440677966102</v>
      </c>
      <c r="AV61" s="80">
        <v>0.0763636363636364</v>
      </c>
      <c r="AW61" s="36"/>
      <c r="AX61" s="34"/>
    </row>
    <row r="62" ht="14.5" spans="1:50">
      <c r="A62" s="32"/>
      <c r="B62" s="36"/>
      <c r="C62" s="68" t="s">
        <v>61</v>
      </c>
      <c r="D62" s="69" t="s">
        <v>29</v>
      </c>
      <c r="E62" s="81" t="s">
        <v>115</v>
      </c>
      <c r="F62" s="81" t="s">
        <v>115</v>
      </c>
      <c r="G62" s="81" t="s">
        <v>115</v>
      </c>
      <c r="H62" s="81" t="s">
        <v>115</v>
      </c>
      <c r="I62" s="71">
        <v>0.9</v>
      </c>
      <c r="J62" s="72">
        <v>0.645161290322581</v>
      </c>
      <c r="K62" s="72">
        <v>0.636363636363636</v>
      </c>
      <c r="L62" s="73">
        <v>0.738095238095238</v>
      </c>
      <c r="M62" s="72">
        <v>0.786549707602339</v>
      </c>
      <c r="N62" s="74">
        <v>0.9</v>
      </c>
      <c r="O62" s="72">
        <v>0.957222566646001</v>
      </c>
      <c r="P62" s="72">
        <v>0.960093116062521</v>
      </c>
      <c r="Q62" s="72">
        <v>0.985552763819096</v>
      </c>
      <c r="R62" s="72">
        <v>0.974194996073152</v>
      </c>
      <c r="S62" s="74">
        <v>0.9</v>
      </c>
      <c r="T62" s="72">
        <v>0.346559206447613</v>
      </c>
      <c r="U62" s="72">
        <v>0.505154639175258</v>
      </c>
      <c r="V62" s="72">
        <v>0.735866834170854</v>
      </c>
      <c r="W62" s="72">
        <v>0.595310221025468</v>
      </c>
      <c r="X62" s="74">
        <v>0.92</v>
      </c>
      <c r="Y62" s="74">
        <v>0.724972796517954</v>
      </c>
      <c r="Z62" s="74">
        <v>0.788584740827024</v>
      </c>
      <c r="AA62" s="74">
        <v>0.961114335461405</v>
      </c>
      <c r="AB62" s="74">
        <v>0.858867475097445</v>
      </c>
      <c r="AC62" s="74">
        <v>0.92</v>
      </c>
      <c r="AD62" s="72">
        <v>0.979166666666667</v>
      </c>
      <c r="AE62" s="72">
        <v>0.824175824175824</v>
      </c>
      <c r="AF62" s="72">
        <v>0.989795918367347</v>
      </c>
      <c r="AG62" s="72">
        <v>0.91583452211127</v>
      </c>
      <c r="AH62" s="74">
        <v>0.92</v>
      </c>
      <c r="AI62" s="72">
        <v>0.716392512762337</v>
      </c>
      <c r="AJ62" s="72">
        <v>0.787724867724868</v>
      </c>
      <c r="AK62" s="72">
        <v>0.972895863052782</v>
      </c>
      <c r="AL62" s="72">
        <v>0.885630239090527</v>
      </c>
      <c r="AM62" s="71">
        <v>0.99</v>
      </c>
      <c r="AN62" s="76">
        <v>1</v>
      </c>
      <c r="AO62" s="76">
        <v>1</v>
      </c>
      <c r="AP62" s="76">
        <v>1</v>
      </c>
      <c r="AQ62" s="76">
        <v>1</v>
      </c>
      <c r="AR62" s="78">
        <v>0.0872182100128262</v>
      </c>
      <c r="AS62" s="80">
        <v>0</v>
      </c>
      <c r="AT62" s="80">
        <v>0.105263157894737</v>
      </c>
      <c r="AU62" s="80">
        <v>0.0666666666666667</v>
      </c>
      <c r="AV62" s="80">
        <v>0.0289855072463768</v>
      </c>
      <c r="AW62" s="36"/>
      <c r="AX62" s="34"/>
    </row>
    <row r="63" ht="14.5" spans="1:50">
      <c r="A63" s="32"/>
      <c r="B63" s="36"/>
      <c r="C63" s="68" t="s">
        <v>61</v>
      </c>
      <c r="D63" s="69" t="s">
        <v>29</v>
      </c>
      <c r="E63" s="81" t="s">
        <v>116</v>
      </c>
      <c r="F63" s="81" t="s">
        <v>116</v>
      </c>
      <c r="G63" s="81" t="s">
        <v>116</v>
      </c>
      <c r="H63" s="81" t="s">
        <v>116</v>
      </c>
      <c r="I63" s="71">
        <v>0.9</v>
      </c>
      <c r="J63" s="72">
        <v>0.926829268292683</v>
      </c>
      <c r="K63" s="72">
        <v>0.833333333333333</v>
      </c>
      <c r="L63" s="73">
        <v>0.835051546391753</v>
      </c>
      <c r="M63" s="72">
        <v>0.886060606060606</v>
      </c>
      <c r="N63" s="74">
        <v>0.9</v>
      </c>
      <c r="O63" s="72">
        <v>0.956653992395437</v>
      </c>
      <c r="P63" s="72">
        <v>0.989184692179701</v>
      </c>
      <c r="Q63" s="72">
        <v>0.985369649805448</v>
      </c>
      <c r="R63" s="72">
        <v>0.981297052766618</v>
      </c>
      <c r="S63" s="74">
        <v>0.9</v>
      </c>
      <c r="T63" s="72">
        <v>0.804562737642586</v>
      </c>
      <c r="U63" s="72">
        <v>0.866222961730449</v>
      </c>
      <c r="V63" s="72">
        <v>0.877976653696498</v>
      </c>
      <c r="W63" s="72">
        <v>0.841683265251004</v>
      </c>
      <c r="X63" s="74">
        <v>0.92</v>
      </c>
      <c r="Y63" s="74">
        <v>0.907023545985108</v>
      </c>
      <c r="Z63" s="74">
        <v>0.924039320822163</v>
      </c>
      <c r="AA63" s="74">
        <v>0.942096261910579</v>
      </c>
      <c r="AB63" s="74">
        <v>0.927294134962102</v>
      </c>
      <c r="AC63" s="74">
        <v>0.92</v>
      </c>
      <c r="AD63" s="72">
        <v>0.988877654196158</v>
      </c>
      <c r="AE63" s="72">
        <v>0.990062111801242</v>
      </c>
      <c r="AF63" s="72">
        <v>0.988962472406181</v>
      </c>
      <c r="AG63" s="72">
        <v>0.983670244287878</v>
      </c>
      <c r="AH63" s="74">
        <v>0.92</v>
      </c>
      <c r="AI63" s="72">
        <v>0.930019054217911</v>
      </c>
      <c r="AJ63" s="72">
        <v>0.948813268515871</v>
      </c>
      <c r="AK63" s="72">
        <v>0.963966533561514</v>
      </c>
      <c r="AL63" s="72">
        <v>0.952758031134707</v>
      </c>
      <c r="AM63" s="71">
        <v>0.99</v>
      </c>
      <c r="AN63" s="76">
        <v>1</v>
      </c>
      <c r="AO63" s="76">
        <v>1</v>
      </c>
      <c r="AP63" s="76">
        <v>1</v>
      </c>
      <c r="AQ63" s="76">
        <v>1</v>
      </c>
      <c r="AR63" s="78">
        <v>0.0872182100128262</v>
      </c>
      <c r="AS63" s="80">
        <v>0.0655737704918033</v>
      </c>
      <c r="AT63" s="80">
        <v>0.06</v>
      </c>
      <c r="AU63" s="80">
        <v>0.0416666666666667</v>
      </c>
      <c r="AV63" s="80">
        <v>0.0669371196754564</v>
      </c>
      <c r="AW63" s="36"/>
      <c r="AX63" s="34"/>
    </row>
    <row r="64" ht="14.5" spans="1:50">
      <c r="A64" s="32"/>
      <c r="B64" s="36"/>
      <c r="C64" s="68" t="s">
        <v>61</v>
      </c>
      <c r="D64" s="69" t="s">
        <v>29</v>
      </c>
      <c r="E64" s="81" t="s">
        <v>117</v>
      </c>
      <c r="F64" s="81" t="s">
        <v>117</v>
      </c>
      <c r="G64" s="81" t="s">
        <v>117</v>
      </c>
      <c r="H64" s="81" t="s">
        <v>117</v>
      </c>
      <c r="I64" s="71">
        <v>0.9</v>
      </c>
      <c r="J64" s="72">
        <v>0.933333333333333</v>
      </c>
      <c r="K64" s="72">
        <v>0.971698113207547</v>
      </c>
      <c r="L64" s="73">
        <v>0.933884297520661</v>
      </c>
      <c r="M64" s="72">
        <v>0.925595238095238</v>
      </c>
      <c r="N64" s="74">
        <v>0.9</v>
      </c>
      <c r="O64" s="72">
        <v>0.9597471413963</v>
      </c>
      <c r="P64" s="72">
        <v>0.91259591989519</v>
      </c>
      <c r="Q64" s="72">
        <v>0.985566247224278</v>
      </c>
      <c r="R64" s="72">
        <v>0.953449379629912</v>
      </c>
      <c r="S64" s="74">
        <v>0.9</v>
      </c>
      <c r="T64" s="72">
        <v>0.716091847169285</v>
      </c>
      <c r="U64" s="72">
        <v>0.773629047351675</v>
      </c>
      <c r="V64" s="72">
        <v>0.841876387860844</v>
      </c>
      <c r="W64" s="72">
        <v>0.759381763863061</v>
      </c>
      <c r="X64" s="74">
        <v>0.92</v>
      </c>
      <c r="Y64" s="74">
        <v>0.914060411654638</v>
      </c>
      <c r="Z64" s="74">
        <v>0.924872792577073</v>
      </c>
      <c r="AA64" s="74">
        <v>0.95965598123534</v>
      </c>
      <c r="AB64" s="74">
        <v>0.939774972647256</v>
      </c>
      <c r="AC64" s="74">
        <v>0.92</v>
      </c>
      <c r="AD64" s="72">
        <v>0.995865679188602</v>
      </c>
      <c r="AE64" s="72">
        <v>0.975912707825674</v>
      </c>
      <c r="AF64" s="72">
        <v>0.982670859443929</v>
      </c>
      <c r="AG64" s="72">
        <v>0.979143689264697</v>
      </c>
      <c r="AH64" s="74">
        <v>0.92</v>
      </c>
      <c r="AI64" s="72">
        <v>0.930595910311935</v>
      </c>
      <c r="AJ64" s="72">
        <v>0.94606573418523</v>
      </c>
      <c r="AK64" s="72">
        <v>0.973323259328141</v>
      </c>
      <c r="AL64" s="72">
        <v>0.958670750114299</v>
      </c>
      <c r="AM64" s="71">
        <v>0.99</v>
      </c>
      <c r="AN64" s="76">
        <v>1</v>
      </c>
      <c r="AO64" s="76">
        <v>1</v>
      </c>
      <c r="AP64" s="76">
        <v>1</v>
      </c>
      <c r="AQ64" s="76">
        <v>1</v>
      </c>
      <c r="AR64" s="78">
        <v>0.0872182100128262</v>
      </c>
      <c r="AS64" s="80">
        <v>0.0606060606060606</v>
      </c>
      <c r="AT64" s="80">
        <v>0.0394736842105263</v>
      </c>
      <c r="AU64" s="80">
        <v>0.0338983050847458</v>
      </c>
      <c r="AV64" s="80">
        <v>0.0468986384266263</v>
      </c>
      <c r="AW64" s="36"/>
      <c r="AX64" s="34"/>
    </row>
    <row r="65" ht="14.5" spans="1:50">
      <c r="A65" s="32"/>
      <c r="B65" s="36"/>
      <c r="C65" s="68" t="s">
        <v>61</v>
      </c>
      <c r="D65" s="69" t="s">
        <v>29</v>
      </c>
      <c r="E65" s="81" t="s">
        <v>118</v>
      </c>
      <c r="F65" s="81" t="s">
        <v>118</v>
      </c>
      <c r="G65" s="81" t="s">
        <v>118</v>
      </c>
      <c r="H65" s="81" t="s">
        <v>118</v>
      </c>
      <c r="I65" s="71">
        <v>0.9</v>
      </c>
      <c r="J65" s="72">
        <v>0.833333333333333</v>
      </c>
      <c r="K65" s="72">
        <v>0.786666666666667</v>
      </c>
      <c r="L65" s="73">
        <v>0.909090909090909</v>
      </c>
      <c r="M65" s="72">
        <v>0.844062947067239</v>
      </c>
      <c r="N65" s="74">
        <v>0.9</v>
      </c>
      <c r="O65" s="72">
        <v>0.977575757575758</v>
      </c>
      <c r="P65" s="72">
        <v>0.984848484848485</v>
      </c>
      <c r="Q65" s="72">
        <v>0.985489928303175</v>
      </c>
      <c r="R65" s="72">
        <v>0.987735904064061</v>
      </c>
      <c r="S65" s="74">
        <v>0.9</v>
      </c>
      <c r="T65" s="72">
        <v>0.433535353535354</v>
      </c>
      <c r="U65" s="72">
        <v>0.59982174688057</v>
      </c>
      <c r="V65" s="72">
        <v>0.729941959713213</v>
      </c>
      <c r="W65" s="72">
        <v>0.635711647975744</v>
      </c>
      <c r="X65" s="74">
        <v>0.92</v>
      </c>
      <c r="Y65" s="74">
        <v>0.669274228596263</v>
      </c>
      <c r="Z65" s="74">
        <v>0.852225672877847</v>
      </c>
      <c r="AA65" s="74">
        <v>0.907418056354227</v>
      </c>
      <c r="AB65" s="74">
        <v>0.848810612991766</v>
      </c>
      <c r="AC65" s="74">
        <v>0.92</v>
      </c>
      <c r="AD65" s="72">
        <v>0.886444007858546</v>
      </c>
      <c r="AE65" s="72">
        <v>0.774364406779661</v>
      </c>
      <c r="AF65" s="72">
        <v>0.866992243608159</v>
      </c>
      <c r="AG65" s="72">
        <v>0.858784464425624</v>
      </c>
      <c r="AH65" s="74">
        <v>0.92</v>
      </c>
      <c r="AI65" s="72">
        <v>0.703129906835549</v>
      </c>
      <c r="AJ65" s="72">
        <v>0.881148406164239</v>
      </c>
      <c r="AK65" s="72">
        <v>0.934568430070679</v>
      </c>
      <c r="AL65" s="72">
        <v>0.884270078904135</v>
      </c>
      <c r="AM65" s="71">
        <v>0.99</v>
      </c>
      <c r="AN65" s="76">
        <v>1</v>
      </c>
      <c r="AO65" s="76">
        <v>1</v>
      </c>
      <c r="AP65" s="76">
        <v>1</v>
      </c>
      <c r="AQ65" s="76">
        <v>1</v>
      </c>
      <c r="AR65" s="78">
        <v>0.0872182100128262</v>
      </c>
      <c r="AS65" s="80">
        <v>0.0555555555555556</v>
      </c>
      <c r="AT65" s="80">
        <v>0.075</v>
      </c>
      <c r="AU65" s="80">
        <v>0.125</v>
      </c>
      <c r="AV65" s="80">
        <v>0.0503978779840849</v>
      </c>
      <c r="AW65" s="36"/>
      <c r="AX65" s="34"/>
    </row>
    <row r="66" ht="14.5" spans="1:50">
      <c r="A66" s="32"/>
      <c r="B66" s="36"/>
      <c r="C66" s="68" t="s">
        <v>61</v>
      </c>
      <c r="D66" s="69" t="s">
        <v>29</v>
      </c>
      <c r="E66" s="81" t="s">
        <v>119</v>
      </c>
      <c r="F66" s="81" t="s">
        <v>119</v>
      </c>
      <c r="G66" s="81" t="s">
        <v>119</v>
      </c>
      <c r="H66" s="81" t="s">
        <v>119</v>
      </c>
      <c r="I66" s="71">
        <v>0.9</v>
      </c>
      <c r="J66" s="72">
        <v>0.86</v>
      </c>
      <c r="K66" s="72">
        <v>0.981481481481482</v>
      </c>
      <c r="L66" s="73">
        <v>1</v>
      </c>
      <c r="M66" s="72">
        <v>0.952182952182952</v>
      </c>
      <c r="N66" s="74">
        <v>0.9</v>
      </c>
      <c r="O66" s="72">
        <v>0.953774792066539</v>
      </c>
      <c r="P66" s="72">
        <v>0.960219981668194</v>
      </c>
      <c r="Q66" s="72">
        <v>0.980814057737135</v>
      </c>
      <c r="R66" s="72">
        <v>0.965657249196413</v>
      </c>
      <c r="S66" s="74">
        <v>0.9</v>
      </c>
      <c r="T66" s="72">
        <v>0.75767754318618</v>
      </c>
      <c r="U66" s="72">
        <v>0.85352887259395</v>
      </c>
      <c r="V66" s="72">
        <v>0.893670432131971</v>
      </c>
      <c r="W66" s="72">
        <v>0.811537810861106</v>
      </c>
      <c r="X66" s="74">
        <v>0.92</v>
      </c>
      <c r="Y66" s="74">
        <v>0.828493647912886</v>
      </c>
      <c r="Z66" s="74">
        <v>0.957466918714556</v>
      </c>
      <c r="AA66" s="74">
        <v>0.977927810958193</v>
      </c>
      <c r="AB66" s="74">
        <v>0.945784067281135</v>
      </c>
      <c r="AC66" s="74">
        <v>0.92</v>
      </c>
      <c r="AD66" s="72">
        <v>0.998604953371044</v>
      </c>
      <c r="AE66" s="72">
        <v>0.927432786105163</v>
      </c>
      <c r="AF66" s="72">
        <v>0.996669702094445</v>
      </c>
      <c r="AG66" s="72">
        <v>0.987562091107342</v>
      </c>
      <c r="AH66" s="74">
        <v>0.92</v>
      </c>
      <c r="AI66" s="72">
        <v>0.871239808827664</v>
      </c>
      <c r="AJ66" s="72">
        <v>0.954603358425014</v>
      </c>
      <c r="AK66" s="72">
        <v>0.980290346508424</v>
      </c>
      <c r="AL66" s="72">
        <v>0.957381576483805</v>
      </c>
      <c r="AM66" s="71">
        <v>0.99</v>
      </c>
      <c r="AN66" s="76">
        <v>1</v>
      </c>
      <c r="AO66" s="76">
        <v>1</v>
      </c>
      <c r="AP66" s="76">
        <v>1</v>
      </c>
      <c r="AQ66" s="76">
        <v>1</v>
      </c>
      <c r="AR66" s="78">
        <v>0.0872182100128262</v>
      </c>
      <c r="AS66" s="80">
        <v>0.107142857142857</v>
      </c>
      <c r="AT66" s="80">
        <v>0.0333333333333333</v>
      </c>
      <c r="AU66" s="80">
        <v>0.115384615384615</v>
      </c>
      <c r="AV66" s="80">
        <v>0.0575079872204473</v>
      </c>
      <c r="AW66" s="36"/>
      <c r="AX66" s="34"/>
    </row>
    <row r="67" ht="14.5" spans="1:50">
      <c r="A67" s="32"/>
      <c r="B67" s="36"/>
      <c r="C67" s="68" t="s">
        <v>61</v>
      </c>
      <c r="D67" s="69" t="s">
        <v>29</v>
      </c>
      <c r="E67" s="81" t="s">
        <v>120</v>
      </c>
      <c r="F67" s="81" t="s">
        <v>120</v>
      </c>
      <c r="G67" s="81" t="s">
        <v>120</v>
      </c>
      <c r="H67" s="81" t="s">
        <v>120</v>
      </c>
      <c r="I67" s="71">
        <v>0.9</v>
      </c>
      <c r="J67" s="72">
        <v>0</v>
      </c>
      <c r="K67" s="72">
        <v>0</v>
      </c>
      <c r="L67" s="73">
        <v>0</v>
      </c>
      <c r="M67" s="72">
        <v>0</v>
      </c>
      <c r="N67" s="74">
        <v>0.9</v>
      </c>
      <c r="O67" s="72">
        <v>0.908653846153846</v>
      </c>
      <c r="P67" s="72">
        <v>0.95852534562212</v>
      </c>
      <c r="Q67" s="72">
        <v>0.980716253443526</v>
      </c>
      <c r="R67" s="72">
        <v>0.955928348023884</v>
      </c>
      <c r="S67" s="74">
        <v>0.9</v>
      </c>
      <c r="T67" s="72">
        <v>0.980769230769231</v>
      </c>
      <c r="U67" s="72">
        <v>0.974654377880184</v>
      </c>
      <c r="V67" s="72">
        <v>0.986225895316804</v>
      </c>
      <c r="W67" s="72">
        <v>0.982087005970998</v>
      </c>
      <c r="X67" s="74">
        <v>0.92</v>
      </c>
      <c r="Y67" s="74">
        <v>1</v>
      </c>
      <c r="Z67" s="74">
        <v>0.992753623188406</v>
      </c>
      <c r="AA67" s="74">
        <v>0.988888888888889</v>
      </c>
      <c r="AB67" s="74">
        <v>0.987039563437926</v>
      </c>
      <c r="AC67" s="74">
        <v>0.92</v>
      </c>
      <c r="AD67" s="72">
        <v>0</v>
      </c>
      <c r="AE67" s="72">
        <v>0</v>
      </c>
      <c r="AF67" s="72">
        <v>0</v>
      </c>
      <c r="AG67" s="72">
        <v>0.833333333333333</v>
      </c>
      <c r="AH67" s="74">
        <v>0.92</v>
      </c>
      <c r="AI67" s="72">
        <v>1</v>
      </c>
      <c r="AJ67" s="72">
        <v>0.993006993006993</v>
      </c>
      <c r="AK67" s="72">
        <v>0.988970588235294</v>
      </c>
      <c r="AL67" s="72">
        <v>0.987782896054476</v>
      </c>
      <c r="AM67" s="71">
        <v>0.99</v>
      </c>
      <c r="AN67" s="76">
        <v>0</v>
      </c>
      <c r="AO67" s="76">
        <v>0</v>
      </c>
      <c r="AP67" s="76">
        <v>0</v>
      </c>
      <c r="AQ67" s="76">
        <v>1</v>
      </c>
      <c r="AR67" s="78">
        <v>0.0872182100128262</v>
      </c>
      <c r="AS67" s="80">
        <v>0</v>
      </c>
      <c r="AT67" s="80">
        <v>0</v>
      </c>
      <c r="AU67" s="80">
        <v>0</v>
      </c>
      <c r="AV67" s="80">
        <v>3</v>
      </c>
      <c r="AW67" s="36"/>
      <c r="AX67" s="34"/>
    </row>
    <row r="68" ht="14.5" spans="1:50">
      <c r="A68" s="32"/>
      <c r="B68" s="36"/>
      <c r="C68" s="68" t="s">
        <v>61</v>
      </c>
      <c r="D68" s="69" t="s">
        <v>29</v>
      </c>
      <c r="E68" s="81" t="s">
        <v>121</v>
      </c>
      <c r="F68" s="81" t="s">
        <v>121</v>
      </c>
      <c r="G68" s="81" t="s">
        <v>121</v>
      </c>
      <c r="H68" s="81" t="s">
        <v>121</v>
      </c>
      <c r="I68" s="71">
        <v>0.9</v>
      </c>
      <c r="J68" s="72">
        <v>0.922077922077922</v>
      </c>
      <c r="K68" s="72">
        <v>0.931034482758621</v>
      </c>
      <c r="L68" s="73">
        <v>0.956043956043956</v>
      </c>
      <c r="M68" s="72">
        <v>0.932467532467532</v>
      </c>
      <c r="N68" s="74">
        <v>0.9</v>
      </c>
      <c r="O68" s="72">
        <v>0.975929978118162</v>
      </c>
      <c r="P68" s="72">
        <v>0.895994378074491</v>
      </c>
      <c r="Q68" s="72">
        <v>0.911760761700416</v>
      </c>
      <c r="R68" s="72">
        <v>0.957884530897302</v>
      </c>
      <c r="S68" s="74">
        <v>0.9</v>
      </c>
      <c r="T68" s="72">
        <v>0.64945295404814</v>
      </c>
      <c r="U68" s="72">
        <v>0.719747013352073</v>
      </c>
      <c r="V68" s="72">
        <v>0.784363685128068</v>
      </c>
      <c r="W68" s="72">
        <v>0.721825811631747</v>
      </c>
      <c r="X68" s="74">
        <v>0.92</v>
      </c>
      <c r="Y68" s="74">
        <v>0.854037815868528</v>
      </c>
      <c r="Z68" s="74">
        <v>0.878742192547922</v>
      </c>
      <c r="AA68" s="74">
        <v>0.908105667193497</v>
      </c>
      <c r="AB68" s="74">
        <v>0.898851264070862</v>
      </c>
      <c r="AC68" s="74">
        <v>0.92</v>
      </c>
      <c r="AD68" s="72">
        <v>0.990839694656489</v>
      </c>
      <c r="AE68" s="72">
        <v>0.989946051986268</v>
      </c>
      <c r="AF68" s="72">
        <v>0.899453773012341</v>
      </c>
      <c r="AG68" s="72">
        <v>0.974133092559604</v>
      </c>
      <c r="AH68" s="74">
        <v>0.92</v>
      </c>
      <c r="AI68" s="72">
        <v>0.870006391818472</v>
      </c>
      <c r="AJ68" s="72">
        <v>0.906794795475806</v>
      </c>
      <c r="AK68" s="72">
        <v>0.931881254730468</v>
      </c>
      <c r="AL68" s="72">
        <v>0.920130190714769</v>
      </c>
      <c r="AM68" s="71">
        <v>0.99</v>
      </c>
      <c r="AN68" s="76">
        <v>1</v>
      </c>
      <c r="AO68" s="76">
        <v>1</v>
      </c>
      <c r="AP68" s="76">
        <v>1</v>
      </c>
      <c r="AQ68" s="76">
        <v>1</v>
      </c>
      <c r="AR68" s="78">
        <v>0.0872182100128262</v>
      </c>
      <c r="AS68" s="80">
        <v>0.0795454545454545</v>
      </c>
      <c r="AT68" s="80">
        <v>0.0666666666666667</v>
      </c>
      <c r="AU68" s="80">
        <v>0.0882352941176471</v>
      </c>
      <c r="AV68" s="80">
        <v>0.0512091038406828</v>
      </c>
      <c r="AW68" s="36"/>
      <c r="AX68" s="34"/>
    </row>
    <row r="69" ht="14.5" spans="1:50">
      <c r="A69" s="32"/>
      <c r="B69" s="36"/>
      <c r="C69" s="68" t="s">
        <v>61</v>
      </c>
      <c r="D69" s="69" t="s">
        <v>29</v>
      </c>
      <c r="E69" s="81" t="s">
        <v>122</v>
      </c>
      <c r="F69" s="81" t="s">
        <v>122</v>
      </c>
      <c r="G69" s="81" t="s">
        <v>122</v>
      </c>
      <c r="H69" s="81" t="s">
        <v>122</v>
      </c>
      <c r="I69" s="71">
        <v>0.9</v>
      </c>
      <c r="J69" s="72">
        <v>0.980769230769231</v>
      </c>
      <c r="K69" s="72">
        <v>0.974137931034483</v>
      </c>
      <c r="L69" s="73">
        <v>0.984251968503937</v>
      </c>
      <c r="M69" s="72">
        <v>0.979303857008467</v>
      </c>
      <c r="N69" s="74">
        <v>0.9</v>
      </c>
      <c r="O69" s="72">
        <v>0.961321287408244</v>
      </c>
      <c r="P69" s="72">
        <v>0.981252662974009</v>
      </c>
      <c r="Q69" s="72">
        <v>0.985382993675334</v>
      </c>
      <c r="R69" s="72">
        <v>0.96382098990636</v>
      </c>
      <c r="S69" s="74">
        <v>0.9</v>
      </c>
      <c r="T69" s="72">
        <v>0.706380575945793</v>
      </c>
      <c r="U69" s="72">
        <v>0.784121573640108</v>
      </c>
      <c r="V69" s="72">
        <v>0.844413211524947</v>
      </c>
      <c r="W69" s="72">
        <v>0.792001094491062</v>
      </c>
      <c r="X69" s="74">
        <v>0.92</v>
      </c>
      <c r="Y69" s="74">
        <v>0.827075868515345</v>
      </c>
      <c r="Z69" s="74">
        <v>0.886540828887977</v>
      </c>
      <c r="AA69" s="74">
        <v>0.945557491289199</v>
      </c>
      <c r="AB69" s="74">
        <v>0.906945729097206</v>
      </c>
      <c r="AC69" s="74">
        <v>0.92</v>
      </c>
      <c r="AD69" s="72">
        <v>0.990577889447236</v>
      </c>
      <c r="AE69" s="72">
        <v>0.989163154726069</v>
      </c>
      <c r="AF69" s="72">
        <v>0.986495176848875</v>
      </c>
      <c r="AG69" s="72">
        <v>0.987452769658516</v>
      </c>
      <c r="AH69" s="74">
        <v>0.92</v>
      </c>
      <c r="AI69" s="72">
        <v>0.856709123222749</v>
      </c>
      <c r="AJ69" s="72">
        <v>0.917757636790869</v>
      </c>
      <c r="AK69" s="72">
        <v>0.965496626526604</v>
      </c>
      <c r="AL69" s="72">
        <v>0.934211463788251</v>
      </c>
      <c r="AM69" s="71">
        <v>0.99</v>
      </c>
      <c r="AN69" s="76">
        <v>1</v>
      </c>
      <c r="AO69" s="76">
        <v>1</v>
      </c>
      <c r="AP69" s="76">
        <v>1</v>
      </c>
      <c r="AQ69" s="76">
        <v>1</v>
      </c>
      <c r="AR69" s="78">
        <v>0.0872182100128262</v>
      </c>
      <c r="AS69" s="80">
        <v>0.0333333333333333</v>
      </c>
      <c r="AT69" s="80">
        <v>0.0694444444444444</v>
      </c>
      <c r="AU69" s="80">
        <v>0.10958904109589</v>
      </c>
      <c r="AV69" s="80">
        <v>0.0559540889526542</v>
      </c>
      <c r="AW69" s="36"/>
      <c r="AX69" s="34"/>
    </row>
    <row r="70" ht="14.5" spans="1:50">
      <c r="A70" s="32"/>
      <c r="B70" s="36"/>
      <c r="C70" s="68" t="s">
        <v>61</v>
      </c>
      <c r="D70" s="69" t="s">
        <v>29</v>
      </c>
      <c r="E70" s="81" t="s">
        <v>123</v>
      </c>
      <c r="F70" s="81" t="s">
        <v>123</v>
      </c>
      <c r="G70" s="81" t="s">
        <v>123</v>
      </c>
      <c r="H70" s="81" t="s">
        <v>123</v>
      </c>
      <c r="I70" s="71">
        <v>0.9</v>
      </c>
      <c r="J70" s="72">
        <v>0.993827160493827</v>
      </c>
      <c r="K70" s="72">
        <v>0.963414634146341</v>
      </c>
      <c r="L70" s="73">
        <v>0.934210526315789</v>
      </c>
      <c r="M70" s="72">
        <v>0.942264988897113</v>
      </c>
      <c r="N70" s="74">
        <v>0.9</v>
      </c>
      <c r="O70" s="72">
        <v>0.957613814756672</v>
      </c>
      <c r="P70" s="72">
        <v>0.976850227990179</v>
      </c>
      <c r="Q70" s="72">
        <v>0.985751645775092</v>
      </c>
      <c r="R70" s="72">
        <v>0.962913514315384</v>
      </c>
      <c r="S70" s="74">
        <v>0.9</v>
      </c>
      <c r="T70" s="72">
        <v>0.827664399092971</v>
      </c>
      <c r="U70" s="72">
        <v>0.856892318484742</v>
      </c>
      <c r="V70" s="72">
        <v>0.832536748128776</v>
      </c>
      <c r="W70" s="72">
        <v>0.818414676358602</v>
      </c>
      <c r="X70" s="74">
        <v>0.92</v>
      </c>
      <c r="Y70" s="74">
        <v>0.934950005746466</v>
      </c>
      <c r="Z70" s="74">
        <v>0.940047294477674</v>
      </c>
      <c r="AA70" s="74">
        <v>0.953546519278852</v>
      </c>
      <c r="AB70" s="74">
        <v>0.945004785393507</v>
      </c>
      <c r="AC70" s="74">
        <v>0.92</v>
      </c>
      <c r="AD70" s="72">
        <v>0.968798621915981</v>
      </c>
      <c r="AE70" s="72">
        <v>0.993499360275017</v>
      </c>
      <c r="AF70" s="72">
        <v>0.983673851628713</v>
      </c>
      <c r="AG70" s="72">
        <v>0.98809559351543</v>
      </c>
      <c r="AH70" s="74">
        <v>0.92</v>
      </c>
      <c r="AI70" s="72">
        <v>0.946594005449591</v>
      </c>
      <c r="AJ70" s="72">
        <v>0.958754570875457</v>
      </c>
      <c r="AK70" s="72">
        <v>0.965755257103109</v>
      </c>
      <c r="AL70" s="72">
        <v>0.960943553586533</v>
      </c>
      <c r="AM70" s="71">
        <v>0.99</v>
      </c>
      <c r="AN70" s="76">
        <v>1</v>
      </c>
      <c r="AO70" s="76">
        <v>1</v>
      </c>
      <c r="AP70" s="76">
        <v>1</v>
      </c>
      <c r="AQ70" s="76">
        <v>1</v>
      </c>
      <c r="AR70" s="78">
        <v>0.0872182100128262</v>
      </c>
      <c r="AS70" s="80">
        <v>0.148148148148148</v>
      </c>
      <c r="AT70" s="80">
        <v>0.0560747663551402</v>
      </c>
      <c r="AU70" s="80">
        <v>0.0833333333333333</v>
      </c>
      <c r="AV70" s="80">
        <v>0.0622950819672131</v>
      </c>
      <c r="AW70" s="36"/>
      <c r="AX70" s="34"/>
    </row>
    <row r="71" ht="14.5" spans="1:50">
      <c r="A71" s="32"/>
      <c r="B71" s="36"/>
      <c r="C71" s="68" t="s">
        <v>61</v>
      </c>
      <c r="D71" s="69" t="s">
        <v>29</v>
      </c>
      <c r="E71" s="81" t="s">
        <v>124</v>
      </c>
      <c r="F71" s="81" t="s">
        <v>124</v>
      </c>
      <c r="G71" s="81" t="s">
        <v>124</v>
      </c>
      <c r="H71" s="81" t="s">
        <v>124</v>
      </c>
      <c r="I71" s="71">
        <v>0.9</v>
      </c>
      <c r="J71" s="72">
        <v>0.916666666666667</v>
      </c>
      <c r="K71" s="72">
        <v>0.9</v>
      </c>
      <c r="L71" s="73">
        <v>0.984615384615385</v>
      </c>
      <c r="M71" s="72">
        <v>0.932960893854749</v>
      </c>
      <c r="N71" s="74">
        <v>0.9</v>
      </c>
      <c r="O71" s="72">
        <v>0.936104958255239</v>
      </c>
      <c r="P71" s="72">
        <v>0.971433458775231</v>
      </c>
      <c r="Q71" s="72">
        <v>0.975822699798523</v>
      </c>
      <c r="R71" s="72">
        <v>0.955097304052848</v>
      </c>
      <c r="S71" s="74">
        <v>0.9</v>
      </c>
      <c r="T71" s="72">
        <v>0.753109558698245</v>
      </c>
      <c r="U71" s="72">
        <v>0.869654464591173</v>
      </c>
      <c r="V71" s="72">
        <v>0.89086635325722</v>
      </c>
      <c r="W71" s="72">
        <v>0.819871451526513</v>
      </c>
      <c r="X71" s="74">
        <v>0.92</v>
      </c>
      <c r="Y71" s="74">
        <v>0.919011499877661</v>
      </c>
      <c r="Z71" s="74">
        <v>0.938010707241477</v>
      </c>
      <c r="AA71" s="74">
        <v>0.966532797858099</v>
      </c>
      <c r="AB71" s="74">
        <v>0.936584924986443</v>
      </c>
      <c r="AC71" s="74">
        <v>0.92</v>
      </c>
      <c r="AD71" s="72">
        <v>0.967612933778842</v>
      </c>
      <c r="AE71" s="72">
        <v>0.84816241160652</v>
      </c>
      <c r="AF71" s="72">
        <v>0.960857664233577</v>
      </c>
      <c r="AG71" s="72">
        <v>0.925785518775565</v>
      </c>
      <c r="AH71" s="74">
        <v>0.92</v>
      </c>
      <c r="AI71" s="72">
        <v>0.933420365535248</v>
      </c>
      <c r="AJ71" s="72">
        <v>0.96360153256705</v>
      </c>
      <c r="AK71" s="72">
        <v>0.976384448798598</v>
      </c>
      <c r="AL71" s="72">
        <v>0.960402142969223</v>
      </c>
      <c r="AM71" s="71">
        <v>0.99</v>
      </c>
      <c r="AN71" s="76">
        <v>1</v>
      </c>
      <c r="AO71" s="76">
        <v>1</v>
      </c>
      <c r="AP71" s="76">
        <v>1</v>
      </c>
      <c r="AQ71" s="76">
        <v>1</v>
      </c>
      <c r="AR71" s="78">
        <v>0.0872182100128262</v>
      </c>
      <c r="AS71" s="80">
        <v>0.0697674418604651</v>
      </c>
      <c r="AT71" s="80">
        <v>0.128205128205128</v>
      </c>
      <c r="AU71" s="80">
        <v>0</v>
      </c>
      <c r="AV71" s="80">
        <v>0.0646766169154229</v>
      </c>
      <c r="AW71" s="36"/>
      <c r="AX71" s="34"/>
    </row>
    <row r="72" ht="14.5" spans="1:50">
      <c r="A72" s="32"/>
      <c r="B72" s="36"/>
      <c r="C72" s="68" t="s">
        <v>61</v>
      </c>
      <c r="D72" s="69" t="s">
        <v>29</v>
      </c>
      <c r="E72" s="81" t="s">
        <v>125</v>
      </c>
      <c r="F72" s="81" t="s">
        <v>125</v>
      </c>
      <c r="G72" s="81" t="s">
        <v>125</v>
      </c>
      <c r="H72" s="81" t="s">
        <v>125</v>
      </c>
      <c r="I72" s="71">
        <v>0.9</v>
      </c>
      <c r="J72" s="72">
        <v>0.804878048780488</v>
      </c>
      <c r="K72" s="72">
        <v>0.844444444444444</v>
      </c>
      <c r="L72" s="73">
        <v>0.785714285714286</v>
      </c>
      <c r="M72" s="72">
        <v>0.839243498817967</v>
      </c>
      <c r="N72" s="74">
        <v>0.9</v>
      </c>
      <c r="O72" s="72">
        <v>0.895494534790722</v>
      </c>
      <c r="P72" s="72">
        <v>0.747928331466965</v>
      </c>
      <c r="Q72" s="72">
        <v>0.843503937007874</v>
      </c>
      <c r="R72" s="72">
        <v>0.849034175334324</v>
      </c>
      <c r="S72" s="74">
        <v>0.9</v>
      </c>
      <c r="T72" s="72">
        <v>0.576779525459877</v>
      </c>
      <c r="U72" s="72">
        <v>0.69484882418813</v>
      </c>
      <c r="V72" s="72">
        <v>0.677868391451069</v>
      </c>
      <c r="W72" s="72">
        <v>0.621976225854383</v>
      </c>
      <c r="X72" s="74">
        <v>0.92</v>
      </c>
      <c r="Y72" s="74">
        <v>0.776713459950454</v>
      </c>
      <c r="Z72" s="74">
        <v>0.861652542372881</v>
      </c>
      <c r="AA72" s="74">
        <v>0.864352640545145</v>
      </c>
      <c r="AB72" s="74">
        <v>0.846217712177122</v>
      </c>
      <c r="AC72" s="74">
        <v>0.92</v>
      </c>
      <c r="AD72" s="72">
        <v>0.988884919217181</v>
      </c>
      <c r="AE72" s="72">
        <v>0.774034263691928</v>
      </c>
      <c r="AF72" s="72">
        <v>0.777441223135728</v>
      </c>
      <c r="AG72" s="72">
        <v>0.870613468296616</v>
      </c>
      <c r="AH72" s="74">
        <v>0.92</v>
      </c>
      <c r="AI72" s="72">
        <v>0.823316864538013</v>
      </c>
      <c r="AJ72" s="72">
        <v>0.908644688644689</v>
      </c>
      <c r="AK72" s="72">
        <v>0.900923024811584</v>
      </c>
      <c r="AL72" s="72">
        <v>0.882953539223304</v>
      </c>
      <c r="AM72" s="71">
        <v>0.99</v>
      </c>
      <c r="AN72" s="76">
        <v>1</v>
      </c>
      <c r="AO72" s="76">
        <v>1</v>
      </c>
      <c r="AP72" s="76">
        <v>1</v>
      </c>
      <c r="AQ72" s="76">
        <v>1</v>
      </c>
      <c r="AR72" s="78">
        <v>0.0872182100128262</v>
      </c>
      <c r="AS72" s="80">
        <v>0.0526315789473684</v>
      </c>
      <c r="AT72" s="80">
        <v>0.0882352941176471</v>
      </c>
      <c r="AU72" s="80">
        <v>0.0571428571428571</v>
      </c>
      <c r="AV72" s="80">
        <v>0.062992125984252</v>
      </c>
      <c r="AW72" s="36"/>
      <c r="AX72" s="34"/>
    </row>
    <row r="73" ht="14.5" spans="1:50">
      <c r="A73" s="32"/>
      <c r="B73" s="36"/>
      <c r="C73" s="68" t="s">
        <v>61</v>
      </c>
      <c r="D73" s="69" t="s">
        <v>29</v>
      </c>
      <c r="E73" s="81" t="s">
        <v>126</v>
      </c>
      <c r="F73" s="81" t="s">
        <v>126</v>
      </c>
      <c r="G73" s="81" t="s">
        <v>126</v>
      </c>
      <c r="H73" s="81" t="s">
        <v>126</v>
      </c>
      <c r="I73" s="71">
        <v>0.9</v>
      </c>
      <c r="J73" s="72">
        <v>0.903225806451613</v>
      </c>
      <c r="K73" s="72">
        <v>0.924137931034483</v>
      </c>
      <c r="L73" s="73">
        <v>0.906040268456376</v>
      </c>
      <c r="M73" s="72">
        <v>0.899027673896784</v>
      </c>
      <c r="N73" s="74">
        <v>0.9</v>
      </c>
      <c r="O73" s="72">
        <v>0.82894385026738</v>
      </c>
      <c r="P73" s="72">
        <v>0.943357581750124</v>
      </c>
      <c r="Q73" s="72">
        <v>0.922320697102852</v>
      </c>
      <c r="R73" s="72">
        <v>0.906222416603714</v>
      </c>
      <c r="S73" s="74">
        <v>0.9</v>
      </c>
      <c r="T73" s="72">
        <v>0.692647058823529</v>
      </c>
      <c r="U73" s="72">
        <v>0.795536407938414</v>
      </c>
      <c r="V73" s="72">
        <v>0.816340210024577</v>
      </c>
      <c r="W73" s="72">
        <v>0.762697308258121</v>
      </c>
      <c r="X73" s="74">
        <v>0.92</v>
      </c>
      <c r="Y73" s="74">
        <v>0.854705661792276</v>
      </c>
      <c r="Z73" s="74">
        <v>0.927013135351228</v>
      </c>
      <c r="AA73" s="74">
        <v>0.958614584486002</v>
      </c>
      <c r="AB73" s="74">
        <v>0.929217748459767</v>
      </c>
      <c r="AC73" s="74">
        <v>0.92</v>
      </c>
      <c r="AD73" s="72">
        <v>0.994629876225196</v>
      </c>
      <c r="AE73" s="72">
        <v>0.97168627994781</v>
      </c>
      <c r="AF73" s="72">
        <v>0.951889701713385</v>
      </c>
      <c r="AG73" s="72">
        <v>0.947090362485381</v>
      </c>
      <c r="AH73" s="74">
        <v>0.92</v>
      </c>
      <c r="AI73" s="72">
        <v>0.894874395381495</v>
      </c>
      <c r="AJ73" s="72">
        <v>0.95206106870229</v>
      </c>
      <c r="AK73" s="72">
        <v>0.968090787716956</v>
      </c>
      <c r="AL73" s="72">
        <v>0.950708426909066</v>
      </c>
      <c r="AM73" s="71">
        <v>0.99</v>
      </c>
      <c r="AN73" s="76">
        <v>1</v>
      </c>
      <c r="AO73" s="76">
        <v>1</v>
      </c>
      <c r="AP73" s="76">
        <v>1</v>
      </c>
      <c r="AQ73" s="76">
        <v>0.999679487179487</v>
      </c>
      <c r="AR73" s="78">
        <v>0.0872182100128262</v>
      </c>
      <c r="AS73" s="80">
        <v>0.0746268656716418</v>
      </c>
      <c r="AT73" s="80">
        <v>0.0547945205479452</v>
      </c>
      <c r="AU73" s="80">
        <v>0.0666666666666667</v>
      </c>
      <c r="AV73" s="80">
        <v>0.0570652173913043</v>
      </c>
      <c r="AW73" s="36"/>
      <c r="AX73" s="34"/>
    </row>
    <row r="74" ht="14.5" spans="1:50">
      <c r="A74" s="32"/>
      <c r="B74" s="36"/>
      <c r="C74" s="68" t="s">
        <v>61</v>
      </c>
      <c r="D74" s="69" t="s">
        <v>29</v>
      </c>
      <c r="E74" s="81" t="s">
        <v>127</v>
      </c>
      <c r="F74" s="81" t="s">
        <v>127</v>
      </c>
      <c r="G74" s="81" t="s">
        <v>127</v>
      </c>
      <c r="H74" s="81" t="s">
        <v>127</v>
      </c>
      <c r="I74" s="71">
        <v>0.9</v>
      </c>
      <c r="J74" s="72">
        <v>0.835164835164835</v>
      </c>
      <c r="K74" s="72">
        <v>0.848484848484849</v>
      </c>
      <c r="L74" s="73">
        <v>0.893203883495146</v>
      </c>
      <c r="M74" s="72">
        <v>0.846938775510204</v>
      </c>
      <c r="N74" s="74">
        <v>0.9</v>
      </c>
      <c r="O74" s="72">
        <v>0.923935189676919</v>
      </c>
      <c r="P74" s="72">
        <v>0.960769304372787</v>
      </c>
      <c r="Q74" s="72">
        <v>0.943511297740452</v>
      </c>
      <c r="R74" s="72">
        <v>0.942415056483622</v>
      </c>
      <c r="S74" s="74">
        <v>0.9</v>
      </c>
      <c r="T74" s="72">
        <v>0.751140001940429</v>
      </c>
      <c r="U74" s="72">
        <v>0.77475839632571</v>
      </c>
      <c r="V74" s="72">
        <v>0.795540891821636</v>
      </c>
      <c r="W74" s="72">
        <v>0.764960526889693</v>
      </c>
      <c r="X74" s="74">
        <v>0.92</v>
      </c>
      <c r="Y74" s="74">
        <v>0.791013854719669</v>
      </c>
      <c r="Z74" s="74">
        <v>0.878878563553316</v>
      </c>
      <c r="AA74" s="74">
        <v>0.934804413239719</v>
      </c>
      <c r="AB74" s="74">
        <v>0.868299296669774</v>
      </c>
      <c r="AC74" s="74">
        <v>0.92</v>
      </c>
      <c r="AD74" s="72">
        <v>0.998282803671087</v>
      </c>
      <c r="AE74" s="72">
        <v>0.987627514764868</v>
      </c>
      <c r="AF74" s="72">
        <v>0.992132160101963</v>
      </c>
      <c r="AG74" s="72">
        <v>0.98977438712961</v>
      </c>
      <c r="AH74" s="74">
        <v>0.92</v>
      </c>
      <c r="AI74" s="72">
        <v>0.868410841971066</v>
      </c>
      <c r="AJ74" s="72">
        <v>0.930181385667559</v>
      </c>
      <c r="AK74" s="72">
        <v>0.955104442483083</v>
      </c>
      <c r="AL74" s="72">
        <v>0.92237600387291</v>
      </c>
      <c r="AM74" s="71">
        <v>0.99</v>
      </c>
      <c r="AN74" s="76">
        <v>1</v>
      </c>
      <c r="AO74" s="76">
        <v>1</v>
      </c>
      <c r="AP74" s="76">
        <v>1</v>
      </c>
      <c r="AQ74" s="76">
        <v>1</v>
      </c>
      <c r="AR74" s="78">
        <v>0.0872182100128262</v>
      </c>
      <c r="AS74" s="80">
        <v>0.0192307692307692</v>
      </c>
      <c r="AT74" s="80">
        <v>0.0571428571428571</v>
      </c>
      <c r="AU74" s="80">
        <v>0.0882352941176471</v>
      </c>
      <c r="AV74" s="80">
        <v>0.045045045045045</v>
      </c>
      <c r="AW74" s="36"/>
      <c r="AX74" s="34"/>
    </row>
    <row r="75" ht="14.5" spans="1:50">
      <c r="A75" s="32"/>
      <c r="B75" s="36"/>
      <c r="C75" s="68" t="s">
        <v>61</v>
      </c>
      <c r="D75" s="69" t="s">
        <v>29</v>
      </c>
      <c r="E75" s="81" t="s">
        <v>128</v>
      </c>
      <c r="F75" s="81" t="s">
        <v>128</v>
      </c>
      <c r="G75" s="81" t="s">
        <v>128</v>
      </c>
      <c r="H75" s="81" t="s">
        <v>128</v>
      </c>
      <c r="I75" s="71">
        <v>0.9</v>
      </c>
      <c r="J75" s="72">
        <v>0.964705882352941</v>
      </c>
      <c r="K75" s="72">
        <v>0.957446808510638</v>
      </c>
      <c r="L75" s="73">
        <v>0.978723404255319</v>
      </c>
      <c r="M75" s="72">
        <v>0.959409594095941</v>
      </c>
      <c r="N75" s="74">
        <v>0.9</v>
      </c>
      <c r="O75" s="72">
        <v>0.938933817461627</v>
      </c>
      <c r="P75" s="72">
        <v>0.981095802627363</v>
      </c>
      <c r="Q75" s="72">
        <v>0.980227882037534</v>
      </c>
      <c r="R75" s="72">
        <v>0.967990989518048</v>
      </c>
      <c r="S75" s="74">
        <v>0.9</v>
      </c>
      <c r="T75" s="72">
        <v>0.808054134345602</v>
      </c>
      <c r="U75" s="72">
        <v>0.859339955142583</v>
      </c>
      <c r="V75" s="72">
        <v>0.881869973190349</v>
      </c>
      <c r="W75" s="72">
        <v>0.851436045561066</v>
      </c>
      <c r="X75" s="74">
        <v>0.92</v>
      </c>
      <c r="Y75" s="74">
        <v>0.916766947452868</v>
      </c>
      <c r="Z75" s="74">
        <v>0.95290793501295</v>
      </c>
      <c r="AA75" s="74">
        <v>0.96008348552048</v>
      </c>
      <c r="AB75" s="74">
        <v>0.95043863136413</v>
      </c>
      <c r="AC75" s="74">
        <v>0.92</v>
      </c>
      <c r="AD75" s="72">
        <v>0.996357249723541</v>
      </c>
      <c r="AE75" s="72">
        <v>0.758698766230766</v>
      </c>
      <c r="AF75" s="72">
        <v>0.823886955166502</v>
      </c>
      <c r="AG75" s="72">
        <v>0.9374801250795</v>
      </c>
      <c r="AH75" s="74">
        <v>0.92</v>
      </c>
      <c r="AI75" s="72">
        <v>0.930762964974206</v>
      </c>
      <c r="AJ75" s="72">
        <v>0.96663807072729</v>
      </c>
      <c r="AK75" s="72">
        <v>0.967876810116255</v>
      </c>
      <c r="AL75" s="72">
        <v>0.964340366834063</v>
      </c>
      <c r="AM75" s="71">
        <v>0.99</v>
      </c>
      <c r="AN75" s="76">
        <v>1</v>
      </c>
      <c r="AO75" s="76">
        <v>1</v>
      </c>
      <c r="AP75" s="76">
        <v>1</v>
      </c>
      <c r="AQ75" s="76">
        <v>1</v>
      </c>
      <c r="AR75" s="78">
        <v>0.0872182100128262</v>
      </c>
      <c r="AS75" s="80">
        <v>0.0571428571428571</v>
      </c>
      <c r="AT75" s="80">
        <v>0.0512820512820513</v>
      </c>
      <c r="AU75" s="80">
        <v>0.0285714285714286</v>
      </c>
      <c r="AV75" s="80">
        <v>0.0479041916167665</v>
      </c>
      <c r="AW75" s="36"/>
      <c r="AX75" s="34"/>
    </row>
    <row r="76" ht="14.5" spans="1:50">
      <c r="A76" s="32"/>
      <c r="B76" s="36"/>
      <c r="C76" s="68" t="s">
        <v>61</v>
      </c>
      <c r="D76" s="69" t="s">
        <v>29</v>
      </c>
      <c r="E76" s="81" t="s">
        <v>129</v>
      </c>
      <c r="F76" s="81" t="s">
        <v>129</v>
      </c>
      <c r="G76" s="81" t="s">
        <v>129</v>
      </c>
      <c r="H76" s="81" t="s">
        <v>129</v>
      </c>
      <c r="I76" s="71">
        <v>0.9</v>
      </c>
      <c r="J76" s="72">
        <v>0.906976744186046</v>
      </c>
      <c r="K76" s="72">
        <v>0.920454545454545</v>
      </c>
      <c r="L76" s="73">
        <v>0.925531914893617</v>
      </c>
      <c r="M76" s="72">
        <v>0.913258983890954</v>
      </c>
      <c r="N76" s="74">
        <v>0.9</v>
      </c>
      <c r="O76" s="72">
        <v>0.917594936708861</v>
      </c>
      <c r="P76" s="72">
        <v>0.972068546754824</v>
      </c>
      <c r="Q76" s="72">
        <v>0.962372615625817</v>
      </c>
      <c r="R76" s="72">
        <v>0.940533348759183</v>
      </c>
      <c r="S76" s="74">
        <v>0.9</v>
      </c>
      <c r="T76" s="72">
        <v>0.721392405063291</v>
      </c>
      <c r="U76" s="72">
        <v>0.793280259074349</v>
      </c>
      <c r="V76" s="72">
        <v>0.73700026130128</v>
      </c>
      <c r="W76" s="72">
        <v>0.741742349742581</v>
      </c>
      <c r="X76" s="74">
        <v>0.92</v>
      </c>
      <c r="Y76" s="74">
        <v>0.847329446982827</v>
      </c>
      <c r="Z76" s="74">
        <v>0.934119782214156</v>
      </c>
      <c r="AA76" s="74">
        <v>0.936136453788179</v>
      </c>
      <c r="AB76" s="74">
        <v>0.923782150799312</v>
      </c>
      <c r="AC76" s="74">
        <v>0.92</v>
      </c>
      <c r="AD76" s="72">
        <v>0.999559228650138</v>
      </c>
      <c r="AE76" s="72">
        <v>0.986161071143085</v>
      </c>
      <c r="AF76" s="72">
        <v>0.99813553616283</v>
      </c>
      <c r="AG76" s="72">
        <v>0.993219614664652</v>
      </c>
      <c r="AH76" s="74">
        <v>0.92</v>
      </c>
      <c r="AI76" s="72">
        <v>0.876376903108118</v>
      </c>
      <c r="AJ76" s="72">
        <v>0.951047869460985</v>
      </c>
      <c r="AK76" s="72">
        <v>0.956069910250354</v>
      </c>
      <c r="AL76" s="72">
        <v>0.940677095813508</v>
      </c>
      <c r="AM76" s="71">
        <v>0.99</v>
      </c>
      <c r="AN76" s="76">
        <v>1</v>
      </c>
      <c r="AO76" s="76">
        <v>1</v>
      </c>
      <c r="AP76" s="76">
        <v>1</v>
      </c>
      <c r="AQ76" s="76">
        <v>1</v>
      </c>
      <c r="AR76" s="78">
        <v>0.0872182100128262</v>
      </c>
      <c r="AS76" s="80">
        <v>0.027027027027027</v>
      </c>
      <c r="AT76" s="80">
        <v>0.176470588235294</v>
      </c>
      <c r="AU76" s="80">
        <v>0</v>
      </c>
      <c r="AV76" s="80">
        <v>0.0655737704918033</v>
      </c>
      <c r="AW76" s="36"/>
      <c r="AX76" s="34"/>
    </row>
    <row r="77" ht="14.5" spans="1:50">
      <c r="A77" s="32"/>
      <c r="B77" s="36"/>
      <c r="C77" s="68" t="s">
        <v>61</v>
      </c>
      <c r="D77" s="69" t="s">
        <v>29</v>
      </c>
      <c r="E77" s="81" t="s">
        <v>130</v>
      </c>
      <c r="F77" s="81" t="s">
        <v>130</v>
      </c>
      <c r="G77" s="81" t="s">
        <v>130</v>
      </c>
      <c r="H77" s="81" t="s">
        <v>130</v>
      </c>
      <c r="I77" s="71">
        <v>0.9</v>
      </c>
      <c r="J77" s="72">
        <v>1</v>
      </c>
      <c r="K77" s="72">
        <v>1</v>
      </c>
      <c r="L77" s="73">
        <v>1</v>
      </c>
      <c r="M77" s="72">
        <v>0.980132450331126</v>
      </c>
      <c r="N77" s="74">
        <v>0.9</v>
      </c>
      <c r="O77" s="72">
        <v>0.901626646010844</v>
      </c>
      <c r="P77" s="72">
        <v>0.993764614185503</v>
      </c>
      <c r="Q77" s="72">
        <v>0.983076923076923</v>
      </c>
      <c r="R77" s="72">
        <v>0.95806091532451</v>
      </c>
      <c r="S77" s="74">
        <v>0.9</v>
      </c>
      <c r="T77" s="72">
        <v>0.724244771494965</v>
      </c>
      <c r="U77" s="72">
        <v>0.841777084957132</v>
      </c>
      <c r="V77" s="72">
        <v>0.880769230769231</v>
      </c>
      <c r="W77" s="72">
        <v>0.848509009727316</v>
      </c>
      <c r="X77" s="74">
        <v>0.92</v>
      </c>
      <c r="Y77" s="74">
        <v>0.910247349823322</v>
      </c>
      <c r="Z77" s="74">
        <v>0.92836676217765</v>
      </c>
      <c r="AA77" s="74">
        <v>0.958950969213227</v>
      </c>
      <c r="AB77" s="74">
        <v>0.946625496250551</v>
      </c>
      <c r="AC77" s="74">
        <v>0.92</v>
      </c>
      <c r="AD77" s="72">
        <v>1</v>
      </c>
      <c r="AE77" s="72">
        <v>0.5</v>
      </c>
      <c r="AF77" s="72">
        <v>0</v>
      </c>
      <c r="AG77" s="72">
        <v>0.4</v>
      </c>
      <c r="AH77" s="74">
        <v>0.92</v>
      </c>
      <c r="AI77" s="72">
        <v>0.899852180339985</v>
      </c>
      <c r="AJ77" s="72">
        <v>0.944206008583691</v>
      </c>
      <c r="AK77" s="72">
        <v>0.971979788700046</v>
      </c>
      <c r="AL77" s="72">
        <v>0.961177178288834</v>
      </c>
      <c r="AM77" s="71">
        <v>0.99</v>
      </c>
      <c r="AN77" s="76">
        <v>1</v>
      </c>
      <c r="AO77" s="76">
        <v>1</v>
      </c>
      <c r="AP77" s="76">
        <v>1</v>
      </c>
      <c r="AQ77" s="76">
        <v>1</v>
      </c>
      <c r="AR77" s="78">
        <v>0.0872182100128262</v>
      </c>
      <c r="AS77" s="80">
        <v>0</v>
      </c>
      <c r="AT77" s="80">
        <v>0</v>
      </c>
      <c r="AU77" s="80">
        <v>0.166666666666667</v>
      </c>
      <c r="AV77" s="80">
        <v>0.0588235294117647</v>
      </c>
      <c r="AW77" s="36"/>
      <c r="AX77" s="34"/>
    </row>
    <row r="78" ht="14.5" spans="1:50">
      <c r="A78" s="32"/>
      <c r="B78" s="36"/>
      <c r="C78" s="68" t="s">
        <v>61</v>
      </c>
      <c r="D78" s="69" t="s">
        <v>29</v>
      </c>
      <c r="E78" s="81" t="s">
        <v>131</v>
      </c>
      <c r="F78" s="81" t="s">
        <v>131</v>
      </c>
      <c r="G78" s="81" t="s">
        <v>131</v>
      </c>
      <c r="H78" s="81" t="s">
        <v>131</v>
      </c>
      <c r="I78" s="71">
        <v>0.9</v>
      </c>
      <c r="J78" s="72">
        <v>0.9375</v>
      </c>
      <c r="K78" s="72">
        <v>0.949367088607595</v>
      </c>
      <c r="L78" s="73">
        <v>0.948717948717949</v>
      </c>
      <c r="M78" s="72">
        <v>0.943422913719943</v>
      </c>
      <c r="N78" s="74">
        <v>0.9</v>
      </c>
      <c r="O78" s="72">
        <v>0.982825164029332</v>
      </c>
      <c r="P78" s="72">
        <v>0.992458521870287</v>
      </c>
      <c r="Q78" s="72">
        <v>0.987262394669802</v>
      </c>
      <c r="R78" s="72">
        <v>0.989537410087118</v>
      </c>
      <c r="S78" s="74">
        <v>0.9</v>
      </c>
      <c r="T78" s="72">
        <v>0.80239289849479</v>
      </c>
      <c r="U78" s="72">
        <v>0.835972850678733</v>
      </c>
      <c r="V78" s="72">
        <v>0.8297080148932</v>
      </c>
      <c r="W78" s="72">
        <v>0.829539941358871</v>
      </c>
      <c r="X78" s="74">
        <v>0.92</v>
      </c>
      <c r="Y78" s="74">
        <v>0.944543429844098</v>
      </c>
      <c r="Z78" s="74">
        <v>0.945646145313367</v>
      </c>
      <c r="AA78" s="74">
        <v>0.961992513676936</v>
      </c>
      <c r="AB78" s="74">
        <v>0.955040871934605</v>
      </c>
      <c r="AC78" s="74">
        <v>0.92</v>
      </c>
      <c r="AD78" s="72">
        <v>0.998752909876954</v>
      </c>
      <c r="AE78" s="72">
        <v>0.998098687188773</v>
      </c>
      <c r="AF78" s="72">
        <v>0.999806763285024</v>
      </c>
      <c r="AG78" s="72">
        <v>0.997298585730176</v>
      </c>
      <c r="AH78" s="74">
        <v>0.92</v>
      </c>
      <c r="AI78" s="72">
        <v>0.951101002791275</v>
      </c>
      <c r="AJ78" s="72">
        <v>0.964646464646465</v>
      </c>
      <c r="AK78" s="72">
        <v>0.973883642299172</v>
      </c>
      <c r="AL78" s="72">
        <v>0.969159819508496</v>
      </c>
      <c r="AM78" s="71">
        <v>0.99</v>
      </c>
      <c r="AN78" s="76">
        <v>1</v>
      </c>
      <c r="AO78" s="76">
        <v>1</v>
      </c>
      <c r="AP78" s="76">
        <v>1</v>
      </c>
      <c r="AQ78" s="76">
        <v>1</v>
      </c>
      <c r="AR78" s="78">
        <v>0.0872182100128262</v>
      </c>
      <c r="AS78" s="80">
        <v>0.0666666666666667</v>
      </c>
      <c r="AT78" s="80">
        <v>0.075</v>
      </c>
      <c r="AU78" s="80">
        <v>0.09375</v>
      </c>
      <c r="AV78" s="80">
        <v>0.0777385159010601</v>
      </c>
      <c r="AW78" s="36"/>
      <c r="AX78" s="34"/>
    </row>
    <row r="79" ht="14.5" spans="1:50">
      <c r="A79" s="32"/>
      <c r="B79" s="36"/>
      <c r="C79" s="82"/>
      <c r="D79" s="83"/>
      <c r="E79" s="83"/>
      <c r="F79" s="84"/>
      <c r="G79" s="84"/>
      <c r="H79" s="84"/>
      <c r="I79" s="85"/>
      <c r="J79" s="86"/>
      <c r="K79" s="86"/>
      <c r="L79" s="73"/>
      <c r="M79" s="86"/>
      <c r="N79" s="85"/>
      <c r="O79" s="87"/>
      <c r="P79" s="88"/>
      <c r="Q79" s="72"/>
      <c r="R79" s="88"/>
      <c r="S79" s="89"/>
      <c r="T79" s="86"/>
      <c r="U79" s="86"/>
      <c r="V79" s="72"/>
      <c r="W79" s="86"/>
      <c r="X79" s="89"/>
      <c r="Y79" s="89"/>
      <c r="Z79" s="89"/>
      <c r="AA79" s="74"/>
      <c r="AB79" s="89"/>
      <c r="AC79" s="86"/>
      <c r="AD79" s="86"/>
      <c r="AE79" s="86"/>
      <c r="AF79" s="72"/>
      <c r="AG79" s="86"/>
      <c r="AH79" s="89"/>
      <c r="AI79" s="86"/>
      <c r="AJ79" s="86"/>
      <c r="AK79" s="72"/>
      <c r="AL79" s="86"/>
      <c r="AM79" s="85"/>
      <c r="AN79" s="85"/>
      <c r="AO79" s="85"/>
      <c r="AP79" s="76"/>
      <c r="AQ79" s="85"/>
      <c r="AR79" s="90"/>
      <c r="AS79" s="85"/>
      <c r="AT79" s="85"/>
      <c r="AU79" s="80"/>
      <c r="AV79" s="85"/>
      <c r="AW79" s="36"/>
      <c r="AX79" s="34"/>
    </row>
    <row r="80" ht="14.5" spans="1:50">
      <c r="A80" s="32"/>
      <c r="B80" s="36"/>
      <c r="C80" s="91" t="s">
        <v>132</v>
      </c>
      <c r="D80" s="69" t="s">
        <v>11</v>
      </c>
      <c r="E80" s="92" t="s">
        <v>133</v>
      </c>
      <c r="F80" s="92" t="s">
        <v>133</v>
      </c>
      <c r="G80" s="92" t="s">
        <v>133</v>
      </c>
      <c r="H80" s="92" t="s">
        <v>133</v>
      </c>
      <c r="I80" s="71">
        <v>0.9</v>
      </c>
      <c r="J80" s="72">
        <v>0.9375</v>
      </c>
      <c r="K80" s="72">
        <v>0.895522388059702</v>
      </c>
      <c r="L80" s="73">
        <v>0.933333333333333</v>
      </c>
      <c r="M80" s="72">
        <v>0.916264090177134</v>
      </c>
      <c r="N80" s="74">
        <v>0.9</v>
      </c>
      <c r="O80" s="72">
        <v>0.688177594217863</v>
      </c>
      <c r="P80" s="72">
        <v>0.924036595508733</v>
      </c>
      <c r="Q80" s="72">
        <v>0.883098591549296</v>
      </c>
      <c r="R80" s="72">
        <v>0.870197642683622</v>
      </c>
      <c r="S80" s="74">
        <v>0.9</v>
      </c>
      <c r="T80" s="72">
        <v>0.804336602994321</v>
      </c>
      <c r="U80" s="72">
        <v>0.871084003326864</v>
      </c>
      <c r="V80" s="72">
        <v>0.834929577464789</v>
      </c>
      <c r="W80" s="72">
        <v>0.848453948354977</v>
      </c>
      <c r="X80" s="74">
        <v>0.92</v>
      </c>
      <c r="Y80" s="74">
        <v>0.862008733624454</v>
      </c>
      <c r="Z80" s="74">
        <v>0.884052924791086</v>
      </c>
      <c r="AA80" s="74">
        <v>0.926164331692541</v>
      </c>
      <c r="AB80" s="74">
        <v>0.910792171481827</v>
      </c>
      <c r="AC80" s="74">
        <v>0.92</v>
      </c>
      <c r="AD80" s="72">
        <v>0.996130458817026</v>
      </c>
      <c r="AE80" s="72">
        <v>0.967463848720801</v>
      </c>
      <c r="AF80" s="72">
        <v>0.977608008429926</v>
      </c>
      <c r="AG80" s="72">
        <v>0.978525270197816</v>
      </c>
      <c r="AH80" s="74">
        <v>0.92</v>
      </c>
      <c r="AI80" s="72">
        <v>0.901805251641138</v>
      </c>
      <c r="AJ80" s="72">
        <v>0.930279191732223</v>
      </c>
      <c r="AK80" s="72">
        <v>0.950250363430787</v>
      </c>
      <c r="AL80" s="72">
        <v>0.944296729593193</v>
      </c>
      <c r="AM80" s="71">
        <v>0.99</v>
      </c>
      <c r="AN80" s="76">
        <v>1</v>
      </c>
      <c r="AO80" s="76">
        <v>1</v>
      </c>
      <c r="AP80" s="76">
        <v>1</v>
      </c>
      <c r="AQ80" s="77">
        <v>1</v>
      </c>
      <c r="AR80" s="78">
        <v>0.105261498981944</v>
      </c>
      <c r="AS80" s="79">
        <v>0.105263157894737</v>
      </c>
      <c r="AT80" s="80">
        <v>0.0714285714285714</v>
      </c>
      <c r="AU80" s="80">
        <v>0.153846153846154</v>
      </c>
      <c r="AV80" s="80">
        <v>0.112994350282486</v>
      </c>
      <c r="AW80" s="36"/>
      <c r="AX80" s="34"/>
    </row>
    <row r="81" ht="14.5" spans="1:50">
      <c r="A81" s="32"/>
      <c r="B81" s="36"/>
      <c r="C81" s="91" t="s">
        <v>132</v>
      </c>
      <c r="D81" s="69" t="s">
        <v>11</v>
      </c>
      <c r="E81" s="92" t="s">
        <v>134</v>
      </c>
      <c r="F81" s="92" t="s">
        <v>134</v>
      </c>
      <c r="G81" s="92" t="s">
        <v>134</v>
      </c>
      <c r="H81" s="92" t="s">
        <v>134</v>
      </c>
      <c r="I81" s="71">
        <v>0.9</v>
      </c>
      <c r="J81" s="72">
        <v>0.865384615384615</v>
      </c>
      <c r="K81" s="72">
        <v>0.964285714285714</v>
      </c>
      <c r="L81" s="73">
        <v>0.892857142857143</v>
      </c>
      <c r="M81" s="72">
        <v>0.911468812877264</v>
      </c>
      <c r="N81" s="74">
        <v>0.9</v>
      </c>
      <c r="O81" s="72">
        <v>0.934107203823831</v>
      </c>
      <c r="P81" s="72">
        <v>0.957692307692308</v>
      </c>
      <c r="Q81" s="72">
        <v>0.954561590344338</v>
      </c>
      <c r="R81" s="72">
        <v>0.894182528436291</v>
      </c>
      <c r="S81" s="74">
        <v>0.9</v>
      </c>
      <c r="T81" s="72">
        <v>0.840218504609082</v>
      </c>
      <c r="U81" s="72">
        <v>0.895104895104895</v>
      </c>
      <c r="V81" s="72">
        <v>0.889243876464324</v>
      </c>
      <c r="W81" s="72">
        <v>0.878748420206043</v>
      </c>
      <c r="X81" s="74">
        <v>0.92</v>
      </c>
      <c r="Y81" s="74">
        <v>0.915447734570103</v>
      </c>
      <c r="Z81" s="74">
        <v>0.942929080990348</v>
      </c>
      <c r="AA81" s="74">
        <v>0.959106038991916</v>
      </c>
      <c r="AB81" s="74">
        <v>0.941370652780361</v>
      </c>
      <c r="AC81" s="74">
        <v>0.92</v>
      </c>
      <c r="AD81" s="72">
        <v>0.987538940809969</v>
      </c>
      <c r="AE81" s="72">
        <v>0.992546583850932</v>
      </c>
      <c r="AF81" s="72">
        <v>0.97841726618705</v>
      </c>
      <c r="AG81" s="72">
        <v>0.982729138166895</v>
      </c>
      <c r="AH81" s="74">
        <v>0.92</v>
      </c>
      <c r="AI81" s="72">
        <v>0.938437391001046</v>
      </c>
      <c r="AJ81" s="72">
        <v>0.963951935914553</v>
      </c>
      <c r="AK81" s="72">
        <v>0.972769762243446</v>
      </c>
      <c r="AL81" s="72">
        <v>0.963043843440282</v>
      </c>
      <c r="AM81" s="71">
        <v>0.99</v>
      </c>
      <c r="AN81" s="76">
        <v>1</v>
      </c>
      <c r="AO81" s="76">
        <v>1</v>
      </c>
      <c r="AP81" s="76">
        <v>1</v>
      </c>
      <c r="AQ81" s="77">
        <v>1</v>
      </c>
      <c r="AR81" s="78">
        <v>0.105261498981944</v>
      </c>
      <c r="AS81" s="79">
        <v>0.25</v>
      </c>
      <c r="AT81" s="80">
        <v>0.25</v>
      </c>
      <c r="AU81" s="80">
        <v>0.333333333333333</v>
      </c>
      <c r="AV81" s="80">
        <v>0.160919540229885</v>
      </c>
      <c r="AW81" s="36"/>
      <c r="AX81" s="34"/>
    </row>
    <row r="82" ht="14.5" spans="1:50">
      <c r="A82" s="32"/>
      <c r="B82" s="36"/>
      <c r="C82" s="91" t="s">
        <v>132</v>
      </c>
      <c r="D82" s="69" t="s">
        <v>11</v>
      </c>
      <c r="E82" s="92" t="s">
        <v>135</v>
      </c>
      <c r="F82" s="92" t="s">
        <v>135</v>
      </c>
      <c r="G82" s="92" t="s">
        <v>135</v>
      </c>
      <c r="H82" s="92" t="s">
        <v>135</v>
      </c>
      <c r="I82" s="71">
        <v>0.9</v>
      </c>
      <c r="J82" s="72">
        <v>0.948979591836735</v>
      </c>
      <c r="K82" s="72">
        <v>0.932038834951456</v>
      </c>
      <c r="L82" s="73">
        <v>0.980952380952381</v>
      </c>
      <c r="M82" s="72">
        <v>0.945474372955289</v>
      </c>
      <c r="N82" s="74">
        <v>0.9</v>
      </c>
      <c r="O82" s="72">
        <v>0.972483132689509</v>
      </c>
      <c r="P82" s="72">
        <v>0.980020269292023</v>
      </c>
      <c r="Q82" s="72">
        <v>0.975851660198361</v>
      </c>
      <c r="R82" s="72">
        <v>0.952231497305114</v>
      </c>
      <c r="S82" s="74">
        <v>0.9</v>
      </c>
      <c r="T82" s="72">
        <v>0.852890593993915</v>
      </c>
      <c r="U82" s="72">
        <v>0.893875778196033</v>
      </c>
      <c r="V82" s="72">
        <v>0.834986344688803</v>
      </c>
      <c r="W82" s="72">
        <v>0.838783357433942</v>
      </c>
      <c r="X82" s="74">
        <v>0.92</v>
      </c>
      <c r="Y82" s="74">
        <v>0.908084844758684</v>
      </c>
      <c r="Z82" s="74">
        <v>0.944873406356617</v>
      </c>
      <c r="AA82" s="74">
        <v>0.955186721991701</v>
      </c>
      <c r="AB82" s="74">
        <v>0.945131226566684</v>
      </c>
      <c r="AC82" s="74">
        <v>0.92</v>
      </c>
      <c r="AD82" s="72">
        <v>0.988529718456726</v>
      </c>
      <c r="AE82" s="72">
        <v>0.921436004162331</v>
      </c>
      <c r="AF82" s="72">
        <v>0.99223389675651</v>
      </c>
      <c r="AG82" s="72">
        <v>0.972147668000203</v>
      </c>
      <c r="AH82" s="74">
        <v>0.92</v>
      </c>
      <c r="AI82" s="72">
        <v>0.939236728022173</v>
      </c>
      <c r="AJ82" s="72">
        <v>0.966094902212247</v>
      </c>
      <c r="AK82" s="72">
        <v>0.973422773202004</v>
      </c>
      <c r="AL82" s="72">
        <v>0.965643567118244</v>
      </c>
      <c r="AM82" s="71">
        <v>0.99</v>
      </c>
      <c r="AN82" s="76">
        <v>1</v>
      </c>
      <c r="AO82" s="76">
        <v>1</v>
      </c>
      <c r="AP82" s="76">
        <v>1</v>
      </c>
      <c r="AQ82" s="76">
        <v>1</v>
      </c>
      <c r="AR82" s="78">
        <v>0.105261498981944</v>
      </c>
      <c r="AS82" s="80">
        <v>0.0666666666666667</v>
      </c>
      <c r="AT82" s="80">
        <v>0.1</v>
      </c>
      <c r="AU82" s="80">
        <v>0.0909090909090909</v>
      </c>
      <c r="AV82" s="80">
        <v>0.105</v>
      </c>
      <c r="AW82" s="36"/>
      <c r="AX82" s="34"/>
    </row>
    <row r="83" ht="14.5" spans="1:50">
      <c r="A83" s="32"/>
      <c r="B83" s="36"/>
      <c r="C83" s="91" t="s">
        <v>132</v>
      </c>
      <c r="D83" s="69" t="s">
        <v>11</v>
      </c>
      <c r="E83" s="92" t="s">
        <v>136</v>
      </c>
      <c r="F83" s="92" t="s">
        <v>136</v>
      </c>
      <c r="G83" s="92" t="s">
        <v>136</v>
      </c>
      <c r="H83" s="92" t="s">
        <v>136</v>
      </c>
      <c r="I83" s="71">
        <v>0.9</v>
      </c>
      <c r="J83" s="72">
        <v>0.895161290322581</v>
      </c>
      <c r="K83" s="72">
        <v>0.847826086956522</v>
      </c>
      <c r="L83" s="73">
        <v>0.865248226950355</v>
      </c>
      <c r="M83" s="72">
        <v>0.867330016583748</v>
      </c>
      <c r="N83" s="74">
        <v>0.9</v>
      </c>
      <c r="O83" s="72">
        <v>0.815413533834586</v>
      </c>
      <c r="P83" s="72">
        <v>0.891316371681416</v>
      </c>
      <c r="Q83" s="72">
        <v>0.916666666666667</v>
      </c>
      <c r="R83" s="72">
        <v>0.817720115001241</v>
      </c>
      <c r="S83" s="74">
        <v>0.9</v>
      </c>
      <c r="T83" s="72">
        <v>0.789348370927318</v>
      </c>
      <c r="U83" s="72">
        <v>0.838633849557522</v>
      </c>
      <c r="V83" s="72">
        <v>0.854707792207792</v>
      </c>
      <c r="W83" s="72">
        <v>0.822288057675749</v>
      </c>
      <c r="X83" s="74">
        <v>0.92</v>
      </c>
      <c r="Y83" s="74">
        <v>0.904539007092199</v>
      </c>
      <c r="Z83" s="74">
        <v>0.908032786885246</v>
      </c>
      <c r="AA83" s="74">
        <v>0.917434443656981</v>
      </c>
      <c r="AB83" s="74">
        <v>0.931018181818182</v>
      </c>
      <c r="AC83" s="74">
        <v>0.92</v>
      </c>
      <c r="AD83" s="72">
        <v>0.995054826918942</v>
      </c>
      <c r="AE83" s="72">
        <v>0.99</v>
      </c>
      <c r="AF83" s="72">
        <v>0.994757772957339</v>
      </c>
      <c r="AG83" s="72">
        <v>0.988872316206775</v>
      </c>
      <c r="AH83" s="74">
        <v>0.92</v>
      </c>
      <c r="AI83" s="72">
        <v>0.921798111450991</v>
      </c>
      <c r="AJ83" s="72">
        <v>0.938151285703576</v>
      </c>
      <c r="AK83" s="72">
        <v>0.944082227506328</v>
      </c>
      <c r="AL83" s="72">
        <v>0.95242759312924</v>
      </c>
      <c r="AM83" s="71">
        <v>0.99</v>
      </c>
      <c r="AN83" s="76">
        <v>1</v>
      </c>
      <c r="AO83" s="76">
        <v>1</v>
      </c>
      <c r="AP83" s="76">
        <v>1</v>
      </c>
      <c r="AQ83" s="76">
        <v>1</v>
      </c>
      <c r="AR83" s="78">
        <v>0.105261498981944</v>
      </c>
      <c r="AS83" s="80">
        <v>0.037037037037037</v>
      </c>
      <c r="AT83" s="80">
        <v>0.125</v>
      </c>
      <c r="AU83" s="80">
        <v>0.0303030303030303</v>
      </c>
      <c r="AV83" s="80">
        <v>0.102564102564103</v>
      </c>
      <c r="AW83" s="36"/>
      <c r="AX83" s="34"/>
    </row>
    <row r="84" ht="14.5" spans="1:50">
      <c r="A84" s="32"/>
      <c r="B84" s="36"/>
      <c r="C84" s="91" t="s">
        <v>132</v>
      </c>
      <c r="D84" s="69" t="s">
        <v>11</v>
      </c>
      <c r="E84" s="92" t="s">
        <v>137</v>
      </c>
      <c r="F84" s="92" t="s">
        <v>137</v>
      </c>
      <c r="G84" s="92" t="s">
        <v>137</v>
      </c>
      <c r="H84" s="92" t="s">
        <v>137</v>
      </c>
      <c r="I84" s="71">
        <v>0.9</v>
      </c>
      <c r="J84" s="72">
        <v>0.950617283950617</v>
      </c>
      <c r="K84" s="72">
        <v>0.956043956043956</v>
      </c>
      <c r="L84" s="73">
        <v>0.914893617021277</v>
      </c>
      <c r="M84" s="72">
        <v>0.932655654383736</v>
      </c>
      <c r="N84" s="74">
        <v>0.9</v>
      </c>
      <c r="O84" s="72">
        <v>0.90185387131952</v>
      </c>
      <c r="P84" s="72">
        <v>0.913320079522863</v>
      </c>
      <c r="Q84" s="72">
        <v>0.905696689761355</v>
      </c>
      <c r="R84" s="72">
        <v>0.862942171956908</v>
      </c>
      <c r="S84" s="74">
        <v>0.9</v>
      </c>
      <c r="T84" s="72">
        <v>0.825154489276627</v>
      </c>
      <c r="U84" s="72">
        <v>0.860636182902584</v>
      </c>
      <c r="V84" s="72">
        <v>0.838144726712856</v>
      </c>
      <c r="W84" s="72">
        <v>0.822594625830685</v>
      </c>
      <c r="X84" s="74">
        <v>0.92</v>
      </c>
      <c r="Y84" s="74">
        <v>0.90096903805247</v>
      </c>
      <c r="Z84" s="74">
        <v>0.908447009443861</v>
      </c>
      <c r="AA84" s="74">
        <v>0.926615862263618</v>
      </c>
      <c r="AB84" s="74">
        <v>0.913100816521227</v>
      </c>
      <c r="AC84" s="74">
        <v>0.92</v>
      </c>
      <c r="AD84" s="72">
        <v>0.985976267529666</v>
      </c>
      <c r="AE84" s="72">
        <v>0.980317940953823</v>
      </c>
      <c r="AF84" s="72">
        <v>0.995333333333333</v>
      </c>
      <c r="AG84" s="72">
        <v>0.979483839452902</v>
      </c>
      <c r="AH84" s="74">
        <v>0.92</v>
      </c>
      <c r="AI84" s="72">
        <v>0.930347236490651</v>
      </c>
      <c r="AJ84" s="72">
        <v>0.946511364921407</v>
      </c>
      <c r="AK84" s="72">
        <v>0.950572082379863</v>
      </c>
      <c r="AL84" s="72">
        <v>0.946335140791476</v>
      </c>
      <c r="AM84" s="71">
        <v>0.99</v>
      </c>
      <c r="AN84" s="76">
        <v>1</v>
      </c>
      <c r="AO84" s="76">
        <v>1</v>
      </c>
      <c r="AP84" s="76">
        <v>1</v>
      </c>
      <c r="AQ84" s="76">
        <v>1</v>
      </c>
      <c r="AR84" s="78">
        <v>0.105261498981944</v>
      </c>
      <c r="AS84" s="80">
        <v>0.16</v>
      </c>
      <c r="AT84" s="80">
        <v>0.19047619047619</v>
      </c>
      <c r="AU84" s="80">
        <v>0.117647058823529</v>
      </c>
      <c r="AV84" s="80">
        <v>0.107954545454545</v>
      </c>
      <c r="AW84" s="36"/>
      <c r="AX84" s="34"/>
    </row>
    <row r="85" ht="14.5" spans="1:50">
      <c r="A85" s="32"/>
      <c r="B85" s="36"/>
      <c r="C85" s="91" t="s">
        <v>132</v>
      </c>
      <c r="D85" s="69" t="s">
        <v>11</v>
      </c>
      <c r="E85" s="92" t="s">
        <v>138</v>
      </c>
      <c r="F85" s="92" t="s">
        <v>138</v>
      </c>
      <c r="G85" s="92" t="s">
        <v>138</v>
      </c>
      <c r="H85" s="92" t="s">
        <v>138</v>
      </c>
      <c r="I85" s="71">
        <v>0.9</v>
      </c>
      <c r="J85" s="72">
        <v>0.916666666666667</v>
      </c>
      <c r="K85" s="72">
        <v>0.940298507462687</v>
      </c>
      <c r="L85" s="73">
        <v>0.871428571428571</v>
      </c>
      <c r="M85" s="72">
        <v>0.945993031358885</v>
      </c>
      <c r="N85" s="74">
        <v>0.9</v>
      </c>
      <c r="O85" s="72">
        <v>0</v>
      </c>
      <c r="P85" s="72">
        <v>0</v>
      </c>
      <c r="Q85" s="72">
        <v>0</v>
      </c>
      <c r="R85" s="72">
        <v>0.333333333333333</v>
      </c>
      <c r="S85" s="74">
        <v>0.9</v>
      </c>
      <c r="T85" s="72">
        <v>0</v>
      </c>
      <c r="U85" s="72">
        <v>0</v>
      </c>
      <c r="V85" s="72">
        <v>0</v>
      </c>
      <c r="W85" s="72">
        <v>0</v>
      </c>
      <c r="X85" s="74">
        <v>0.92</v>
      </c>
      <c r="Y85" s="74">
        <v>0</v>
      </c>
      <c r="Z85" s="74">
        <v>0</v>
      </c>
      <c r="AA85" s="74">
        <v>0</v>
      </c>
      <c r="AB85" s="74">
        <v>0</v>
      </c>
      <c r="AC85" s="74">
        <v>0.92</v>
      </c>
      <c r="AD85" s="72">
        <v>0.938775510204082</v>
      </c>
      <c r="AE85" s="72">
        <v>0.943820224719101</v>
      </c>
      <c r="AF85" s="72">
        <v>0.855932203389831</v>
      </c>
      <c r="AG85" s="72">
        <v>0.860986547085202</v>
      </c>
      <c r="AH85" s="74">
        <v>0.92</v>
      </c>
      <c r="AI85" s="72">
        <v>0.961861489742531</v>
      </c>
      <c r="AJ85" s="72">
        <v>0.982404258465178</v>
      </c>
      <c r="AK85" s="72">
        <v>0.982812713135998</v>
      </c>
      <c r="AL85" s="72">
        <v>0.975303002618917</v>
      </c>
      <c r="AM85" s="71">
        <v>0.99</v>
      </c>
      <c r="AN85" s="76">
        <v>1</v>
      </c>
      <c r="AO85" s="76">
        <v>1</v>
      </c>
      <c r="AP85" s="76">
        <v>1</v>
      </c>
      <c r="AQ85" s="76">
        <v>1</v>
      </c>
      <c r="AR85" s="78">
        <v>0.105261498981944</v>
      </c>
      <c r="AS85" s="80">
        <v>0.19047619047619</v>
      </c>
      <c r="AT85" s="80">
        <v>0.0666666666666667</v>
      </c>
      <c r="AU85" s="80">
        <v>0.0625</v>
      </c>
      <c r="AV85" s="80">
        <v>0.101351351351351</v>
      </c>
      <c r="AW85" s="36"/>
      <c r="AX85" s="34"/>
    </row>
    <row r="86" ht="14.5" spans="1:50">
      <c r="A86" s="32"/>
      <c r="B86" s="36"/>
      <c r="C86" s="91" t="s">
        <v>132</v>
      </c>
      <c r="D86" s="69" t="s">
        <v>11</v>
      </c>
      <c r="E86" s="92" t="s">
        <v>139</v>
      </c>
      <c r="F86" s="92" t="s">
        <v>139</v>
      </c>
      <c r="G86" s="92" t="s">
        <v>139</v>
      </c>
      <c r="H86" s="92" t="s">
        <v>139</v>
      </c>
      <c r="I86" s="71">
        <v>0.9</v>
      </c>
      <c r="J86" s="72">
        <v>0.774193548387097</v>
      </c>
      <c r="K86" s="72">
        <v>0.838235294117647</v>
      </c>
      <c r="L86" s="73">
        <v>0.880597014925373</v>
      </c>
      <c r="M86" s="72">
        <v>0.878333333333333</v>
      </c>
      <c r="N86" s="74">
        <v>0.9</v>
      </c>
      <c r="O86" s="72">
        <v>0.938274491465981</v>
      </c>
      <c r="P86" s="72">
        <v>0.939408284023669</v>
      </c>
      <c r="Q86" s="72">
        <v>0.941499085923218</v>
      </c>
      <c r="R86" s="72">
        <v>0.915679688881032</v>
      </c>
      <c r="S86" s="74">
        <v>0.9</v>
      </c>
      <c r="T86" s="72">
        <v>0.835866261398176</v>
      </c>
      <c r="U86" s="72">
        <v>0.899644970414201</v>
      </c>
      <c r="V86" s="72">
        <v>0.870886654478976</v>
      </c>
      <c r="W86" s="72">
        <v>0.832066466324907</v>
      </c>
      <c r="X86" s="74">
        <v>0.92</v>
      </c>
      <c r="Y86" s="74">
        <v>0.930026809651475</v>
      </c>
      <c r="Z86" s="74">
        <v>0.951576935329723</v>
      </c>
      <c r="AA86" s="74">
        <v>0.946135831381733</v>
      </c>
      <c r="AB86" s="74">
        <v>0.941801480669043</v>
      </c>
      <c r="AC86" s="74">
        <v>0.92</v>
      </c>
      <c r="AD86" s="72">
        <v>0.953917050691244</v>
      </c>
      <c r="AE86" s="72">
        <v>0.935779816513762</v>
      </c>
      <c r="AF86" s="72">
        <v>0.979035639412998</v>
      </c>
      <c r="AG86" s="72">
        <v>0.967352592006332</v>
      </c>
      <c r="AH86" s="74">
        <v>0.92</v>
      </c>
      <c r="AI86" s="72">
        <v>0.940809190809191</v>
      </c>
      <c r="AJ86" s="72">
        <v>0.968915433690783</v>
      </c>
      <c r="AK86" s="72">
        <v>0.962253903598099</v>
      </c>
      <c r="AL86" s="72">
        <v>0.960018609519933</v>
      </c>
      <c r="AM86" s="71">
        <v>0.99</v>
      </c>
      <c r="AN86" s="76">
        <v>1</v>
      </c>
      <c r="AO86" s="76">
        <v>1</v>
      </c>
      <c r="AP86" s="76">
        <v>1</v>
      </c>
      <c r="AQ86" s="76">
        <v>1</v>
      </c>
      <c r="AR86" s="78">
        <v>0.105261498981944</v>
      </c>
      <c r="AS86" s="80">
        <v>0.0588235294117647</v>
      </c>
      <c r="AT86" s="80">
        <v>0.1</v>
      </c>
      <c r="AU86" s="80">
        <v>0.0714285714285714</v>
      </c>
      <c r="AV86" s="80">
        <v>0.0979020979020979</v>
      </c>
      <c r="AW86" s="36"/>
      <c r="AX86" s="34"/>
    </row>
    <row r="87" ht="14.5" spans="1:50">
      <c r="A87" s="32"/>
      <c r="B87" s="36"/>
      <c r="C87" s="91" t="s">
        <v>132</v>
      </c>
      <c r="D87" s="69" t="s">
        <v>11</v>
      </c>
      <c r="E87" s="92" t="s">
        <v>140</v>
      </c>
      <c r="F87" s="92" t="s">
        <v>140</v>
      </c>
      <c r="G87" s="92" t="s">
        <v>140</v>
      </c>
      <c r="H87" s="92" t="s">
        <v>140</v>
      </c>
      <c r="I87" s="71">
        <v>0.9</v>
      </c>
      <c r="J87" s="72">
        <v>0.853658536585366</v>
      </c>
      <c r="K87" s="72">
        <v>0.91358024691358</v>
      </c>
      <c r="L87" s="73">
        <v>0.929411764705882</v>
      </c>
      <c r="M87" s="72">
        <v>0.917333333333333</v>
      </c>
      <c r="N87" s="74">
        <v>0.9</v>
      </c>
      <c r="O87" s="72">
        <v>0.5</v>
      </c>
      <c r="P87" s="72">
        <v>0.5</v>
      </c>
      <c r="Q87" s="72">
        <v>0</v>
      </c>
      <c r="R87" s="72">
        <v>0.6875</v>
      </c>
      <c r="S87" s="74">
        <v>0.9</v>
      </c>
      <c r="T87" s="72">
        <v>0</v>
      </c>
      <c r="U87" s="72">
        <v>0</v>
      </c>
      <c r="V87" s="72">
        <v>1</v>
      </c>
      <c r="W87" s="72">
        <v>0.5625</v>
      </c>
      <c r="X87" s="74">
        <v>0.92</v>
      </c>
      <c r="Y87" s="74">
        <v>0</v>
      </c>
      <c r="Z87" s="74">
        <v>1</v>
      </c>
      <c r="AA87" s="74">
        <v>1</v>
      </c>
      <c r="AB87" s="74">
        <v>0.444444444444444</v>
      </c>
      <c r="AC87" s="74">
        <v>0.92</v>
      </c>
      <c r="AD87" s="72">
        <v>0.982178217821782</v>
      </c>
      <c r="AE87" s="72">
        <v>0.987387387387387</v>
      </c>
      <c r="AF87" s="72">
        <v>0.97171381031614</v>
      </c>
      <c r="AG87" s="72">
        <v>0.98288322556105</v>
      </c>
      <c r="AH87" s="74">
        <v>0.92</v>
      </c>
      <c r="AI87" s="72">
        <v>0.980821244160315</v>
      </c>
      <c r="AJ87" s="72">
        <v>0.983864237028794</v>
      </c>
      <c r="AK87" s="72">
        <v>0.98164649554462</v>
      </c>
      <c r="AL87" s="72">
        <v>0.984439789680674</v>
      </c>
      <c r="AM87" s="71">
        <v>0.99</v>
      </c>
      <c r="AN87" s="76">
        <v>1</v>
      </c>
      <c r="AO87" s="76">
        <v>1</v>
      </c>
      <c r="AP87" s="76">
        <v>1</v>
      </c>
      <c r="AQ87" s="76">
        <v>1</v>
      </c>
      <c r="AR87" s="78">
        <v>0.105261498981944</v>
      </c>
      <c r="AS87" s="80">
        <v>0.0625</v>
      </c>
      <c r="AT87" s="80">
        <v>0</v>
      </c>
      <c r="AU87" s="80">
        <v>0</v>
      </c>
      <c r="AV87" s="80">
        <v>0.053475935828877</v>
      </c>
      <c r="AW87" s="36"/>
      <c r="AX87" s="34"/>
    </row>
    <row r="88" ht="14.5" spans="1:50">
      <c r="A88" s="32"/>
      <c r="B88" s="36"/>
      <c r="C88" s="91" t="s">
        <v>132</v>
      </c>
      <c r="D88" s="69" t="s">
        <v>11</v>
      </c>
      <c r="E88" s="92" t="s">
        <v>141</v>
      </c>
      <c r="F88" s="92" t="s">
        <v>141</v>
      </c>
      <c r="G88" s="92" t="s">
        <v>141</v>
      </c>
      <c r="H88" s="92" t="s">
        <v>141</v>
      </c>
      <c r="I88" s="71">
        <v>0.9</v>
      </c>
      <c r="J88" s="72">
        <v>1</v>
      </c>
      <c r="K88" s="72">
        <v>0.976744186046512</v>
      </c>
      <c r="L88" s="73">
        <v>0.978260869565217</v>
      </c>
      <c r="M88" s="72">
        <v>0.969072164948454</v>
      </c>
      <c r="N88" s="74">
        <v>0.9</v>
      </c>
      <c r="O88" s="72">
        <v>0.922509225092251</v>
      </c>
      <c r="P88" s="72">
        <v>0.922890733056708</v>
      </c>
      <c r="Q88" s="72">
        <v>0.934699548454324</v>
      </c>
      <c r="R88" s="72">
        <v>0.925078276427613</v>
      </c>
      <c r="S88" s="74">
        <v>0.9</v>
      </c>
      <c r="T88" s="72">
        <v>0.879235155987924</v>
      </c>
      <c r="U88" s="72">
        <v>0.898686030428769</v>
      </c>
      <c r="V88" s="72">
        <v>0.901354637026745</v>
      </c>
      <c r="W88" s="72">
        <v>0.884672729983599</v>
      </c>
      <c r="X88" s="74">
        <v>0.92</v>
      </c>
      <c r="Y88" s="74">
        <v>0.936430317848411</v>
      </c>
      <c r="Z88" s="74">
        <v>0.949012402388608</v>
      </c>
      <c r="AA88" s="74">
        <v>0.951958224543081</v>
      </c>
      <c r="AB88" s="74">
        <v>0.952888160589922</v>
      </c>
      <c r="AC88" s="74">
        <v>0.92</v>
      </c>
      <c r="AD88" s="72">
        <v>0.986666666666667</v>
      </c>
      <c r="AE88" s="72">
        <v>1</v>
      </c>
      <c r="AF88" s="72">
        <v>0.994202898550725</v>
      </c>
      <c r="AG88" s="72">
        <v>0.992289899768697</v>
      </c>
      <c r="AH88" s="74">
        <v>0.92</v>
      </c>
      <c r="AI88" s="72">
        <v>0.958601655933763</v>
      </c>
      <c r="AJ88" s="72">
        <v>0.962532044961546</v>
      </c>
      <c r="AK88" s="72">
        <v>0.968717413972888</v>
      </c>
      <c r="AL88" s="72">
        <v>0.96662927650028</v>
      </c>
      <c r="AM88" s="71">
        <v>0.99</v>
      </c>
      <c r="AN88" s="76">
        <v>1</v>
      </c>
      <c r="AO88" s="76">
        <v>1</v>
      </c>
      <c r="AP88" s="76">
        <v>1</v>
      </c>
      <c r="AQ88" s="76">
        <v>1</v>
      </c>
      <c r="AR88" s="78">
        <v>0.105261498981944</v>
      </c>
      <c r="AS88" s="80">
        <v>0</v>
      </c>
      <c r="AT88" s="80">
        <v>0.181818181818182</v>
      </c>
      <c r="AU88" s="80">
        <v>0.0909090909090909</v>
      </c>
      <c r="AV88" s="80">
        <v>0.0882352941176471</v>
      </c>
      <c r="AW88" s="36"/>
      <c r="AX88" s="34"/>
    </row>
    <row r="89" ht="14.5" spans="1:50">
      <c r="A89" s="32"/>
      <c r="B89" s="36"/>
      <c r="C89" s="91" t="s">
        <v>132</v>
      </c>
      <c r="D89" s="69" t="s">
        <v>11</v>
      </c>
      <c r="E89" s="92" t="s">
        <v>142</v>
      </c>
      <c r="F89" s="92" t="s">
        <v>142</v>
      </c>
      <c r="G89" s="92" t="s">
        <v>142</v>
      </c>
      <c r="H89" s="92" t="s">
        <v>142</v>
      </c>
      <c r="I89" s="71">
        <v>0.9</v>
      </c>
      <c r="J89" s="72">
        <v>0.74</v>
      </c>
      <c r="K89" s="72">
        <v>0.87719298245614</v>
      </c>
      <c r="L89" s="73">
        <v>0.838709677419355</v>
      </c>
      <c r="M89" s="72">
        <v>0.796442687747036</v>
      </c>
      <c r="N89" s="74">
        <v>0.9</v>
      </c>
      <c r="O89" s="72">
        <v>0.4</v>
      </c>
      <c r="P89" s="72">
        <v>0.5</v>
      </c>
      <c r="Q89" s="72">
        <v>0</v>
      </c>
      <c r="R89" s="72">
        <v>0.347826086956522</v>
      </c>
      <c r="S89" s="74">
        <v>0.9</v>
      </c>
      <c r="T89" s="72">
        <v>0.2</v>
      </c>
      <c r="U89" s="72">
        <v>0.25</v>
      </c>
      <c r="V89" s="72">
        <v>0</v>
      </c>
      <c r="W89" s="72">
        <v>0.217391304347826</v>
      </c>
      <c r="X89" s="74">
        <v>0.92</v>
      </c>
      <c r="Y89" s="74">
        <v>0</v>
      </c>
      <c r="Z89" s="74">
        <v>0</v>
      </c>
      <c r="AA89" s="74">
        <v>0</v>
      </c>
      <c r="AB89" s="74">
        <v>0.166666666666667</v>
      </c>
      <c r="AC89" s="74">
        <v>0.92</v>
      </c>
      <c r="AD89" s="72">
        <v>0.942857142857143</v>
      </c>
      <c r="AE89" s="72">
        <v>0.787878787878788</v>
      </c>
      <c r="AF89" s="72">
        <v>1</v>
      </c>
      <c r="AG89" s="72">
        <v>0.965083798882682</v>
      </c>
      <c r="AH89" s="74">
        <v>0.92</v>
      </c>
      <c r="AI89" s="72">
        <v>0.912341407151096</v>
      </c>
      <c r="AJ89" s="72">
        <v>0.935575221238938</v>
      </c>
      <c r="AK89" s="72">
        <v>0.963674467341949</v>
      </c>
      <c r="AL89" s="72">
        <v>0.941863972251546</v>
      </c>
      <c r="AM89" s="71">
        <v>0.99</v>
      </c>
      <c r="AN89" s="76">
        <v>1</v>
      </c>
      <c r="AO89" s="76">
        <v>1</v>
      </c>
      <c r="AP89" s="76">
        <v>1</v>
      </c>
      <c r="AQ89" s="76">
        <v>1</v>
      </c>
      <c r="AR89" s="78">
        <v>0.105261498981944</v>
      </c>
      <c r="AS89" s="80">
        <v>0.375</v>
      </c>
      <c r="AT89" s="80">
        <v>0.0526315789473684</v>
      </c>
      <c r="AU89" s="80">
        <v>0.0555555555555556</v>
      </c>
      <c r="AV89" s="80">
        <v>0.109243697478992</v>
      </c>
      <c r="AW89" s="36"/>
      <c r="AX89" s="34"/>
    </row>
    <row r="90" ht="14.5" spans="1:50">
      <c r="A90" s="32"/>
      <c r="B90" s="36"/>
      <c r="C90" s="91" t="s">
        <v>132</v>
      </c>
      <c r="D90" s="69" t="s">
        <v>11</v>
      </c>
      <c r="E90" s="92" t="s">
        <v>143</v>
      </c>
      <c r="F90" s="92" t="s">
        <v>143</v>
      </c>
      <c r="G90" s="92" t="s">
        <v>143</v>
      </c>
      <c r="H90" s="92" t="s">
        <v>143</v>
      </c>
      <c r="I90" s="71">
        <v>0.9</v>
      </c>
      <c r="J90" s="72">
        <v>0.903225806451613</v>
      </c>
      <c r="K90" s="72">
        <v>0.920634920634921</v>
      </c>
      <c r="L90" s="73">
        <v>0.923076923076923</v>
      </c>
      <c r="M90" s="72">
        <v>0.920289855072464</v>
      </c>
      <c r="N90" s="74">
        <v>0.9</v>
      </c>
      <c r="O90" s="72">
        <v>0.19047619047619</v>
      </c>
      <c r="P90" s="72">
        <v>0</v>
      </c>
      <c r="Q90" s="72">
        <v>0</v>
      </c>
      <c r="R90" s="72">
        <v>0.256410256410256</v>
      </c>
      <c r="S90" s="74">
        <v>0.9</v>
      </c>
      <c r="T90" s="72">
        <v>0</v>
      </c>
      <c r="U90" s="72">
        <v>0</v>
      </c>
      <c r="V90" s="72">
        <v>0</v>
      </c>
      <c r="W90" s="72">
        <v>0.102564102564103</v>
      </c>
      <c r="X90" s="74">
        <v>0.92</v>
      </c>
      <c r="Y90" s="74">
        <v>0</v>
      </c>
      <c r="Z90" s="74">
        <v>0</v>
      </c>
      <c r="AA90" s="74">
        <v>0.5</v>
      </c>
      <c r="AB90" s="74">
        <v>0.133333333333333</v>
      </c>
      <c r="AC90" s="74">
        <v>0.92</v>
      </c>
      <c r="AD90" s="72">
        <v>0.99406528189911</v>
      </c>
      <c r="AE90" s="72">
        <v>0.987132352941177</v>
      </c>
      <c r="AF90" s="72">
        <v>0.993558776167472</v>
      </c>
      <c r="AG90" s="72">
        <v>0.983416891631315</v>
      </c>
      <c r="AH90" s="74">
        <v>0.92</v>
      </c>
      <c r="AI90" s="72">
        <v>0.975827991452991</v>
      </c>
      <c r="AJ90" s="72">
        <v>0.988463181882923</v>
      </c>
      <c r="AK90" s="72">
        <v>0.986723768736617</v>
      </c>
      <c r="AL90" s="72">
        <v>0.984374019454032</v>
      </c>
      <c r="AM90" s="71">
        <v>0.99</v>
      </c>
      <c r="AN90" s="76">
        <v>1</v>
      </c>
      <c r="AO90" s="76">
        <v>1</v>
      </c>
      <c r="AP90" s="76">
        <v>1</v>
      </c>
      <c r="AQ90" s="76">
        <v>1</v>
      </c>
      <c r="AR90" s="78">
        <v>0.105261498981944</v>
      </c>
      <c r="AS90" s="80">
        <v>0.25</v>
      </c>
      <c r="AT90" s="80">
        <v>0.263157894736842</v>
      </c>
      <c r="AU90" s="80">
        <v>0.142857142857143</v>
      </c>
      <c r="AV90" s="80">
        <v>0.152173913043478</v>
      </c>
      <c r="AW90" s="36"/>
      <c r="AX90" s="34"/>
    </row>
    <row r="91" ht="14.5" spans="1:50">
      <c r="A91" s="32"/>
      <c r="B91" s="36"/>
      <c r="C91" s="91" t="s">
        <v>132</v>
      </c>
      <c r="D91" s="69" t="s">
        <v>11</v>
      </c>
      <c r="E91" s="92" t="s">
        <v>144</v>
      </c>
      <c r="F91" s="92" t="s">
        <v>144</v>
      </c>
      <c r="G91" s="92" t="s">
        <v>144</v>
      </c>
      <c r="H91" s="92" t="s">
        <v>144</v>
      </c>
      <c r="I91" s="71">
        <v>0.9</v>
      </c>
      <c r="J91" s="72">
        <v>0.947368421052632</v>
      </c>
      <c r="K91" s="72">
        <v>0.916666666666667</v>
      </c>
      <c r="L91" s="73">
        <v>0.952380952380952</v>
      </c>
      <c r="M91" s="72">
        <v>0.956124314442413</v>
      </c>
      <c r="N91" s="74">
        <v>0.9</v>
      </c>
      <c r="O91" s="72">
        <v>0.976693372177713</v>
      </c>
      <c r="P91" s="72">
        <v>0.983379501385042</v>
      </c>
      <c r="Q91" s="72">
        <v>0.975621647976597</v>
      </c>
      <c r="R91" s="72">
        <v>0.967946843853821</v>
      </c>
      <c r="S91" s="74">
        <v>0.9</v>
      </c>
      <c r="T91" s="72">
        <v>0.846807477543093</v>
      </c>
      <c r="U91" s="72">
        <v>0.879879123646437</v>
      </c>
      <c r="V91" s="72">
        <v>0.892003900536324</v>
      </c>
      <c r="W91" s="72">
        <v>0.86309634551495</v>
      </c>
      <c r="X91" s="74">
        <v>0.92</v>
      </c>
      <c r="Y91" s="74">
        <v>0.899562123700055</v>
      </c>
      <c r="Z91" s="74">
        <v>0.941705529646902</v>
      </c>
      <c r="AA91" s="74">
        <v>0.949444245249193</v>
      </c>
      <c r="AB91" s="74">
        <v>0.940161951835104</v>
      </c>
      <c r="AC91" s="74">
        <v>0.92</v>
      </c>
      <c r="AD91" s="72">
        <v>0.993016759776536</v>
      </c>
      <c r="AE91" s="72">
        <v>0.970414201183432</v>
      </c>
      <c r="AF91" s="72">
        <v>0.992805755395683</v>
      </c>
      <c r="AG91" s="72">
        <v>0.990979782270607</v>
      </c>
      <c r="AH91" s="74">
        <v>0.92</v>
      </c>
      <c r="AI91" s="72">
        <v>0.93005014787193</v>
      </c>
      <c r="AJ91" s="72">
        <v>0.960877042132416</v>
      </c>
      <c r="AK91" s="72">
        <v>0.967498549042368</v>
      </c>
      <c r="AL91" s="72">
        <v>0.962218528033852</v>
      </c>
      <c r="AM91" s="71">
        <v>0.99</v>
      </c>
      <c r="AN91" s="76">
        <v>1</v>
      </c>
      <c r="AO91" s="76">
        <v>1</v>
      </c>
      <c r="AP91" s="76">
        <v>1</v>
      </c>
      <c r="AQ91" s="76">
        <v>1</v>
      </c>
      <c r="AR91" s="78">
        <v>0.105261498981944</v>
      </c>
      <c r="AS91" s="80">
        <v>0.25</v>
      </c>
      <c r="AT91" s="80">
        <v>0</v>
      </c>
      <c r="AU91" s="80">
        <v>0.130434782608696</v>
      </c>
      <c r="AV91" s="80">
        <v>0.0904255319148936</v>
      </c>
      <c r="AW91" s="36"/>
      <c r="AX91" s="34"/>
    </row>
    <row r="92" ht="14.5" spans="1:50">
      <c r="A92" s="32"/>
      <c r="B92" s="36"/>
      <c r="C92" s="91" t="s">
        <v>132</v>
      </c>
      <c r="D92" s="69" t="s">
        <v>11</v>
      </c>
      <c r="E92" s="92" t="s">
        <v>145</v>
      </c>
      <c r="F92" s="92" t="s">
        <v>145</v>
      </c>
      <c r="G92" s="92" t="s">
        <v>145</v>
      </c>
      <c r="H92" s="92" t="s">
        <v>145</v>
      </c>
      <c r="I92" s="71">
        <v>0.9</v>
      </c>
      <c r="J92" s="72">
        <v>0.961538461538462</v>
      </c>
      <c r="K92" s="72">
        <v>0.980769230769231</v>
      </c>
      <c r="L92" s="73">
        <v>0.946428571428571</v>
      </c>
      <c r="M92" s="72">
        <v>0.958071278825996</v>
      </c>
      <c r="N92" s="74">
        <v>0.9</v>
      </c>
      <c r="O92" s="72">
        <v>0.4</v>
      </c>
      <c r="P92" s="72">
        <v>0</v>
      </c>
      <c r="Q92" s="72">
        <v>0</v>
      </c>
      <c r="R92" s="72">
        <v>0.5</v>
      </c>
      <c r="S92" s="74">
        <v>0.9</v>
      </c>
      <c r="T92" s="72">
        <v>0</v>
      </c>
      <c r="U92" s="72">
        <v>0</v>
      </c>
      <c r="V92" s="72">
        <v>0</v>
      </c>
      <c r="W92" s="72">
        <v>0.333333333333333</v>
      </c>
      <c r="X92" s="74">
        <v>0.92</v>
      </c>
      <c r="Y92" s="74">
        <v>0</v>
      </c>
      <c r="Z92" s="74">
        <v>0</v>
      </c>
      <c r="AA92" s="74">
        <v>0</v>
      </c>
      <c r="AB92" s="74">
        <v>0</v>
      </c>
      <c r="AC92" s="74">
        <v>0.92</v>
      </c>
      <c r="AD92" s="72">
        <v>0.966887417218543</v>
      </c>
      <c r="AE92" s="72">
        <v>0.990566037735849</v>
      </c>
      <c r="AF92" s="72">
        <v>0.986577181208054</v>
      </c>
      <c r="AG92" s="72">
        <v>0.973404255319149</v>
      </c>
      <c r="AH92" s="74">
        <v>0.92</v>
      </c>
      <c r="AI92" s="72">
        <v>0.982761534561433</v>
      </c>
      <c r="AJ92" s="72">
        <v>0.987109004739336</v>
      </c>
      <c r="AK92" s="72">
        <v>0.991384051329056</v>
      </c>
      <c r="AL92" s="72">
        <v>0.989228423064301</v>
      </c>
      <c r="AM92" s="71">
        <v>0.99</v>
      </c>
      <c r="AN92" s="76">
        <v>1</v>
      </c>
      <c r="AO92" s="76">
        <v>1</v>
      </c>
      <c r="AP92" s="76">
        <v>1</v>
      </c>
      <c r="AQ92" s="76">
        <v>1</v>
      </c>
      <c r="AR92" s="78">
        <v>0.105261498981944</v>
      </c>
      <c r="AS92" s="80">
        <v>0</v>
      </c>
      <c r="AT92" s="80">
        <v>0</v>
      </c>
      <c r="AU92" s="80">
        <v>0</v>
      </c>
      <c r="AV92" s="80">
        <v>0.161290322580645</v>
      </c>
      <c r="AW92" s="36"/>
      <c r="AX92" s="34"/>
    </row>
    <row r="93" ht="14.5" spans="1:50">
      <c r="A93" s="32"/>
      <c r="B93" s="36"/>
      <c r="C93" s="91" t="s">
        <v>132</v>
      </c>
      <c r="D93" s="69" t="s">
        <v>11</v>
      </c>
      <c r="E93" s="92" t="s">
        <v>146</v>
      </c>
      <c r="F93" s="92" t="s">
        <v>146</v>
      </c>
      <c r="G93" s="92" t="s">
        <v>146</v>
      </c>
      <c r="H93" s="92" t="s">
        <v>146</v>
      </c>
      <c r="I93" s="71">
        <v>0.9</v>
      </c>
      <c r="J93" s="72">
        <v>0.947368421052632</v>
      </c>
      <c r="K93" s="72">
        <v>1</v>
      </c>
      <c r="L93" s="73">
        <v>0.95</v>
      </c>
      <c r="M93" s="72">
        <v>0.938342967244701</v>
      </c>
      <c r="N93" s="74">
        <v>0.9</v>
      </c>
      <c r="O93" s="72">
        <v>0.95252774352651</v>
      </c>
      <c r="P93" s="72">
        <v>0.983330280271112</v>
      </c>
      <c r="Q93" s="72">
        <v>0.950725513905683</v>
      </c>
      <c r="R93" s="72">
        <v>0.931219724257856</v>
      </c>
      <c r="S93" s="74">
        <v>0.9</v>
      </c>
      <c r="T93" s="72">
        <v>0.855733662145499</v>
      </c>
      <c r="U93" s="72">
        <v>0.915185931489284</v>
      </c>
      <c r="V93" s="72">
        <v>0.893591293833132</v>
      </c>
      <c r="W93" s="72">
        <v>0.876288659793814</v>
      </c>
      <c r="X93" s="74">
        <v>0.92</v>
      </c>
      <c r="Y93" s="74">
        <v>0.943120033458804</v>
      </c>
      <c r="Z93" s="74">
        <v>0.922854785478548</v>
      </c>
      <c r="AA93" s="74">
        <v>1</v>
      </c>
      <c r="AB93" s="74">
        <v>0.943230634209432</v>
      </c>
      <c r="AC93" s="74">
        <v>0.92</v>
      </c>
      <c r="AD93" s="72">
        <v>0.971537001897533</v>
      </c>
      <c r="AE93" s="72">
        <v>0.873655913978495</v>
      </c>
      <c r="AF93" s="72">
        <v>0.963917525773196</v>
      </c>
      <c r="AG93" s="72">
        <v>0.963869197347359</v>
      </c>
      <c r="AH93" s="74">
        <v>0.92</v>
      </c>
      <c r="AI93" s="72">
        <v>0.948782011242973</v>
      </c>
      <c r="AJ93" s="72">
        <v>0.964874461070251</v>
      </c>
      <c r="AK93" s="72">
        <v>0.983403741701871</v>
      </c>
      <c r="AL93" s="72">
        <v>0.967980249846862</v>
      </c>
      <c r="AM93" s="71">
        <v>0.99</v>
      </c>
      <c r="AN93" s="76">
        <v>1</v>
      </c>
      <c r="AO93" s="76">
        <v>1</v>
      </c>
      <c r="AP93" s="76">
        <v>1</v>
      </c>
      <c r="AQ93" s="76">
        <v>1</v>
      </c>
      <c r="AR93" s="78">
        <v>0.105261498981944</v>
      </c>
      <c r="AS93" s="80">
        <v>0</v>
      </c>
      <c r="AT93" s="80">
        <v>0</v>
      </c>
      <c r="AU93" s="80">
        <v>0.111111111111111</v>
      </c>
      <c r="AV93" s="80">
        <v>0.0777777777777778</v>
      </c>
      <c r="AW93" s="36"/>
      <c r="AX93" s="34"/>
    </row>
    <row r="94" ht="14.5" spans="1:50">
      <c r="A94" s="32"/>
      <c r="B94" s="36"/>
      <c r="C94" s="91" t="s">
        <v>132</v>
      </c>
      <c r="D94" s="69" t="s">
        <v>11</v>
      </c>
      <c r="E94" s="92" t="s">
        <v>147</v>
      </c>
      <c r="F94" s="92" t="s">
        <v>147</v>
      </c>
      <c r="G94" s="92" t="s">
        <v>147</v>
      </c>
      <c r="H94" s="92" t="s">
        <v>147</v>
      </c>
      <c r="I94" s="71">
        <v>0.9</v>
      </c>
      <c r="J94" s="72">
        <v>0.902777777777778</v>
      </c>
      <c r="K94" s="72">
        <v>0.894736842105263</v>
      </c>
      <c r="L94" s="73">
        <v>0.960526315789474</v>
      </c>
      <c r="M94" s="72">
        <v>0.949464012251149</v>
      </c>
      <c r="N94" s="74">
        <v>0.9</v>
      </c>
      <c r="O94" s="72">
        <v>0.916349809885932</v>
      </c>
      <c r="P94" s="72">
        <v>0.979597827682372</v>
      </c>
      <c r="Q94" s="72">
        <v>0.969164118246687</v>
      </c>
      <c r="R94" s="72">
        <v>0.932618068785721</v>
      </c>
      <c r="S94" s="74">
        <v>0.9</v>
      </c>
      <c r="T94" s="72">
        <v>0.904942965779468</v>
      </c>
      <c r="U94" s="72">
        <v>0.955819756348158</v>
      </c>
      <c r="V94" s="72">
        <v>0.918195718654434</v>
      </c>
      <c r="W94" s="72">
        <v>0.920961596310037</v>
      </c>
      <c r="X94" s="74">
        <v>0.92</v>
      </c>
      <c r="Y94" s="74">
        <v>0.928157894736842</v>
      </c>
      <c r="Z94" s="74">
        <v>0.941767661838605</v>
      </c>
      <c r="AA94" s="74">
        <v>0.5</v>
      </c>
      <c r="AB94" s="74">
        <v>0.949636343700888</v>
      </c>
      <c r="AC94" s="74">
        <v>0.92</v>
      </c>
      <c r="AD94" s="72">
        <v>0.980694980694981</v>
      </c>
      <c r="AE94" s="72">
        <v>0.963350785340314</v>
      </c>
      <c r="AF94" s="72">
        <v>0.862745098039216</v>
      </c>
      <c r="AG94" s="72">
        <v>0.963698241633579</v>
      </c>
      <c r="AH94" s="74">
        <v>0.92</v>
      </c>
      <c r="AI94" s="72">
        <v>0.952933832709114</v>
      </c>
      <c r="AJ94" s="72">
        <v>0.972848461086062</v>
      </c>
      <c r="AK94" s="72">
        <v>0.989307535641548</v>
      </c>
      <c r="AL94" s="72">
        <v>0.971797273389531</v>
      </c>
      <c r="AM94" s="71">
        <v>0.99</v>
      </c>
      <c r="AN94" s="76">
        <v>1</v>
      </c>
      <c r="AO94" s="76">
        <v>1</v>
      </c>
      <c r="AP94" s="76">
        <v>1</v>
      </c>
      <c r="AQ94" s="76">
        <v>1</v>
      </c>
      <c r="AR94" s="78">
        <v>0.105261498981944</v>
      </c>
      <c r="AS94" s="80">
        <v>0.0588235294117647</v>
      </c>
      <c r="AT94" s="80">
        <v>0</v>
      </c>
      <c r="AU94" s="80">
        <v>0</v>
      </c>
      <c r="AV94" s="80">
        <v>0.0839160839160839</v>
      </c>
      <c r="AW94" s="36"/>
      <c r="AX94" s="34"/>
    </row>
    <row r="95" ht="14.5" spans="1:50">
      <c r="A95" s="32"/>
      <c r="B95" s="36"/>
      <c r="C95" s="91" t="s">
        <v>132</v>
      </c>
      <c r="D95" s="69" t="s">
        <v>11</v>
      </c>
      <c r="E95" s="92" t="s">
        <v>148</v>
      </c>
      <c r="F95" s="92" t="s">
        <v>148</v>
      </c>
      <c r="G95" s="92" t="s">
        <v>148</v>
      </c>
      <c r="H95" s="92" t="s">
        <v>148</v>
      </c>
      <c r="I95" s="71">
        <v>0.9</v>
      </c>
      <c r="J95" s="72">
        <v>0.861538461538462</v>
      </c>
      <c r="K95" s="72">
        <v>0.911764705882353</v>
      </c>
      <c r="L95" s="73">
        <v>0.905405405405405</v>
      </c>
      <c r="M95" s="72">
        <v>0.924466338259442</v>
      </c>
      <c r="N95" s="74">
        <v>0.9</v>
      </c>
      <c r="O95" s="72">
        <v>0.964381921580365</v>
      </c>
      <c r="P95" s="72">
        <v>0.983842010771993</v>
      </c>
      <c r="Q95" s="72">
        <v>0.959334565619224</v>
      </c>
      <c r="R95" s="72">
        <v>0.962276819777201</v>
      </c>
      <c r="S95" s="74">
        <v>0.9</v>
      </c>
      <c r="T95" s="72">
        <v>0.881173301406764</v>
      </c>
      <c r="U95" s="72">
        <v>0.938599640933573</v>
      </c>
      <c r="V95" s="72">
        <v>0.925754775107825</v>
      </c>
      <c r="W95" s="72">
        <v>0.913139020296048</v>
      </c>
      <c r="X95" s="74">
        <v>0.92</v>
      </c>
      <c r="Y95" s="74">
        <v>0.93348775645268</v>
      </c>
      <c r="Z95" s="74">
        <v>0.94917212167886</v>
      </c>
      <c r="AA95" s="74">
        <v>1</v>
      </c>
      <c r="AB95" s="74">
        <v>0.950708853628767</v>
      </c>
      <c r="AC95" s="74">
        <v>0.92</v>
      </c>
      <c r="AD95" s="72">
        <v>0.99002169197397</v>
      </c>
      <c r="AE95" s="72">
        <v>0.987116836961351</v>
      </c>
      <c r="AF95" s="72">
        <v>0.971219256933543</v>
      </c>
      <c r="AG95" s="72">
        <v>0.985860998328159</v>
      </c>
      <c r="AH95" s="74">
        <v>0.92</v>
      </c>
      <c r="AI95" s="72">
        <v>0.953981466938904</v>
      </c>
      <c r="AJ95" s="72">
        <v>0.97820763956905</v>
      </c>
      <c r="AK95" s="72">
        <v>0.987167736021998</v>
      </c>
      <c r="AL95" s="72">
        <v>0.972686084142395</v>
      </c>
      <c r="AM95" s="71">
        <v>0.99</v>
      </c>
      <c r="AN95" s="76">
        <v>1</v>
      </c>
      <c r="AO95" s="76">
        <v>1</v>
      </c>
      <c r="AP95" s="76">
        <v>1</v>
      </c>
      <c r="AQ95" s="76">
        <v>1</v>
      </c>
      <c r="AR95" s="78">
        <v>0.105261498981944</v>
      </c>
      <c r="AS95" s="80">
        <v>0.2</v>
      </c>
      <c r="AT95" s="80">
        <v>0.272727272727273</v>
      </c>
      <c r="AU95" s="80">
        <v>0.105263157894737</v>
      </c>
      <c r="AV95" s="80">
        <v>0.106870229007634</v>
      </c>
      <c r="AW95" s="36"/>
      <c r="AX95" s="34"/>
    </row>
    <row r="96" ht="14.5" spans="1:50">
      <c r="A96" s="32"/>
      <c r="B96" s="36"/>
      <c r="C96" s="91" t="s">
        <v>132</v>
      </c>
      <c r="D96" s="69" t="s">
        <v>11</v>
      </c>
      <c r="E96" s="92" t="s">
        <v>149</v>
      </c>
      <c r="F96" s="92" t="s">
        <v>149</v>
      </c>
      <c r="G96" s="92" t="s">
        <v>149</v>
      </c>
      <c r="H96" s="92" t="s">
        <v>149</v>
      </c>
      <c r="I96" s="71">
        <v>0.9</v>
      </c>
      <c r="J96" s="72">
        <v>0.865671641791045</v>
      </c>
      <c r="K96" s="72">
        <v>0.930555555555556</v>
      </c>
      <c r="L96" s="73">
        <v>0.924050632911392</v>
      </c>
      <c r="M96" s="72">
        <v>0.919282511210762</v>
      </c>
      <c r="N96" s="74">
        <v>0.9</v>
      </c>
      <c r="O96" s="72">
        <v>0.861804222648752</v>
      </c>
      <c r="P96" s="72">
        <v>0.885704709234121</v>
      </c>
      <c r="Q96" s="72">
        <v>0.885222608146511</v>
      </c>
      <c r="R96" s="72">
        <v>0.866987288423629</v>
      </c>
      <c r="S96" s="74">
        <v>0.9</v>
      </c>
      <c r="T96" s="72">
        <v>0.813228997490034</v>
      </c>
      <c r="U96" s="72">
        <v>0.859896095190213</v>
      </c>
      <c r="V96" s="72">
        <v>0.882065045784654</v>
      </c>
      <c r="W96" s="72">
        <v>0.852695262048807</v>
      </c>
      <c r="X96" s="74">
        <v>0.92</v>
      </c>
      <c r="Y96" s="74">
        <v>0.899953029591357</v>
      </c>
      <c r="Z96" s="74">
        <v>0.926134969325153</v>
      </c>
      <c r="AA96" s="74">
        <v>0.928325839724941</v>
      </c>
      <c r="AB96" s="74">
        <v>0.924652230030116</v>
      </c>
      <c r="AC96" s="74">
        <v>0.92</v>
      </c>
      <c r="AD96" s="72">
        <v>0.996973136587212</v>
      </c>
      <c r="AE96" s="72">
        <v>0.987079407806191</v>
      </c>
      <c r="AF96" s="72">
        <v>0.97147204260175</v>
      </c>
      <c r="AG96" s="72">
        <v>0.953657174762702</v>
      </c>
      <c r="AH96" s="74">
        <v>0.92</v>
      </c>
      <c r="AI96" s="72">
        <v>0.925489485134155</v>
      </c>
      <c r="AJ96" s="72">
        <v>0.948720501842079</v>
      </c>
      <c r="AK96" s="72">
        <v>0.957797983791263</v>
      </c>
      <c r="AL96" s="72">
        <v>0.951333760136577</v>
      </c>
      <c r="AM96" s="71">
        <v>0.99</v>
      </c>
      <c r="AN96" s="76">
        <v>1</v>
      </c>
      <c r="AO96" s="76">
        <v>1</v>
      </c>
      <c r="AP96" s="76">
        <v>1</v>
      </c>
      <c r="AQ96" s="76">
        <v>1</v>
      </c>
      <c r="AR96" s="78">
        <v>0.105261498981944</v>
      </c>
      <c r="AS96" s="80">
        <v>0.125</v>
      </c>
      <c r="AT96" s="80">
        <v>0.0769230769230769</v>
      </c>
      <c r="AU96" s="80">
        <v>0.111111111111111</v>
      </c>
      <c r="AV96" s="80">
        <v>0.0717703349282297</v>
      </c>
      <c r="AW96" s="36"/>
      <c r="AX96" s="34"/>
    </row>
    <row r="97" ht="14.5" spans="1:50">
      <c r="A97" s="32"/>
      <c r="B97" s="36"/>
      <c r="C97" s="91" t="s">
        <v>132</v>
      </c>
      <c r="D97" s="69" t="s">
        <v>11</v>
      </c>
      <c r="E97" s="92" t="s">
        <v>150</v>
      </c>
      <c r="F97" s="92" t="s">
        <v>150</v>
      </c>
      <c r="G97" s="92" t="s">
        <v>150</v>
      </c>
      <c r="H97" s="92" t="s">
        <v>150</v>
      </c>
      <c r="I97" s="71">
        <v>0.9</v>
      </c>
      <c r="J97" s="72">
        <v>0.8625</v>
      </c>
      <c r="K97" s="72">
        <v>0.933333333333333</v>
      </c>
      <c r="L97" s="73">
        <v>0.97752808988764</v>
      </c>
      <c r="M97" s="72">
        <v>0.884864165588616</v>
      </c>
      <c r="N97" s="74">
        <v>0.9</v>
      </c>
      <c r="O97" s="72">
        <v>0.970629809957594</v>
      </c>
      <c r="P97" s="72">
        <v>0.910940170940171</v>
      </c>
      <c r="Q97" s="72">
        <v>0.921331316187595</v>
      </c>
      <c r="R97" s="72">
        <v>0.89750921441912</v>
      </c>
      <c r="S97" s="74">
        <v>0.9</v>
      </c>
      <c r="T97" s="72">
        <v>0.794408669703157</v>
      </c>
      <c r="U97" s="72">
        <v>0.874358974358974</v>
      </c>
      <c r="V97" s="72">
        <v>0.875189107413011</v>
      </c>
      <c r="W97" s="72">
        <v>0.82675239244335</v>
      </c>
      <c r="X97" s="74">
        <v>0.92</v>
      </c>
      <c r="Y97" s="74">
        <v>0.844852411807055</v>
      </c>
      <c r="Z97" s="74">
        <v>0.912579558217896</v>
      </c>
      <c r="AA97" s="74">
        <v>0.934617882658584</v>
      </c>
      <c r="AB97" s="74">
        <v>0.915423803047417</v>
      </c>
      <c r="AC97" s="74">
        <v>0.92</v>
      </c>
      <c r="AD97" s="72">
        <v>0.998302783435166</v>
      </c>
      <c r="AE97" s="72">
        <v>0.908969607116383</v>
      </c>
      <c r="AF97" s="72">
        <v>0.978046289993193</v>
      </c>
      <c r="AG97" s="72">
        <v>0.933179812679</v>
      </c>
      <c r="AH97" s="74">
        <v>0.92</v>
      </c>
      <c r="AI97" s="72">
        <v>0.906063910089743</v>
      </c>
      <c r="AJ97" s="72">
        <v>0.947029924073247</v>
      </c>
      <c r="AK97" s="72">
        <v>0.967773524436927</v>
      </c>
      <c r="AL97" s="72">
        <v>0.95068097598537</v>
      </c>
      <c r="AM97" s="71">
        <v>0.99</v>
      </c>
      <c r="AN97" s="76">
        <v>1</v>
      </c>
      <c r="AO97" s="76">
        <v>1</v>
      </c>
      <c r="AP97" s="76">
        <v>1</v>
      </c>
      <c r="AQ97" s="76">
        <v>1</v>
      </c>
      <c r="AR97" s="78">
        <v>0.105261498981944</v>
      </c>
      <c r="AS97" s="80">
        <v>0</v>
      </c>
      <c r="AT97" s="80">
        <v>0.1875</v>
      </c>
      <c r="AU97" s="80">
        <v>0.152173913043478</v>
      </c>
      <c r="AV97" s="80">
        <v>0.0766961651917404</v>
      </c>
      <c r="AW97" s="36"/>
      <c r="AX97" s="34"/>
    </row>
    <row r="98" ht="14.5" spans="1:50">
      <c r="A98" s="32"/>
      <c r="B98" s="36"/>
      <c r="C98" s="91" t="s">
        <v>132</v>
      </c>
      <c r="D98" s="69" t="s">
        <v>11</v>
      </c>
      <c r="E98" s="92" t="s">
        <v>151</v>
      </c>
      <c r="F98" s="92" t="s">
        <v>151</v>
      </c>
      <c r="G98" s="92" t="s">
        <v>151</v>
      </c>
      <c r="H98" s="92" t="s">
        <v>151</v>
      </c>
      <c r="I98" s="71">
        <v>0.9</v>
      </c>
      <c r="J98" s="72">
        <v>0.911764705882353</v>
      </c>
      <c r="K98" s="72">
        <v>0.973684210526316</v>
      </c>
      <c r="L98" s="73">
        <v>0.948717948717949</v>
      </c>
      <c r="M98" s="72">
        <v>0.930167597765363</v>
      </c>
      <c r="N98" s="74">
        <v>0.9</v>
      </c>
      <c r="O98" s="72">
        <v>0.795616113744076</v>
      </c>
      <c r="P98" s="72">
        <v>0.9296646043634</v>
      </c>
      <c r="Q98" s="72">
        <v>0.864136732329085</v>
      </c>
      <c r="R98" s="72">
        <v>0.88443547353582</v>
      </c>
      <c r="S98" s="74">
        <v>0.9</v>
      </c>
      <c r="T98" s="72">
        <v>0.672097156398104</v>
      </c>
      <c r="U98" s="72">
        <v>0.81048518397916</v>
      </c>
      <c r="V98" s="72">
        <v>0.823870220162225</v>
      </c>
      <c r="W98" s="72">
        <v>0.785851595540177</v>
      </c>
      <c r="X98" s="74">
        <v>0.92</v>
      </c>
      <c r="Y98" s="74">
        <v>0.873916811091854</v>
      </c>
      <c r="Z98" s="74">
        <v>0.922934933087217</v>
      </c>
      <c r="AA98" s="74">
        <v>0.941479400749064</v>
      </c>
      <c r="AB98" s="74">
        <v>0.9368534815501</v>
      </c>
      <c r="AC98" s="74">
        <v>0.92</v>
      </c>
      <c r="AD98" s="72">
        <v>0.983606557377049</v>
      </c>
      <c r="AE98" s="72">
        <v>0.996114996114996</v>
      </c>
      <c r="AF98" s="72">
        <v>0.994688922610015</v>
      </c>
      <c r="AG98" s="72">
        <v>0.987327406846983</v>
      </c>
      <c r="AH98" s="74">
        <v>0.92</v>
      </c>
      <c r="AI98" s="72">
        <v>0.904292751583392</v>
      </c>
      <c r="AJ98" s="72">
        <v>0.94807178312333</v>
      </c>
      <c r="AK98" s="72">
        <v>0.962777380100215</v>
      </c>
      <c r="AL98" s="72">
        <v>0.958593318063344</v>
      </c>
      <c r="AM98" s="71">
        <v>0.99</v>
      </c>
      <c r="AN98" s="76">
        <v>1</v>
      </c>
      <c r="AO98" s="76">
        <v>1</v>
      </c>
      <c r="AP98" s="76">
        <v>1</v>
      </c>
      <c r="AQ98" s="76">
        <v>1</v>
      </c>
      <c r="AR98" s="78">
        <v>0.105261498981944</v>
      </c>
      <c r="AS98" s="80">
        <v>0.25</v>
      </c>
      <c r="AT98" s="80">
        <v>0.0384615384615385</v>
      </c>
      <c r="AU98" s="80">
        <v>0</v>
      </c>
      <c r="AV98" s="80">
        <v>0.0776255707762557</v>
      </c>
      <c r="AW98" s="36"/>
      <c r="AX98" s="34"/>
    </row>
    <row r="99" ht="14.5" spans="1:50">
      <c r="A99" s="32"/>
      <c r="B99" s="36"/>
      <c r="C99" s="91" t="s">
        <v>132</v>
      </c>
      <c r="D99" s="69" t="s">
        <v>11</v>
      </c>
      <c r="E99" s="92" t="s">
        <v>152</v>
      </c>
      <c r="F99" s="92" t="s">
        <v>152</v>
      </c>
      <c r="G99" s="92" t="s">
        <v>152</v>
      </c>
      <c r="H99" s="92" t="s">
        <v>152</v>
      </c>
      <c r="I99" s="71">
        <v>0.9</v>
      </c>
      <c r="J99" s="72">
        <v>0.818181818181818</v>
      </c>
      <c r="K99" s="72">
        <v>0.911111111111111</v>
      </c>
      <c r="L99" s="73">
        <v>0.94</v>
      </c>
      <c r="M99" s="72">
        <v>0.908653846153846</v>
      </c>
      <c r="N99" s="74">
        <v>0.9</v>
      </c>
      <c r="O99" s="72">
        <v>0.849006301502666</v>
      </c>
      <c r="P99" s="72">
        <v>0.956578263130525</v>
      </c>
      <c r="Q99" s="72">
        <v>0.928781925343811</v>
      </c>
      <c r="R99" s="72">
        <v>0.897790281609352</v>
      </c>
      <c r="S99" s="74">
        <v>0.9</v>
      </c>
      <c r="T99" s="72">
        <v>0.819437712069801</v>
      </c>
      <c r="U99" s="72">
        <v>0.860374414976599</v>
      </c>
      <c r="V99" s="72">
        <v>0.871070726915521</v>
      </c>
      <c r="W99" s="72">
        <v>0.845592854606539</v>
      </c>
      <c r="X99" s="74">
        <v>0.92</v>
      </c>
      <c r="Y99" s="74">
        <v>0.861646884272997</v>
      </c>
      <c r="Z99" s="74">
        <v>0.938367346938776</v>
      </c>
      <c r="AA99" s="74">
        <v>0.934543918918919</v>
      </c>
      <c r="AB99" s="74">
        <v>0.931212420353585</v>
      </c>
      <c r="AC99" s="74">
        <v>0.92</v>
      </c>
      <c r="AD99" s="72">
        <v>0.996725512528474</v>
      </c>
      <c r="AE99" s="72">
        <v>0.958989381179055</v>
      </c>
      <c r="AF99" s="72">
        <v>0.993308199811499</v>
      </c>
      <c r="AG99" s="72">
        <v>0.986211930197067</v>
      </c>
      <c r="AH99" s="74">
        <v>0.92</v>
      </c>
      <c r="AI99" s="72">
        <v>0.908984317748791</v>
      </c>
      <c r="AJ99" s="72">
        <v>0.961098761511591</v>
      </c>
      <c r="AK99" s="72">
        <v>0.966149068322981</v>
      </c>
      <c r="AL99" s="72">
        <v>0.958411135630623</v>
      </c>
      <c r="AM99" s="71">
        <v>0.99</v>
      </c>
      <c r="AN99" s="76">
        <v>1</v>
      </c>
      <c r="AO99" s="76">
        <v>1</v>
      </c>
      <c r="AP99" s="76">
        <v>1</v>
      </c>
      <c r="AQ99" s="76">
        <v>1</v>
      </c>
      <c r="AR99" s="78">
        <v>0.105261498981944</v>
      </c>
      <c r="AS99" s="80">
        <v>0.15</v>
      </c>
      <c r="AT99" s="80">
        <v>0.117647058823529</v>
      </c>
      <c r="AU99" s="80">
        <v>0.12</v>
      </c>
      <c r="AV99" s="80">
        <v>0.12037037037037</v>
      </c>
      <c r="AW99" s="36"/>
      <c r="AX99" s="34"/>
    </row>
    <row r="100" ht="14.5" spans="1:50">
      <c r="A100" s="32"/>
      <c r="B100" s="36"/>
      <c r="C100" s="91" t="s">
        <v>132</v>
      </c>
      <c r="D100" s="69" t="s">
        <v>11</v>
      </c>
      <c r="E100" s="92" t="s">
        <v>153</v>
      </c>
      <c r="F100" s="92" t="s">
        <v>153</v>
      </c>
      <c r="G100" s="92" t="s">
        <v>153</v>
      </c>
      <c r="H100" s="92" t="s">
        <v>153</v>
      </c>
      <c r="I100" s="71">
        <v>0.9</v>
      </c>
      <c r="J100" s="72">
        <v>1</v>
      </c>
      <c r="K100" s="72">
        <v>1</v>
      </c>
      <c r="L100" s="73">
        <v>0.942857142857143</v>
      </c>
      <c r="M100" s="72">
        <v>0.983922829581994</v>
      </c>
      <c r="N100" s="74">
        <v>0.9</v>
      </c>
      <c r="O100" s="72">
        <v>0.932704144439885</v>
      </c>
      <c r="P100" s="72">
        <v>0.963725929243171</v>
      </c>
      <c r="Q100" s="72">
        <v>0.960379694593479</v>
      </c>
      <c r="R100" s="72">
        <v>0.954484973617802</v>
      </c>
      <c r="S100" s="74">
        <v>0.9</v>
      </c>
      <c r="T100" s="72">
        <v>0.893311448502257</v>
      </c>
      <c r="U100" s="72">
        <v>0.920734437975817</v>
      </c>
      <c r="V100" s="72">
        <v>0.92777548493603</v>
      </c>
      <c r="W100" s="72">
        <v>0.923331039229181</v>
      </c>
      <c r="X100" s="74">
        <v>0.92</v>
      </c>
      <c r="Y100" s="74">
        <v>0.919820397690827</v>
      </c>
      <c r="Z100" s="74">
        <v>0.962652929813265</v>
      </c>
      <c r="AA100" s="74">
        <v>0.974193548387097</v>
      </c>
      <c r="AB100" s="74">
        <v>0.961952087814285</v>
      </c>
      <c r="AC100" s="74">
        <v>0.92</v>
      </c>
      <c r="AD100" s="72">
        <v>0.996425379803396</v>
      </c>
      <c r="AE100" s="72">
        <v>0.990815154994259</v>
      </c>
      <c r="AF100" s="72">
        <v>0.990459670424978</v>
      </c>
      <c r="AG100" s="72">
        <v>0.990765171503958</v>
      </c>
      <c r="AH100" s="74">
        <v>0.92</v>
      </c>
      <c r="AI100" s="72">
        <v>0.94019019019019</v>
      </c>
      <c r="AJ100" s="72">
        <v>0.975435816164818</v>
      </c>
      <c r="AK100" s="72">
        <v>0.982713462545835</v>
      </c>
      <c r="AL100" s="72">
        <v>0.97406389069985</v>
      </c>
      <c r="AM100" s="71">
        <v>0.99</v>
      </c>
      <c r="AN100" s="76">
        <v>1</v>
      </c>
      <c r="AO100" s="76">
        <v>1</v>
      </c>
      <c r="AP100" s="76">
        <v>1</v>
      </c>
      <c r="AQ100" s="76">
        <v>1</v>
      </c>
      <c r="AR100" s="78">
        <v>0.105261498981944</v>
      </c>
      <c r="AS100" s="80">
        <v>0.0714285714285714</v>
      </c>
      <c r="AT100" s="80">
        <v>0.0833333333333333</v>
      </c>
      <c r="AU100" s="80">
        <v>0.0769230769230769</v>
      </c>
      <c r="AV100" s="80">
        <v>0.0526315789473684</v>
      </c>
      <c r="AW100" s="36"/>
      <c r="AX100" s="34"/>
    </row>
    <row r="101" ht="14.5" spans="1:50">
      <c r="A101" s="32"/>
      <c r="B101" s="36"/>
      <c r="C101" s="91" t="s">
        <v>132</v>
      </c>
      <c r="D101" s="69" t="s">
        <v>11</v>
      </c>
      <c r="E101" s="92" t="s">
        <v>154</v>
      </c>
      <c r="F101" s="92" t="s">
        <v>154</v>
      </c>
      <c r="G101" s="92" t="s">
        <v>154</v>
      </c>
      <c r="H101" s="92" t="s">
        <v>154</v>
      </c>
      <c r="I101" s="71">
        <v>0.9</v>
      </c>
      <c r="J101" s="72">
        <v>0.929824561403509</v>
      </c>
      <c r="K101" s="72">
        <v>0.933333333333333</v>
      </c>
      <c r="L101" s="73">
        <v>0.939393939393939</v>
      </c>
      <c r="M101" s="72">
        <v>0.921052631578947</v>
      </c>
      <c r="N101" s="74">
        <v>0.9</v>
      </c>
      <c r="O101" s="72">
        <v>0.922019334049409</v>
      </c>
      <c r="P101" s="72">
        <v>0.952113364280479</v>
      </c>
      <c r="Q101" s="72">
        <v>0.951176983435048</v>
      </c>
      <c r="R101" s="72">
        <v>0.955471260479838</v>
      </c>
      <c r="S101" s="74">
        <v>0.9</v>
      </c>
      <c r="T101" s="72">
        <v>0.857357679914071</v>
      </c>
      <c r="U101" s="72">
        <v>0.904715367700953</v>
      </c>
      <c r="V101" s="72">
        <v>0.907367044463819</v>
      </c>
      <c r="W101" s="72">
        <v>0.902413684795477</v>
      </c>
      <c r="X101" s="74">
        <v>0.92</v>
      </c>
      <c r="Y101" s="74">
        <v>0.895872420262664</v>
      </c>
      <c r="Z101" s="74">
        <v>0.948976049982645</v>
      </c>
      <c r="AA101" s="74">
        <v>0.956207021353601</v>
      </c>
      <c r="AB101" s="74">
        <v>0.947205449760025</v>
      </c>
      <c r="AC101" s="74">
        <v>0.92</v>
      </c>
      <c r="AD101" s="72">
        <v>0.998062015503876</v>
      </c>
      <c r="AE101" s="72">
        <v>0.983954451345756</v>
      </c>
      <c r="AF101" s="72">
        <v>0.986992715920916</v>
      </c>
      <c r="AG101" s="72">
        <v>0.989508850076193</v>
      </c>
      <c r="AH101" s="74">
        <v>0.92</v>
      </c>
      <c r="AI101" s="72">
        <v>0.918757162867694</v>
      </c>
      <c r="AJ101" s="72">
        <v>0.963589449541284</v>
      </c>
      <c r="AK101" s="72">
        <v>0.972796517954298</v>
      </c>
      <c r="AL101" s="72">
        <v>0.965743949783576</v>
      </c>
      <c r="AM101" s="71">
        <v>0.99</v>
      </c>
      <c r="AN101" s="76">
        <v>1</v>
      </c>
      <c r="AO101" s="76">
        <v>1</v>
      </c>
      <c r="AP101" s="76">
        <v>1</v>
      </c>
      <c r="AQ101" s="76">
        <v>1</v>
      </c>
      <c r="AR101" s="78">
        <v>0.105261498981944</v>
      </c>
      <c r="AS101" s="80">
        <v>0.037037037037037</v>
      </c>
      <c r="AT101" s="80">
        <v>0.130434782608696</v>
      </c>
      <c r="AU101" s="80">
        <v>0.103448275862069</v>
      </c>
      <c r="AV101" s="80">
        <v>0.118577075098814</v>
      </c>
      <c r="AW101" s="36"/>
      <c r="AX101" s="34"/>
    </row>
    <row r="102" ht="14.5" spans="1:50">
      <c r="A102" s="32"/>
      <c r="B102" s="36"/>
      <c r="C102" s="91" t="s">
        <v>132</v>
      </c>
      <c r="D102" s="69" t="s">
        <v>11</v>
      </c>
      <c r="E102" s="92" t="s">
        <v>155</v>
      </c>
      <c r="F102" s="92" t="s">
        <v>155</v>
      </c>
      <c r="G102" s="92" t="s">
        <v>155</v>
      </c>
      <c r="H102" s="92" t="s">
        <v>155</v>
      </c>
      <c r="I102" s="71">
        <v>0.9</v>
      </c>
      <c r="J102" s="72">
        <v>0</v>
      </c>
      <c r="K102" s="72">
        <v>0</v>
      </c>
      <c r="L102" s="73">
        <v>0</v>
      </c>
      <c r="M102" s="72">
        <v>0</v>
      </c>
      <c r="N102" s="74">
        <v>0.9</v>
      </c>
      <c r="O102" s="72">
        <v>0</v>
      </c>
      <c r="P102" s="72">
        <v>0</v>
      </c>
      <c r="Q102" s="72">
        <v>0</v>
      </c>
      <c r="R102" s="72">
        <v>0.637090909090909</v>
      </c>
      <c r="S102" s="74">
        <v>0.9</v>
      </c>
      <c r="T102" s="72">
        <v>0.962732919254658</v>
      </c>
      <c r="U102" s="72">
        <v>0.969135802469136</v>
      </c>
      <c r="V102" s="72">
        <v>0.956896551724138</v>
      </c>
      <c r="W102" s="72">
        <v>0.970181818181818</v>
      </c>
      <c r="X102" s="74">
        <v>0.92</v>
      </c>
      <c r="Y102" s="74">
        <v>1</v>
      </c>
      <c r="Z102" s="74">
        <v>1</v>
      </c>
      <c r="AA102" s="74">
        <v>1</v>
      </c>
      <c r="AB102" s="74">
        <v>0.96579476861167</v>
      </c>
      <c r="AC102" s="74">
        <v>0.92</v>
      </c>
      <c r="AD102" s="72">
        <v>0</v>
      </c>
      <c r="AE102" s="72">
        <v>0</v>
      </c>
      <c r="AF102" s="72">
        <v>0</v>
      </c>
      <c r="AG102" s="72">
        <v>0.731947483588621</v>
      </c>
      <c r="AH102" s="74">
        <v>0.92</v>
      </c>
      <c r="AI102" s="72">
        <v>0.948356807511737</v>
      </c>
      <c r="AJ102" s="72">
        <v>0.969026548672566</v>
      </c>
      <c r="AK102" s="72">
        <v>0.962962962962963</v>
      </c>
      <c r="AL102" s="72">
        <v>0.961355214399153</v>
      </c>
      <c r="AM102" s="71">
        <v>0.99</v>
      </c>
      <c r="AN102" s="76">
        <v>0</v>
      </c>
      <c r="AO102" s="76">
        <v>0</v>
      </c>
      <c r="AP102" s="76">
        <v>0</v>
      </c>
      <c r="AQ102" s="76">
        <v>1</v>
      </c>
      <c r="AR102" s="78">
        <v>0.105261498981944</v>
      </c>
      <c r="AS102" s="80">
        <v>0</v>
      </c>
      <c r="AT102" s="80">
        <v>0</v>
      </c>
      <c r="AU102" s="80">
        <v>0</v>
      </c>
      <c r="AV102" s="80">
        <v>0</v>
      </c>
      <c r="AW102" s="36"/>
      <c r="AX102" s="34"/>
    </row>
    <row r="103" ht="14.5" spans="1:50">
      <c r="A103" s="32"/>
      <c r="B103" s="36"/>
      <c r="C103" s="91" t="s">
        <v>132</v>
      </c>
      <c r="D103" s="69" t="s">
        <v>11</v>
      </c>
      <c r="E103" s="92" t="s">
        <v>156</v>
      </c>
      <c r="F103" s="92" t="s">
        <v>156</v>
      </c>
      <c r="G103" s="92" t="s">
        <v>156</v>
      </c>
      <c r="H103" s="92" t="s">
        <v>156</v>
      </c>
      <c r="I103" s="71">
        <v>0.9</v>
      </c>
      <c r="J103" s="72">
        <v>0.939024390243902</v>
      </c>
      <c r="K103" s="72">
        <v>0.963855421686747</v>
      </c>
      <c r="L103" s="73">
        <v>0.96551724137931</v>
      </c>
      <c r="M103" s="72">
        <v>0.94408322496749</v>
      </c>
      <c r="N103" s="74">
        <v>0.9</v>
      </c>
      <c r="O103" s="72">
        <v>0.887010777084515</v>
      </c>
      <c r="P103" s="72">
        <v>0.929344445826595</v>
      </c>
      <c r="Q103" s="72">
        <v>0.923237277743716</v>
      </c>
      <c r="R103" s="72">
        <v>0.919950804769798</v>
      </c>
      <c r="S103" s="74">
        <v>0.9</v>
      </c>
      <c r="T103" s="72">
        <v>0.851616562677255</v>
      </c>
      <c r="U103" s="72">
        <v>0.894389849483767</v>
      </c>
      <c r="V103" s="72">
        <v>0.896750459840589</v>
      </c>
      <c r="W103" s="72">
        <v>0.878669589861505</v>
      </c>
      <c r="X103" s="74">
        <v>0.92</v>
      </c>
      <c r="Y103" s="74">
        <v>0.871920088790233</v>
      </c>
      <c r="Z103" s="74">
        <v>0.924422516259251</v>
      </c>
      <c r="AA103" s="74">
        <v>0.935336538461538</v>
      </c>
      <c r="AB103" s="74">
        <v>0.914709299388796</v>
      </c>
      <c r="AC103" s="74">
        <v>0.92</v>
      </c>
      <c r="AD103" s="72">
        <v>0.976817360589513</v>
      </c>
      <c r="AE103" s="72">
        <v>0.809154052058335</v>
      </c>
      <c r="AF103" s="72">
        <v>0.824263332641627</v>
      </c>
      <c r="AG103" s="72">
        <v>0.879464409687403</v>
      </c>
      <c r="AH103" s="74">
        <v>0.92</v>
      </c>
      <c r="AI103" s="72">
        <v>0.924600495160927</v>
      </c>
      <c r="AJ103" s="72">
        <v>0.949396434567112</v>
      </c>
      <c r="AK103" s="72">
        <v>0.966566582812627</v>
      </c>
      <c r="AL103" s="72">
        <v>0.949966813386432</v>
      </c>
      <c r="AM103" s="71">
        <v>0.99</v>
      </c>
      <c r="AN103" s="76">
        <v>1</v>
      </c>
      <c r="AO103" s="76">
        <v>1</v>
      </c>
      <c r="AP103" s="76">
        <v>1</v>
      </c>
      <c r="AQ103" s="76">
        <v>1</v>
      </c>
      <c r="AR103" s="78">
        <v>0.105261498981944</v>
      </c>
      <c r="AS103" s="80">
        <v>0.0384615384615385</v>
      </c>
      <c r="AT103" s="80">
        <v>0.0666666666666667</v>
      </c>
      <c r="AU103" s="80">
        <v>0.0666666666666667</v>
      </c>
      <c r="AV103" s="80">
        <v>0.0795454545454545</v>
      </c>
      <c r="AW103" s="36"/>
      <c r="AX103" s="34"/>
    </row>
    <row r="104" ht="14.5" spans="1:50">
      <c r="A104" s="32"/>
      <c r="B104" s="36"/>
      <c r="C104" s="91" t="s">
        <v>132</v>
      </c>
      <c r="D104" s="69" t="s">
        <v>11</v>
      </c>
      <c r="E104" s="92" t="s">
        <v>157</v>
      </c>
      <c r="F104" s="92" t="s">
        <v>157</v>
      </c>
      <c r="G104" s="92" t="s">
        <v>157</v>
      </c>
      <c r="H104" s="92" t="s">
        <v>157</v>
      </c>
      <c r="I104" s="71">
        <v>0.9</v>
      </c>
      <c r="J104" s="72">
        <v>0</v>
      </c>
      <c r="K104" s="72">
        <v>0</v>
      </c>
      <c r="L104" s="73">
        <v>0</v>
      </c>
      <c r="M104" s="72">
        <v>0</v>
      </c>
      <c r="N104" s="74">
        <v>0.9</v>
      </c>
      <c r="O104" s="72">
        <v>0</v>
      </c>
      <c r="P104" s="72">
        <v>0</v>
      </c>
      <c r="Q104" s="72">
        <v>0</v>
      </c>
      <c r="R104" s="72">
        <v>0</v>
      </c>
      <c r="S104" s="74">
        <v>0.9</v>
      </c>
      <c r="T104" s="72">
        <v>0</v>
      </c>
      <c r="U104" s="72">
        <v>0</v>
      </c>
      <c r="V104" s="72">
        <v>0</v>
      </c>
      <c r="W104" s="72">
        <v>0</v>
      </c>
      <c r="X104" s="74">
        <v>0.92</v>
      </c>
      <c r="Y104" s="74">
        <v>0</v>
      </c>
      <c r="Z104" s="74">
        <v>0</v>
      </c>
      <c r="AA104" s="74">
        <v>0</v>
      </c>
      <c r="AB104" s="74">
        <v>0</v>
      </c>
      <c r="AC104" s="74">
        <v>0.92</v>
      </c>
      <c r="AD104" s="72">
        <v>0.98876404494382</v>
      </c>
      <c r="AE104" s="72">
        <v>0.0512273212379936</v>
      </c>
      <c r="AF104" s="72">
        <v>0.882219705549264</v>
      </c>
      <c r="AG104" s="72">
        <v>0.674850128461319</v>
      </c>
      <c r="AH104" s="74">
        <v>0.92</v>
      </c>
      <c r="AI104" s="72">
        <v>0</v>
      </c>
      <c r="AJ104" s="72">
        <v>0</v>
      </c>
      <c r="AK104" s="72">
        <v>0</v>
      </c>
      <c r="AL104" s="72">
        <v>0</v>
      </c>
      <c r="AM104" s="71">
        <v>0.99</v>
      </c>
      <c r="AN104" s="76">
        <v>0</v>
      </c>
      <c r="AO104" s="76">
        <v>1</v>
      </c>
      <c r="AP104" s="76">
        <v>0</v>
      </c>
      <c r="AQ104" s="76">
        <v>1</v>
      </c>
      <c r="AR104" s="78">
        <v>0.105261498981944</v>
      </c>
      <c r="AS104" s="80">
        <v>0</v>
      </c>
      <c r="AT104" s="80">
        <v>0</v>
      </c>
      <c r="AU104" s="80">
        <v>0</v>
      </c>
      <c r="AV104" s="80">
        <v>0</v>
      </c>
      <c r="AW104" s="36"/>
      <c r="AX104" s="34"/>
    </row>
    <row r="105" ht="14.5" spans="1:50">
      <c r="A105" s="32"/>
      <c r="B105" s="36"/>
      <c r="C105" s="91" t="s">
        <v>132</v>
      </c>
      <c r="D105" s="69" t="s">
        <v>11</v>
      </c>
      <c r="E105" s="92" t="s">
        <v>158</v>
      </c>
      <c r="F105" s="92" t="s">
        <v>158</v>
      </c>
      <c r="G105" s="92" t="s">
        <v>158</v>
      </c>
      <c r="H105" s="92" t="s">
        <v>158</v>
      </c>
      <c r="I105" s="71">
        <v>0.9</v>
      </c>
      <c r="J105" s="72">
        <v>0.91358024691358</v>
      </c>
      <c r="K105" s="72">
        <v>0.909090909090909</v>
      </c>
      <c r="L105" s="73">
        <v>0.898876404494382</v>
      </c>
      <c r="M105" s="72">
        <v>0.913154533844189</v>
      </c>
      <c r="N105" s="74">
        <v>0.9</v>
      </c>
      <c r="O105" s="72">
        <v>0.935539426743757</v>
      </c>
      <c r="P105" s="72">
        <v>0.954012506513809</v>
      </c>
      <c r="Q105" s="72">
        <v>0.948218829516539</v>
      </c>
      <c r="R105" s="72">
        <v>0.952486933547757</v>
      </c>
      <c r="S105" s="74">
        <v>0.9</v>
      </c>
      <c r="T105" s="72">
        <v>0.858900233731086</v>
      </c>
      <c r="U105" s="72">
        <v>0.900468994267848</v>
      </c>
      <c r="V105" s="72">
        <v>0.869592875318066</v>
      </c>
      <c r="W105" s="72">
        <v>0.863333524783183</v>
      </c>
      <c r="X105" s="74">
        <v>0.92</v>
      </c>
      <c r="Y105" s="74">
        <v>0.890092879256966</v>
      </c>
      <c r="Z105" s="74">
        <v>0.933762211103169</v>
      </c>
      <c r="AA105" s="74">
        <v>0.93934721151375</v>
      </c>
      <c r="AB105" s="74">
        <v>0.925058735583084</v>
      </c>
      <c r="AC105" s="74">
        <v>0.92</v>
      </c>
      <c r="AD105" s="72">
        <v>0.997157179152647</v>
      </c>
      <c r="AE105" s="72">
        <v>0.972525496170285</v>
      </c>
      <c r="AF105" s="72">
        <v>0.96147306373452</v>
      </c>
      <c r="AG105" s="72">
        <v>0.978492000987387</v>
      </c>
      <c r="AH105" s="74">
        <v>0.92</v>
      </c>
      <c r="AI105" s="72">
        <v>0.931211498973306</v>
      </c>
      <c r="AJ105" s="72">
        <v>0.963050248295598</v>
      </c>
      <c r="AK105" s="72">
        <v>0.962670068027211</v>
      </c>
      <c r="AL105" s="72">
        <v>0.956107617963692</v>
      </c>
      <c r="AM105" s="71">
        <v>0.99</v>
      </c>
      <c r="AN105" s="76">
        <v>1</v>
      </c>
      <c r="AO105" s="76">
        <v>1</v>
      </c>
      <c r="AP105" s="76">
        <v>1</v>
      </c>
      <c r="AQ105" s="76">
        <v>1</v>
      </c>
      <c r="AR105" s="78">
        <v>0.105261498981944</v>
      </c>
      <c r="AS105" s="80">
        <v>0.0465116279069767</v>
      </c>
      <c r="AT105" s="80">
        <v>0</v>
      </c>
      <c r="AU105" s="80">
        <v>0.136363636363636</v>
      </c>
      <c r="AV105" s="80">
        <v>0.0460122699386503</v>
      </c>
      <c r="AW105" s="36"/>
      <c r="AX105" s="34"/>
    </row>
    <row r="106" ht="14.5" spans="1:50">
      <c r="A106" s="32"/>
      <c r="B106" s="36"/>
      <c r="C106" s="91" t="s">
        <v>132</v>
      </c>
      <c r="D106" s="69" t="s">
        <v>11</v>
      </c>
      <c r="E106" s="92" t="s">
        <v>159</v>
      </c>
      <c r="F106" s="92" t="s">
        <v>159</v>
      </c>
      <c r="G106" s="92" t="s">
        <v>159</v>
      </c>
      <c r="H106" s="92" t="s">
        <v>159</v>
      </c>
      <c r="I106" s="71">
        <v>0.9</v>
      </c>
      <c r="J106" s="72">
        <v>0.970588235294118</v>
      </c>
      <c r="K106" s="72">
        <v>0.985915492957746</v>
      </c>
      <c r="L106" s="73">
        <v>0.986842105263158</v>
      </c>
      <c r="M106" s="72">
        <v>0.960061443932412</v>
      </c>
      <c r="N106" s="74">
        <v>0.9</v>
      </c>
      <c r="O106" s="72">
        <v>0.903402187120292</v>
      </c>
      <c r="P106" s="72">
        <v>0.917884019477645</v>
      </c>
      <c r="Q106" s="72">
        <v>0.943717277486911</v>
      </c>
      <c r="R106" s="72">
        <v>0.920276295423568</v>
      </c>
      <c r="S106" s="74">
        <v>0.9</v>
      </c>
      <c r="T106" s="72">
        <v>0.8424463345484</v>
      </c>
      <c r="U106" s="72">
        <v>0.891323594510846</v>
      </c>
      <c r="V106" s="72">
        <v>0.930628272251309</v>
      </c>
      <c r="W106" s="72">
        <v>0.87552844965001</v>
      </c>
      <c r="X106" s="74">
        <v>0.92</v>
      </c>
      <c r="Y106" s="74">
        <v>0.891946308724832</v>
      </c>
      <c r="Z106" s="74">
        <v>0.934420659191301</v>
      </c>
      <c r="AA106" s="74">
        <v>0.946012702893437</v>
      </c>
      <c r="AB106" s="74">
        <v>0.939143357975764</v>
      </c>
      <c r="AC106" s="74">
        <v>0.92</v>
      </c>
      <c r="AD106" s="72">
        <v>0.931085587254539</v>
      </c>
      <c r="AE106" s="72">
        <v>0.964153458746852</v>
      </c>
      <c r="AF106" s="72">
        <v>0.985253686578355</v>
      </c>
      <c r="AG106" s="72">
        <v>0.95880211439972</v>
      </c>
      <c r="AH106" s="74">
        <v>0.92</v>
      </c>
      <c r="AI106" s="72">
        <v>0.919045213437737</v>
      </c>
      <c r="AJ106" s="72">
        <v>0.958461744606727</v>
      </c>
      <c r="AK106" s="72">
        <v>0.968194070080863</v>
      </c>
      <c r="AL106" s="72">
        <v>0.959367361610352</v>
      </c>
      <c r="AM106" s="71">
        <v>0.99</v>
      </c>
      <c r="AN106" s="76">
        <v>1</v>
      </c>
      <c r="AO106" s="76">
        <v>1</v>
      </c>
      <c r="AP106" s="76">
        <v>1</v>
      </c>
      <c r="AQ106" s="76">
        <v>1</v>
      </c>
      <c r="AR106" s="78">
        <v>0.105261498981944</v>
      </c>
      <c r="AS106" s="80">
        <v>0.0810810810810811</v>
      </c>
      <c r="AT106" s="80">
        <v>0.0333333333333333</v>
      </c>
      <c r="AU106" s="80">
        <v>0.0833333333333333</v>
      </c>
      <c r="AV106" s="80">
        <v>0.0871080139372822</v>
      </c>
      <c r="AW106" s="36"/>
      <c r="AX106" s="34"/>
    </row>
    <row r="107" ht="14.5" spans="1:50">
      <c r="A107" s="32"/>
      <c r="B107" s="36"/>
      <c r="C107" s="91" t="s">
        <v>132</v>
      </c>
      <c r="D107" s="69" t="s">
        <v>11</v>
      </c>
      <c r="E107" s="92" t="s">
        <v>160</v>
      </c>
      <c r="F107" s="92" t="s">
        <v>160</v>
      </c>
      <c r="G107" s="92" t="s">
        <v>160</v>
      </c>
      <c r="H107" s="92" t="s">
        <v>160</v>
      </c>
      <c r="I107" s="71">
        <v>0.9</v>
      </c>
      <c r="J107" s="72">
        <v>1</v>
      </c>
      <c r="K107" s="72">
        <v>1</v>
      </c>
      <c r="L107" s="73">
        <v>1</v>
      </c>
      <c r="M107" s="72">
        <v>0.99803536345776</v>
      </c>
      <c r="N107" s="74">
        <v>0.9</v>
      </c>
      <c r="O107" s="72">
        <v>0.961209068010076</v>
      </c>
      <c r="P107" s="72">
        <v>0.979054458408139</v>
      </c>
      <c r="Q107" s="72">
        <v>0.981715893108298</v>
      </c>
      <c r="R107" s="72">
        <v>0.977591642455338</v>
      </c>
      <c r="S107" s="74">
        <v>0.9</v>
      </c>
      <c r="T107" s="72">
        <v>0.871788413098237</v>
      </c>
      <c r="U107" s="72">
        <v>0.884201077199282</v>
      </c>
      <c r="V107" s="72">
        <v>0.893952180028129</v>
      </c>
      <c r="W107" s="72">
        <v>0.881034802497373</v>
      </c>
      <c r="X107" s="74">
        <v>0.92</v>
      </c>
      <c r="Y107" s="74">
        <v>0.909355509355509</v>
      </c>
      <c r="Z107" s="74">
        <v>0.95761316872428</v>
      </c>
      <c r="AA107" s="74">
        <v>0.965452847805789</v>
      </c>
      <c r="AB107" s="74">
        <v>0.95017864231838</v>
      </c>
      <c r="AC107" s="74">
        <v>0.92</v>
      </c>
      <c r="AD107" s="72">
        <v>0.948145344436033</v>
      </c>
      <c r="AE107" s="72">
        <v>0.991068238656663</v>
      </c>
      <c r="AF107" s="72">
        <v>0.989497374343586</v>
      </c>
      <c r="AG107" s="72">
        <v>0.987279091607616</v>
      </c>
      <c r="AH107" s="74">
        <v>0.92</v>
      </c>
      <c r="AI107" s="72">
        <v>0.940872020075282</v>
      </c>
      <c r="AJ107" s="72">
        <v>0.970384482161413</v>
      </c>
      <c r="AK107" s="72">
        <v>0.98122477627654</v>
      </c>
      <c r="AL107" s="72">
        <v>0.968484594584301</v>
      </c>
      <c r="AM107" s="71">
        <v>0.99</v>
      </c>
      <c r="AN107" s="76">
        <v>1</v>
      </c>
      <c r="AO107" s="76">
        <v>1</v>
      </c>
      <c r="AP107" s="76">
        <v>1</v>
      </c>
      <c r="AQ107" s="76">
        <v>1</v>
      </c>
      <c r="AR107" s="78">
        <v>0.105261498981944</v>
      </c>
      <c r="AS107" s="80">
        <v>0.0909090909090909</v>
      </c>
      <c r="AT107" s="80">
        <v>0</v>
      </c>
      <c r="AU107" s="80">
        <v>0.0909090909090909</v>
      </c>
      <c r="AV107" s="80">
        <v>0.0743243243243243</v>
      </c>
      <c r="AW107" s="36"/>
      <c r="AX107" s="34"/>
    </row>
    <row r="108" ht="14.5" spans="1:50">
      <c r="A108" s="32"/>
      <c r="B108" s="36"/>
      <c r="C108" s="91" t="s">
        <v>132</v>
      </c>
      <c r="D108" s="69" t="s">
        <v>11</v>
      </c>
      <c r="E108" s="92" t="s">
        <v>161</v>
      </c>
      <c r="F108" s="92" t="s">
        <v>161</v>
      </c>
      <c r="G108" s="92" t="s">
        <v>161</v>
      </c>
      <c r="H108" s="92" t="s">
        <v>161</v>
      </c>
      <c r="I108" s="71">
        <v>0.9</v>
      </c>
      <c r="J108" s="72">
        <v>0.916666666666667</v>
      </c>
      <c r="K108" s="72">
        <v>0.975609756097561</v>
      </c>
      <c r="L108" s="73">
        <v>0.931818181818182</v>
      </c>
      <c r="M108" s="72">
        <v>0.946808510638298</v>
      </c>
      <c r="N108" s="74">
        <v>0.9</v>
      </c>
      <c r="O108" s="72">
        <v>0.906762705082033</v>
      </c>
      <c r="P108" s="72">
        <v>0.944013420004194</v>
      </c>
      <c r="Q108" s="72">
        <v>0.956788815928829</v>
      </c>
      <c r="R108" s="72">
        <v>0.93700011727454</v>
      </c>
      <c r="S108" s="74">
        <v>0.9</v>
      </c>
      <c r="T108" s="72">
        <v>0.810324129651861</v>
      </c>
      <c r="U108" s="72">
        <v>0.913818410568253</v>
      </c>
      <c r="V108" s="72">
        <v>0.903410294429146</v>
      </c>
      <c r="W108" s="72">
        <v>0.883452562448692</v>
      </c>
      <c r="X108" s="74">
        <v>0.92</v>
      </c>
      <c r="Y108" s="74">
        <v>0.829440118650352</v>
      </c>
      <c r="Z108" s="74">
        <v>0.899029126213592</v>
      </c>
      <c r="AA108" s="74">
        <v>0.934773909563826</v>
      </c>
      <c r="AB108" s="74">
        <v>0.907502925750943</v>
      </c>
      <c r="AC108" s="74">
        <v>0.92</v>
      </c>
      <c r="AD108" s="72">
        <v>0.997470369212404</v>
      </c>
      <c r="AE108" s="72">
        <v>0.975066130319773</v>
      </c>
      <c r="AF108" s="72">
        <v>0.98666013490598</v>
      </c>
      <c r="AG108" s="72">
        <v>0.985070396292574</v>
      </c>
      <c r="AH108" s="74">
        <v>0.92</v>
      </c>
      <c r="AI108" s="72">
        <v>0.885918234912395</v>
      </c>
      <c r="AJ108" s="72">
        <v>0.937576499388005</v>
      </c>
      <c r="AK108" s="72">
        <v>0.960835870467755</v>
      </c>
      <c r="AL108" s="72">
        <v>0.942288390766143</v>
      </c>
      <c r="AM108" s="71">
        <v>0.99</v>
      </c>
      <c r="AN108" s="76">
        <v>1</v>
      </c>
      <c r="AO108" s="76">
        <v>1</v>
      </c>
      <c r="AP108" s="76">
        <v>1</v>
      </c>
      <c r="AQ108" s="76">
        <v>0.99968394437421</v>
      </c>
      <c r="AR108" s="78">
        <v>0.105261498981944</v>
      </c>
      <c r="AS108" s="80">
        <v>0.0714285714285714</v>
      </c>
      <c r="AT108" s="80">
        <v>0.25</v>
      </c>
      <c r="AU108" s="80">
        <v>0.166666666666667</v>
      </c>
      <c r="AV108" s="80">
        <v>0.112676056338028</v>
      </c>
      <c r="AW108" s="36"/>
      <c r="AX108" s="34"/>
    </row>
    <row r="109" ht="14.5" spans="1:50">
      <c r="A109" s="32"/>
      <c r="B109" s="36"/>
      <c r="C109" s="91" t="s">
        <v>132</v>
      </c>
      <c r="D109" s="69" t="s">
        <v>11</v>
      </c>
      <c r="E109" s="92" t="s">
        <v>162</v>
      </c>
      <c r="F109" s="92" t="s">
        <v>162</v>
      </c>
      <c r="G109" s="92" t="s">
        <v>162</v>
      </c>
      <c r="H109" s="92" t="s">
        <v>162</v>
      </c>
      <c r="I109" s="71">
        <v>0.9</v>
      </c>
      <c r="J109" s="72">
        <v>0.981818181818182</v>
      </c>
      <c r="K109" s="72">
        <v>0.983050847457627</v>
      </c>
      <c r="L109" s="73">
        <v>0.984375</v>
      </c>
      <c r="M109" s="72">
        <v>0.987272727272727</v>
      </c>
      <c r="N109" s="74">
        <v>0.9</v>
      </c>
      <c r="O109" s="72">
        <v>0.886912983425414</v>
      </c>
      <c r="P109" s="72">
        <v>0.928247048138056</v>
      </c>
      <c r="Q109" s="72">
        <v>0.945146927871772</v>
      </c>
      <c r="R109" s="72">
        <v>0.916814266162145</v>
      </c>
      <c r="S109" s="74">
        <v>0.9</v>
      </c>
      <c r="T109" s="72">
        <v>0.821995856353591</v>
      </c>
      <c r="U109" s="72">
        <v>0.868483197093551</v>
      </c>
      <c r="V109" s="72">
        <v>0.894033837934105</v>
      </c>
      <c r="W109" s="72">
        <v>0.874949681990178</v>
      </c>
      <c r="X109" s="74">
        <v>0.92</v>
      </c>
      <c r="Y109" s="74">
        <v>0.860221674876847</v>
      </c>
      <c r="Z109" s="74">
        <v>0.884200507614213</v>
      </c>
      <c r="AA109" s="74">
        <v>0.906885047012436</v>
      </c>
      <c r="AB109" s="74">
        <v>0.906965156422394</v>
      </c>
      <c r="AC109" s="74">
        <v>0.92</v>
      </c>
      <c r="AD109" s="72">
        <v>0.991806271042064</v>
      </c>
      <c r="AE109" s="72">
        <v>0.981741327130387</v>
      </c>
      <c r="AF109" s="72">
        <v>0.987615501310164</v>
      </c>
      <c r="AG109" s="72">
        <v>0.946406879581834</v>
      </c>
      <c r="AH109" s="74">
        <v>0.92</v>
      </c>
      <c r="AI109" s="72">
        <v>0.886504424778761</v>
      </c>
      <c r="AJ109" s="72">
        <v>0.927581427581428</v>
      </c>
      <c r="AK109" s="72">
        <v>0.94098507797599</v>
      </c>
      <c r="AL109" s="72">
        <v>0.939629239194714</v>
      </c>
      <c r="AM109" s="71">
        <v>0.99</v>
      </c>
      <c r="AN109" s="76">
        <v>1</v>
      </c>
      <c r="AO109" s="76">
        <v>1</v>
      </c>
      <c r="AP109" s="76">
        <v>1</v>
      </c>
      <c r="AQ109" s="76">
        <v>0.999576271186441</v>
      </c>
      <c r="AR109" s="78">
        <v>0.105261498981944</v>
      </c>
      <c r="AS109" s="80">
        <v>0.121212121212121</v>
      </c>
      <c r="AT109" s="80">
        <v>0.0588235294117647</v>
      </c>
      <c r="AU109" s="80">
        <v>0</v>
      </c>
      <c r="AV109" s="80">
        <v>0.0543478260869565</v>
      </c>
      <c r="AW109" s="36"/>
      <c r="AX109" s="34"/>
    </row>
    <row r="110" ht="14.5" spans="1:50">
      <c r="A110" s="32"/>
      <c r="B110" s="36"/>
      <c r="C110" s="91" t="s">
        <v>132</v>
      </c>
      <c r="D110" s="69" t="s">
        <v>11</v>
      </c>
      <c r="E110" s="92" t="s">
        <v>163</v>
      </c>
      <c r="F110" s="92" t="s">
        <v>163</v>
      </c>
      <c r="G110" s="92" t="s">
        <v>163</v>
      </c>
      <c r="H110" s="92" t="s">
        <v>163</v>
      </c>
      <c r="I110" s="71">
        <v>0.9</v>
      </c>
      <c r="J110" s="72">
        <v>0</v>
      </c>
      <c r="K110" s="72">
        <v>0</v>
      </c>
      <c r="L110" s="73">
        <v>0</v>
      </c>
      <c r="M110" s="72">
        <v>0</v>
      </c>
      <c r="N110" s="74">
        <v>0.9</v>
      </c>
      <c r="O110" s="72">
        <v>0</v>
      </c>
      <c r="P110" s="72">
        <v>0</v>
      </c>
      <c r="Q110" s="72">
        <v>0</v>
      </c>
      <c r="R110" s="72">
        <v>0</v>
      </c>
      <c r="S110" s="74">
        <v>0.9</v>
      </c>
      <c r="T110" s="72">
        <v>0</v>
      </c>
      <c r="U110" s="72">
        <v>0</v>
      </c>
      <c r="V110" s="72">
        <v>0</v>
      </c>
      <c r="W110" s="72">
        <v>0</v>
      </c>
      <c r="X110" s="74">
        <v>0.92</v>
      </c>
      <c r="Y110" s="74">
        <v>0</v>
      </c>
      <c r="Z110" s="74">
        <v>0</v>
      </c>
      <c r="AA110" s="74">
        <v>0</v>
      </c>
      <c r="AB110" s="74">
        <v>1</v>
      </c>
      <c r="AC110" s="74">
        <v>0.92</v>
      </c>
      <c r="AD110" s="72">
        <v>1</v>
      </c>
      <c r="AE110" s="72">
        <v>0.774025974025974</v>
      </c>
      <c r="AF110" s="72">
        <v>0.959183673469388</v>
      </c>
      <c r="AG110" s="72">
        <v>0.919953596287703</v>
      </c>
      <c r="AH110" s="74">
        <v>0.92</v>
      </c>
      <c r="AI110" s="72">
        <v>0</v>
      </c>
      <c r="AJ110" s="72">
        <v>0</v>
      </c>
      <c r="AK110" s="72">
        <v>0</v>
      </c>
      <c r="AL110" s="72">
        <v>1</v>
      </c>
      <c r="AM110" s="71">
        <v>0.99</v>
      </c>
      <c r="AN110" s="76">
        <v>1</v>
      </c>
      <c r="AO110" s="76">
        <v>1</v>
      </c>
      <c r="AP110" s="76">
        <v>1</v>
      </c>
      <c r="AQ110" s="76">
        <v>1</v>
      </c>
      <c r="AR110" s="78">
        <v>0.105261498981944</v>
      </c>
      <c r="AS110" s="80">
        <v>0</v>
      </c>
      <c r="AT110" s="80">
        <v>0</v>
      </c>
      <c r="AU110" s="80">
        <v>0</v>
      </c>
      <c r="AV110" s="80">
        <v>0</v>
      </c>
      <c r="AW110" s="36"/>
      <c r="AX110" s="34"/>
    </row>
    <row r="111" ht="14.5" spans="1:50">
      <c r="A111" s="32"/>
      <c r="B111" s="36"/>
      <c r="C111" s="91" t="s">
        <v>132</v>
      </c>
      <c r="D111" s="69" t="s">
        <v>11</v>
      </c>
      <c r="E111" s="92" t="s">
        <v>164</v>
      </c>
      <c r="F111" s="92" t="s">
        <v>164</v>
      </c>
      <c r="G111" s="92" t="s">
        <v>164</v>
      </c>
      <c r="H111" s="92" t="s">
        <v>164</v>
      </c>
      <c r="I111" s="71">
        <v>0.9</v>
      </c>
      <c r="J111" s="72">
        <v>0.842696629213483</v>
      </c>
      <c r="K111" s="72">
        <v>0.952380952380952</v>
      </c>
      <c r="L111" s="73">
        <v>0.904761904761905</v>
      </c>
      <c r="M111" s="72">
        <v>0.872946330777656</v>
      </c>
      <c r="N111" s="74">
        <v>0.9</v>
      </c>
      <c r="O111" s="72">
        <v>0.80828025477707</v>
      </c>
      <c r="P111" s="72">
        <v>0.906782163598779</v>
      </c>
      <c r="Q111" s="72">
        <v>0.912272151281801</v>
      </c>
      <c r="R111" s="72">
        <v>0.87907053034445</v>
      </c>
      <c r="S111" s="74">
        <v>0.9</v>
      </c>
      <c r="T111" s="72">
        <v>0.773794358507734</v>
      </c>
      <c r="U111" s="72">
        <v>0.882862486465203</v>
      </c>
      <c r="V111" s="72">
        <v>0.898333170874354</v>
      </c>
      <c r="W111" s="72">
        <v>0.849819573537452</v>
      </c>
      <c r="X111" s="74">
        <v>0.92</v>
      </c>
      <c r="Y111" s="74">
        <v>0.812882927637026</v>
      </c>
      <c r="Z111" s="74">
        <v>0.862045060658579</v>
      </c>
      <c r="AA111" s="74">
        <v>0.923624110819918</v>
      </c>
      <c r="AB111" s="74">
        <v>0.884692989397057</v>
      </c>
      <c r="AC111" s="74">
        <v>0.92</v>
      </c>
      <c r="AD111" s="72">
        <v>0.994259059921062</v>
      </c>
      <c r="AE111" s="72">
        <v>0.973789795028347</v>
      </c>
      <c r="AF111" s="72">
        <v>0.987837315020795</v>
      </c>
      <c r="AG111" s="72">
        <v>0.981746336112962</v>
      </c>
      <c r="AH111" s="74">
        <v>0.92</v>
      </c>
      <c r="AI111" s="72">
        <v>0.855817776212281</v>
      </c>
      <c r="AJ111" s="72">
        <v>0.924303288978157</v>
      </c>
      <c r="AK111" s="72">
        <v>0.956680551105415</v>
      </c>
      <c r="AL111" s="72">
        <v>0.927805509987116</v>
      </c>
      <c r="AM111" s="71">
        <v>0.99</v>
      </c>
      <c r="AN111" s="76">
        <v>1</v>
      </c>
      <c r="AO111" s="76">
        <v>1</v>
      </c>
      <c r="AP111" s="76">
        <v>1</v>
      </c>
      <c r="AQ111" s="76">
        <v>1</v>
      </c>
      <c r="AR111" s="78">
        <v>0.105261498981944</v>
      </c>
      <c r="AS111" s="80">
        <v>0.0281124497991968</v>
      </c>
      <c r="AT111" s="80">
        <v>0.0235294117647059</v>
      </c>
      <c r="AU111" s="80">
        <v>0.0147058823529412</v>
      </c>
      <c r="AV111" s="80">
        <v>0.0246350364963504</v>
      </c>
      <c r="AW111" s="36"/>
      <c r="AX111" s="34"/>
    </row>
    <row r="112" ht="14.5" spans="1:50">
      <c r="A112" s="32"/>
      <c r="B112" s="36"/>
      <c r="C112" s="91" t="s">
        <v>132</v>
      </c>
      <c r="D112" s="69" t="s">
        <v>11</v>
      </c>
      <c r="E112" s="92" t="s">
        <v>165</v>
      </c>
      <c r="F112" s="92" t="s">
        <v>165</v>
      </c>
      <c r="G112" s="92" t="s">
        <v>165</v>
      </c>
      <c r="H112" s="92" t="s">
        <v>165</v>
      </c>
      <c r="I112" s="71">
        <v>0.9</v>
      </c>
      <c r="J112" s="72">
        <v>0</v>
      </c>
      <c r="K112" s="72">
        <v>0</v>
      </c>
      <c r="L112" s="73">
        <v>0</v>
      </c>
      <c r="M112" s="72">
        <v>0</v>
      </c>
      <c r="N112" s="74">
        <v>0.9</v>
      </c>
      <c r="O112" s="72">
        <v>0</v>
      </c>
      <c r="P112" s="72">
        <v>0</v>
      </c>
      <c r="Q112" s="72">
        <v>1</v>
      </c>
      <c r="R112" s="72">
        <v>0.333333333333333</v>
      </c>
      <c r="S112" s="74">
        <v>0.9</v>
      </c>
      <c r="T112" s="72">
        <v>0</v>
      </c>
      <c r="U112" s="72">
        <v>1</v>
      </c>
      <c r="V112" s="72">
        <v>1</v>
      </c>
      <c r="W112" s="72">
        <v>1</v>
      </c>
      <c r="X112" s="74">
        <v>0.92</v>
      </c>
      <c r="Y112" s="74">
        <v>0</v>
      </c>
      <c r="Z112" s="74">
        <v>0</v>
      </c>
      <c r="AA112" s="74">
        <v>0</v>
      </c>
      <c r="AB112" s="74">
        <v>0</v>
      </c>
      <c r="AC112" s="74">
        <v>0.92</v>
      </c>
      <c r="AD112" s="72">
        <v>0.962393348187598</v>
      </c>
      <c r="AE112" s="72">
        <v>0.954887988927052</v>
      </c>
      <c r="AF112" s="72">
        <v>0.895753567699269</v>
      </c>
      <c r="AG112" s="72">
        <v>0.937240280241754</v>
      </c>
      <c r="AH112" s="74">
        <v>0.92</v>
      </c>
      <c r="AI112" s="72">
        <v>0</v>
      </c>
      <c r="AJ112" s="72">
        <v>1</v>
      </c>
      <c r="AK112" s="72">
        <v>1</v>
      </c>
      <c r="AL112" s="72">
        <v>1</v>
      </c>
      <c r="AM112" s="71">
        <v>0.99</v>
      </c>
      <c r="AN112" s="76">
        <v>1</v>
      </c>
      <c r="AO112" s="76">
        <v>1</v>
      </c>
      <c r="AP112" s="76">
        <v>1</v>
      </c>
      <c r="AQ112" s="76">
        <v>1</v>
      </c>
      <c r="AR112" s="78">
        <v>0.105261498981944</v>
      </c>
      <c r="AS112" s="80">
        <v>0</v>
      </c>
      <c r="AT112" s="80">
        <v>0</v>
      </c>
      <c r="AU112" s="80">
        <v>0</v>
      </c>
      <c r="AV112" s="80">
        <v>0</v>
      </c>
      <c r="AW112" s="36"/>
      <c r="AX112" s="34"/>
    </row>
    <row r="113" ht="14.5" spans="1:50">
      <c r="A113" s="32"/>
      <c r="B113" s="36"/>
      <c r="C113" s="91" t="s">
        <v>132</v>
      </c>
      <c r="D113" s="69" t="s">
        <v>11</v>
      </c>
      <c r="E113" s="92" t="s">
        <v>166</v>
      </c>
      <c r="F113" s="92" t="s">
        <v>166</v>
      </c>
      <c r="G113" s="92" t="s">
        <v>166</v>
      </c>
      <c r="H113" s="92" t="s">
        <v>166</v>
      </c>
      <c r="I113" s="71">
        <v>0.9</v>
      </c>
      <c r="J113" s="72">
        <v>0.871428571428571</v>
      </c>
      <c r="K113" s="72">
        <v>0.957746478873239</v>
      </c>
      <c r="L113" s="73">
        <v>0.945205479452055</v>
      </c>
      <c r="M113" s="72">
        <v>0.887658227848101</v>
      </c>
      <c r="N113" s="74">
        <v>0.9</v>
      </c>
      <c r="O113" s="72">
        <v>0.876420868551443</v>
      </c>
      <c r="P113" s="72">
        <v>0.944776589049717</v>
      </c>
      <c r="Q113" s="72">
        <v>0.925052886068299</v>
      </c>
      <c r="R113" s="72">
        <v>0.93079283887468</v>
      </c>
      <c r="S113" s="74">
        <v>0.9</v>
      </c>
      <c r="T113" s="72">
        <v>0.867094141649665</v>
      </c>
      <c r="U113" s="72">
        <v>0.880899937067338</v>
      </c>
      <c r="V113" s="72">
        <v>0.890601390148081</v>
      </c>
      <c r="W113" s="72">
        <v>0.864978687127025</v>
      </c>
      <c r="X113" s="74">
        <v>0.92</v>
      </c>
      <c r="Y113" s="74">
        <v>0.851827242524917</v>
      </c>
      <c r="Z113" s="74">
        <v>0.893359718557608</v>
      </c>
      <c r="AA113" s="74">
        <v>0.903675538656527</v>
      </c>
      <c r="AB113" s="74">
        <v>0.89005978869202</v>
      </c>
      <c r="AC113" s="74">
        <v>0.92</v>
      </c>
      <c r="AD113" s="72">
        <v>0.981199226305609</v>
      </c>
      <c r="AE113" s="72">
        <v>0.930175228196416</v>
      </c>
      <c r="AF113" s="72">
        <v>0.901293823038397</v>
      </c>
      <c r="AG113" s="72">
        <v>0.933077873400758</v>
      </c>
      <c r="AH113" s="74">
        <v>0.92</v>
      </c>
      <c r="AI113" s="72">
        <v>0.896300202126725</v>
      </c>
      <c r="AJ113" s="72">
        <v>0.930942773294204</v>
      </c>
      <c r="AK113" s="72">
        <v>0.944996686547382</v>
      </c>
      <c r="AL113" s="72">
        <v>0.93005561968727</v>
      </c>
      <c r="AM113" s="71">
        <v>0.99</v>
      </c>
      <c r="AN113" s="76">
        <v>1</v>
      </c>
      <c r="AO113" s="76">
        <v>1</v>
      </c>
      <c r="AP113" s="76">
        <v>1</v>
      </c>
      <c r="AQ113" s="76">
        <v>1</v>
      </c>
      <c r="AR113" s="78">
        <v>0.105261498981944</v>
      </c>
      <c r="AS113" s="80">
        <v>0.157894736842105</v>
      </c>
      <c r="AT113" s="80">
        <v>0.0555555555555556</v>
      </c>
      <c r="AU113" s="80">
        <v>0.0333333333333333</v>
      </c>
      <c r="AV113" s="80">
        <v>0.0842696629213483</v>
      </c>
      <c r="AW113" s="36"/>
      <c r="AX113" s="34"/>
    </row>
    <row r="114" ht="14.5" spans="1:50">
      <c r="A114" s="32"/>
      <c r="B114" s="36"/>
      <c r="C114" s="91" t="s">
        <v>132</v>
      </c>
      <c r="D114" s="69" t="s">
        <v>11</v>
      </c>
      <c r="E114" s="92" t="s">
        <v>167</v>
      </c>
      <c r="F114" s="92" t="s">
        <v>167</v>
      </c>
      <c r="G114" s="92" t="s">
        <v>167</v>
      </c>
      <c r="H114" s="92" t="s">
        <v>167</v>
      </c>
      <c r="I114" s="71">
        <v>0.9</v>
      </c>
      <c r="J114" s="72">
        <v>0.865168539325843</v>
      </c>
      <c r="K114" s="72">
        <v>0.946808510638298</v>
      </c>
      <c r="L114" s="73">
        <v>0.88659793814433</v>
      </c>
      <c r="M114" s="72">
        <v>0.888493475682088</v>
      </c>
      <c r="N114" s="74">
        <v>0.9</v>
      </c>
      <c r="O114" s="72">
        <v>0.726772098277323</v>
      </c>
      <c r="P114" s="72">
        <v>0.680751868571006</v>
      </c>
      <c r="Q114" s="72">
        <v>0.700649401455285</v>
      </c>
      <c r="R114" s="72">
        <v>0.734494755735516</v>
      </c>
      <c r="S114" s="74">
        <v>0.9</v>
      </c>
      <c r="T114" s="72">
        <v>0.917678621858232</v>
      </c>
      <c r="U114" s="72">
        <v>0.951158144009472</v>
      </c>
      <c r="V114" s="72">
        <v>0.944605273452781</v>
      </c>
      <c r="W114" s="72">
        <v>0.927728676301709</v>
      </c>
      <c r="X114" s="74">
        <v>0.92</v>
      </c>
      <c r="Y114" s="74">
        <v>0.945803224013341</v>
      </c>
      <c r="Z114" s="74">
        <v>0.969001490312966</v>
      </c>
      <c r="AA114" s="74">
        <v>0.98076055914625</v>
      </c>
      <c r="AB114" s="74">
        <v>0.971649527216123</v>
      </c>
      <c r="AC114" s="74">
        <v>0.92</v>
      </c>
      <c r="AD114" s="72">
        <v>0.969908623584799</v>
      </c>
      <c r="AE114" s="72">
        <v>0.971622596942458</v>
      </c>
      <c r="AF114" s="72">
        <v>0.956083686147847</v>
      </c>
      <c r="AG114" s="72">
        <v>0.964846175184603</v>
      </c>
      <c r="AH114" s="74">
        <v>0.92</v>
      </c>
      <c r="AI114" s="72">
        <v>0.962294161676647</v>
      </c>
      <c r="AJ114" s="72">
        <v>0.981815486485151</v>
      </c>
      <c r="AK114" s="72">
        <v>0.988221376401605</v>
      </c>
      <c r="AL114" s="72">
        <v>0.980298443756775</v>
      </c>
      <c r="AM114" s="71">
        <v>0.99</v>
      </c>
      <c r="AN114" s="76">
        <v>1</v>
      </c>
      <c r="AO114" s="76">
        <v>1</v>
      </c>
      <c r="AP114" s="76">
        <v>1</v>
      </c>
      <c r="AQ114" s="76">
        <v>1</v>
      </c>
      <c r="AR114" s="78">
        <v>0.105261498981944</v>
      </c>
      <c r="AS114" s="80">
        <v>0.153846153846154</v>
      </c>
      <c r="AT114" s="80">
        <v>0.151515151515152</v>
      </c>
      <c r="AU114" s="80">
        <v>0.03125</v>
      </c>
      <c r="AV114" s="80">
        <v>0.0613718411552347</v>
      </c>
      <c r="AW114" s="36"/>
      <c r="AX114" s="34"/>
    </row>
    <row r="115" ht="14.5" spans="1:50">
      <c r="A115" s="32"/>
      <c r="B115" s="36"/>
      <c r="C115" s="91" t="s">
        <v>132</v>
      </c>
      <c r="D115" s="69" t="s">
        <v>11</v>
      </c>
      <c r="E115" s="92" t="s">
        <v>168</v>
      </c>
      <c r="F115" s="92" t="s">
        <v>168</v>
      </c>
      <c r="G115" s="92" t="s">
        <v>168</v>
      </c>
      <c r="H115" s="92" t="s">
        <v>168</v>
      </c>
      <c r="I115" s="71">
        <v>0.9</v>
      </c>
      <c r="J115" s="72">
        <v>0.878378378378378</v>
      </c>
      <c r="K115" s="72">
        <v>0.929411764705882</v>
      </c>
      <c r="L115" s="73">
        <v>0.853658536585366</v>
      </c>
      <c r="M115" s="72">
        <v>0.865013774104683</v>
      </c>
      <c r="N115" s="74">
        <v>0.9</v>
      </c>
      <c r="O115" s="72">
        <v>0.847575806713151</v>
      </c>
      <c r="P115" s="72">
        <v>0.949267595569846</v>
      </c>
      <c r="Q115" s="72">
        <v>0.950606733891642</v>
      </c>
      <c r="R115" s="72">
        <v>0.911181646063036</v>
      </c>
      <c r="S115" s="74">
        <v>0.9</v>
      </c>
      <c r="T115" s="72">
        <v>0.798605480784822</v>
      </c>
      <c r="U115" s="72">
        <v>0.892461593426224</v>
      </c>
      <c r="V115" s="72">
        <v>0.871987694411212</v>
      </c>
      <c r="W115" s="72">
        <v>0.821472324312284</v>
      </c>
      <c r="X115" s="74">
        <v>0.92</v>
      </c>
      <c r="Y115" s="74">
        <v>0.872190277051751</v>
      </c>
      <c r="Z115" s="74">
        <v>0.947719688542825</v>
      </c>
      <c r="AA115" s="74">
        <v>0.943698949824971</v>
      </c>
      <c r="AB115" s="74">
        <v>0.922698193677873</v>
      </c>
      <c r="AC115" s="74">
        <v>0.92</v>
      </c>
      <c r="AD115" s="72">
        <v>0.995133819951338</v>
      </c>
      <c r="AE115" s="72">
        <v>0.979336255479023</v>
      </c>
      <c r="AF115" s="72">
        <v>0.986099410278012</v>
      </c>
      <c r="AG115" s="72">
        <v>0.972512874339883</v>
      </c>
      <c r="AH115" s="74">
        <v>0.92</v>
      </c>
      <c r="AI115" s="72">
        <v>0.908435905133594</v>
      </c>
      <c r="AJ115" s="72">
        <v>0.967917346383904</v>
      </c>
      <c r="AK115" s="72">
        <v>0.966375687035241</v>
      </c>
      <c r="AL115" s="72">
        <v>0.951152976287626</v>
      </c>
      <c r="AM115" s="71">
        <v>0.99</v>
      </c>
      <c r="AN115" s="76">
        <v>1</v>
      </c>
      <c r="AO115" s="76">
        <v>1</v>
      </c>
      <c r="AP115" s="76">
        <v>1</v>
      </c>
      <c r="AQ115" s="76">
        <v>1</v>
      </c>
      <c r="AR115" s="78">
        <v>0.105261498981944</v>
      </c>
      <c r="AS115" s="80">
        <v>0.0454545454545455</v>
      </c>
      <c r="AT115" s="80">
        <v>0.121212121212121</v>
      </c>
      <c r="AU115" s="80">
        <v>0.08</v>
      </c>
      <c r="AV115" s="80">
        <v>0.0662020905923345</v>
      </c>
      <c r="AW115" s="36"/>
      <c r="AX115" s="34"/>
    </row>
    <row r="116" ht="14.5" spans="1:50">
      <c r="A116" s="32"/>
      <c r="B116" s="36"/>
      <c r="C116" s="91" t="s">
        <v>132</v>
      </c>
      <c r="D116" s="69" t="s">
        <v>11</v>
      </c>
      <c r="E116" s="92" t="s">
        <v>169</v>
      </c>
      <c r="F116" s="92" t="s">
        <v>169</v>
      </c>
      <c r="G116" s="92" t="s">
        <v>169</v>
      </c>
      <c r="H116" s="92" t="s">
        <v>169</v>
      </c>
      <c r="I116" s="71">
        <v>0.9</v>
      </c>
      <c r="J116" s="72">
        <v>0.963855421686747</v>
      </c>
      <c r="K116" s="72">
        <v>0.976744186046512</v>
      </c>
      <c r="L116" s="73">
        <v>0.989010989010989</v>
      </c>
      <c r="M116" s="72">
        <v>0.977272727272727</v>
      </c>
      <c r="N116" s="74">
        <v>0.9</v>
      </c>
      <c r="O116" s="72">
        <v>1</v>
      </c>
      <c r="P116" s="72">
        <v>0</v>
      </c>
      <c r="Q116" s="72">
        <v>0</v>
      </c>
      <c r="R116" s="72">
        <v>0.5</v>
      </c>
      <c r="S116" s="74">
        <v>0.9</v>
      </c>
      <c r="T116" s="72">
        <v>0</v>
      </c>
      <c r="U116" s="72">
        <v>0</v>
      </c>
      <c r="V116" s="72">
        <v>0</v>
      </c>
      <c r="W116" s="72">
        <v>0.5</v>
      </c>
      <c r="X116" s="74">
        <v>0.92</v>
      </c>
      <c r="Y116" s="74">
        <v>0</v>
      </c>
      <c r="Z116" s="74">
        <v>0</v>
      </c>
      <c r="AA116" s="74">
        <v>0</v>
      </c>
      <c r="AB116" s="74">
        <v>0</v>
      </c>
      <c r="AC116" s="74">
        <v>0.92</v>
      </c>
      <c r="AD116" s="72">
        <v>1</v>
      </c>
      <c r="AE116" s="72">
        <v>0.995967741935484</v>
      </c>
      <c r="AF116" s="72">
        <v>0.995911214953271</v>
      </c>
      <c r="AG116" s="72">
        <v>0.996213555471412</v>
      </c>
      <c r="AH116" s="74">
        <v>0.92</v>
      </c>
      <c r="AI116" s="72">
        <v>0.95408447564917</v>
      </c>
      <c r="AJ116" s="72">
        <v>0.967898832684825</v>
      </c>
      <c r="AK116" s="72">
        <v>0.97966422322062</v>
      </c>
      <c r="AL116" s="72">
        <v>0.97655771195097</v>
      </c>
      <c r="AM116" s="71">
        <v>0.99</v>
      </c>
      <c r="AN116" s="76">
        <v>1</v>
      </c>
      <c r="AO116" s="76">
        <v>1</v>
      </c>
      <c r="AP116" s="76">
        <v>1</v>
      </c>
      <c r="AQ116" s="76">
        <v>1</v>
      </c>
      <c r="AR116" s="78">
        <v>0.105261498981944</v>
      </c>
      <c r="AS116" s="80">
        <v>0.25</v>
      </c>
      <c r="AT116" s="80">
        <v>0.0833333333333333</v>
      </c>
      <c r="AU116" s="80">
        <v>0</v>
      </c>
      <c r="AV116" s="80">
        <v>0.102040816326531</v>
      </c>
      <c r="AW116" s="36"/>
      <c r="AX116" s="34"/>
    </row>
    <row r="117" ht="14.5" spans="1:50">
      <c r="A117" s="32"/>
      <c r="B117" s="36"/>
      <c r="C117" s="91" t="s">
        <v>132</v>
      </c>
      <c r="D117" s="69" t="s">
        <v>11</v>
      </c>
      <c r="E117" s="92" t="s">
        <v>170</v>
      </c>
      <c r="F117" s="92" t="s">
        <v>170</v>
      </c>
      <c r="G117" s="92" t="s">
        <v>170</v>
      </c>
      <c r="H117" s="92" t="s">
        <v>170</v>
      </c>
      <c r="I117" s="71">
        <v>0.9</v>
      </c>
      <c r="J117" s="72">
        <v>0.916666666666667</v>
      </c>
      <c r="K117" s="72">
        <v>0.94</v>
      </c>
      <c r="L117" s="73">
        <v>0.842105263157895</v>
      </c>
      <c r="M117" s="72">
        <v>0.921218487394958</v>
      </c>
      <c r="N117" s="74">
        <v>0.9</v>
      </c>
      <c r="O117" s="72">
        <v>0</v>
      </c>
      <c r="P117" s="72">
        <v>0</v>
      </c>
      <c r="Q117" s="72">
        <v>0</v>
      </c>
      <c r="R117" s="72">
        <v>0</v>
      </c>
      <c r="S117" s="74">
        <v>0.9</v>
      </c>
      <c r="T117" s="72">
        <v>0</v>
      </c>
      <c r="U117" s="72">
        <v>0</v>
      </c>
      <c r="V117" s="72">
        <v>0</v>
      </c>
      <c r="W117" s="72">
        <v>0</v>
      </c>
      <c r="X117" s="74">
        <v>0.92</v>
      </c>
      <c r="Y117" s="74">
        <v>0</v>
      </c>
      <c r="Z117" s="74">
        <v>0</v>
      </c>
      <c r="AA117" s="74">
        <v>0</v>
      </c>
      <c r="AB117" s="74">
        <v>0</v>
      </c>
      <c r="AC117" s="74">
        <v>0.92</v>
      </c>
      <c r="AD117" s="72">
        <v>0.963855421686747</v>
      </c>
      <c r="AE117" s="72">
        <v>0.980295566502463</v>
      </c>
      <c r="AF117" s="72">
        <v>0.816455696202532</v>
      </c>
      <c r="AG117" s="72">
        <v>0.909048288795124</v>
      </c>
      <c r="AH117" s="74">
        <v>0.92</v>
      </c>
      <c r="AI117" s="72">
        <v>0.955986112666592</v>
      </c>
      <c r="AJ117" s="72">
        <v>0.975077081192189</v>
      </c>
      <c r="AK117" s="72">
        <v>0.974549577926169</v>
      </c>
      <c r="AL117" s="72">
        <v>0.975411253415104</v>
      </c>
      <c r="AM117" s="71">
        <v>0.99</v>
      </c>
      <c r="AN117" s="76">
        <v>1</v>
      </c>
      <c r="AO117" s="76">
        <v>1</v>
      </c>
      <c r="AP117" s="76">
        <v>1</v>
      </c>
      <c r="AQ117" s="76">
        <v>1</v>
      </c>
      <c r="AR117" s="78">
        <v>0.105261498981944</v>
      </c>
      <c r="AS117" s="80">
        <v>0.1</v>
      </c>
      <c r="AT117" s="80">
        <v>0</v>
      </c>
      <c r="AU117" s="80">
        <v>0.181818181818182</v>
      </c>
      <c r="AV117" s="80">
        <v>0.0606060606060606</v>
      </c>
      <c r="AW117" s="36"/>
      <c r="AX117" s="34"/>
    </row>
    <row r="118" ht="14.5" spans="1:50">
      <c r="A118" s="32"/>
      <c r="B118" s="36"/>
      <c r="C118" s="91" t="s">
        <v>132</v>
      </c>
      <c r="D118" s="69" t="s">
        <v>11</v>
      </c>
      <c r="E118" s="92" t="s">
        <v>171</v>
      </c>
      <c r="F118" s="92" t="s">
        <v>171</v>
      </c>
      <c r="G118" s="92" t="s">
        <v>171</v>
      </c>
      <c r="H118" s="92" t="s">
        <v>171</v>
      </c>
      <c r="I118" s="71">
        <v>0.9</v>
      </c>
      <c r="J118" s="72">
        <v>0.932432432432432</v>
      </c>
      <c r="K118" s="72">
        <v>0.9875</v>
      </c>
      <c r="L118" s="73">
        <v>1</v>
      </c>
      <c r="M118" s="72">
        <v>0.96969696969697</v>
      </c>
      <c r="N118" s="74">
        <v>0.9</v>
      </c>
      <c r="O118" s="72">
        <v>0</v>
      </c>
      <c r="P118" s="72">
        <v>0</v>
      </c>
      <c r="Q118" s="72">
        <v>0.666666666666667</v>
      </c>
      <c r="R118" s="72">
        <v>0.5</v>
      </c>
      <c r="S118" s="74">
        <v>0.9</v>
      </c>
      <c r="T118" s="72">
        <v>0</v>
      </c>
      <c r="U118" s="72">
        <v>0</v>
      </c>
      <c r="V118" s="72">
        <v>0</v>
      </c>
      <c r="W118" s="72">
        <v>0</v>
      </c>
      <c r="X118" s="74">
        <v>0.92</v>
      </c>
      <c r="Y118" s="74">
        <v>0</v>
      </c>
      <c r="Z118" s="74">
        <v>0</v>
      </c>
      <c r="AA118" s="74">
        <v>0</v>
      </c>
      <c r="AB118" s="74">
        <v>0</v>
      </c>
      <c r="AC118" s="74">
        <v>0.92</v>
      </c>
      <c r="AD118" s="72">
        <v>1</v>
      </c>
      <c r="AE118" s="72">
        <v>1</v>
      </c>
      <c r="AF118" s="72">
        <v>0.990740740740741</v>
      </c>
      <c r="AG118" s="72">
        <v>0.995646766169154</v>
      </c>
      <c r="AH118" s="74">
        <v>0.92</v>
      </c>
      <c r="AI118" s="72">
        <v>0.936843129622421</v>
      </c>
      <c r="AJ118" s="72">
        <v>0.975842632002761</v>
      </c>
      <c r="AK118" s="72">
        <v>0.97417056334892</v>
      </c>
      <c r="AL118" s="72">
        <v>0.969645313363351</v>
      </c>
      <c r="AM118" s="71">
        <v>0.99</v>
      </c>
      <c r="AN118" s="76">
        <v>1</v>
      </c>
      <c r="AO118" s="76">
        <v>1</v>
      </c>
      <c r="AP118" s="76">
        <v>1</v>
      </c>
      <c r="AQ118" s="76">
        <v>1</v>
      </c>
      <c r="AR118" s="78">
        <v>0.105261498981944</v>
      </c>
      <c r="AS118" s="80">
        <v>0.0833333333333333</v>
      </c>
      <c r="AT118" s="80">
        <v>0.1875</v>
      </c>
      <c r="AU118" s="80">
        <v>0.0714285714285714</v>
      </c>
      <c r="AV118" s="80">
        <v>0.0958083832335329</v>
      </c>
      <c r="AW118" s="36"/>
      <c r="AX118" s="34"/>
    </row>
    <row r="119" ht="14.5" spans="1:50">
      <c r="A119" s="32"/>
      <c r="B119" s="36"/>
      <c r="C119" s="91" t="s">
        <v>132</v>
      </c>
      <c r="D119" s="69" t="s">
        <v>11</v>
      </c>
      <c r="E119" s="92" t="s">
        <v>172</v>
      </c>
      <c r="F119" s="92" t="s">
        <v>172</v>
      </c>
      <c r="G119" s="92" t="s">
        <v>172</v>
      </c>
      <c r="H119" s="92" t="s">
        <v>172</v>
      </c>
      <c r="I119" s="71">
        <v>0.9</v>
      </c>
      <c r="J119" s="72">
        <v>0.945054945054945</v>
      </c>
      <c r="K119" s="72">
        <v>0.957894736842105</v>
      </c>
      <c r="L119" s="73">
        <v>0.923913043478261</v>
      </c>
      <c r="M119" s="72">
        <v>0.931790499390987</v>
      </c>
      <c r="N119" s="74">
        <v>0.9</v>
      </c>
      <c r="O119" s="72">
        <v>0</v>
      </c>
      <c r="P119" s="72">
        <v>0</v>
      </c>
      <c r="Q119" s="72">
        <v>0</v>
      </c>
      <c r="R119" s="72">
        <v>0</v>
      </c>
      <c r="S119" s="74">
        <v>0.9</v>
      </c>
      <c r="T119" s="72">
        <v>0</v>
      </c>
      <c r="U119" s="72">
        <v>0</v>
      </c>
      <c r="V119" s="72">
        <v>0</v>
      </c>
      <c r="W119" s="72">
        <v>0</v>
      </c>
      <c r="X119" s="74">
        <v>0.92</v>
      </c>
      <c r="Y119" s="74">
        <v>0</v>
      </c>
      <c r="Z119" s="74">
        <v>0</v>
      </c>
      <c r="AA119" s="74">
        <v>0</v>
      </c>
      <c r="AB119" s="74">
        <v>0</v>
      </c>
      <c r="AC119" s="74">
        <v>0.92</v>
      </c>
      <c r="AD119" s="72">
        <v>0.980769230769231</v>
      </c>
      <c r="AE119" s="72">
        <v>0.964028776978417</v>
      </c>
      <c r="AF119" s="72">
        <v>0.982608695652174</v>
      </c>
      <c r="AG119" s="72">
        <v>0.951013513513513</v>
      </c>
      <c r="AH119" s="74">
        <v>0.92</v>
      </c>
      <c r="AI119" s="72">
        <v>0.968305887660726</v>
      </c>
      <c r="AJ119" s="72">
        <v>0.975872689938398</v>
      </c>
      <c r="AK119" s="72">
        <v>0.975536319156944</v>
      </c>
      <c r="AL119" s="72">
        <v>0.973448222083593</v>
      </c>
      <c r="AM119" s="71">
        <v>0.99</v>
      </c>
      <c r="AN119" s="76">
        <v>1</v>
      </c>
      <c r="AO119" s="76">
        <v>1</v>
      </c>
      <c r="AP119" s="76">
        <v>1</v>
      </c>
      <c r="AQ119" s="76">
        <v>1</v>
      </c>
      <c r="AR119" s="78">
        <v>0.105261498981944</v>
      </c>
      <c r="AS119" s="80">
        <v>0.3</v>
      </c>
      <c r="AT119" s="80">
        <v>0.0625</v>
      </c>
      <c r="AU119" s="80">
        <v>0</v>
      </c>
      <c r="AV119" s="80">
        <v>0.0683760683760684</v>
      </c>
      <c r="AW119" s="36"/>
      <c r="AX119" s="34"/>
    </row>
    <row r="120" ht="14.5" spans="1:50">
      <c r="A120" s="32"/>
      <c r="B120" s="36"/>
      <c r="C120" s="91" t="s">
        <v>132</v>
      </c>
      <c r="D120" s="69" t="s">
        <v>11</v>
      </c>
      <c r="E120" s="92" t="s">
        <v>173</v>
      </c>
      <c r="F120" s="92" t="s">
        <v>173</v>
      </c>
      <c r="G120" s="92" t="s">
        <v>173</v>
      </c>
      <c r="H120" s="92" t="s">
        <v>173</v>
      </c>
      <c r="I120" s="71">
        <v>0.9</v>
      </c>
      <c r="J120" s="72">
        <v>0.870967741935484</v>
      </c>
      <c r="K120" s="72">
        <v>0.923076923076923</v>
      </c>
      <c r="L120" s="73">
        <v>0.922222222222222</v>
      </c>
      <c r="M120" s="72">
        <v>0.92969696969697</v>
      </c>
      <c r="N120" s="74">
        <v>0.9</v>
      </c>
      <c r="O120" s="72">
        <v>0</v>
      </c>
      <c r="P120" s="72">
        <v>0</v>
      </c>
      <c r="Q120" s="72">
        <v>0</v>
      </c>
      <c r="R120" s="72">
        <v>0</v>
      </c>
      <c r="S120" s="74">
        <v>0.9</v>
      </c>
      <c r="T120" s="72">
        <v>0</v>
      </c>
      <c r="U120" s="72">
        <v>0</v>
      </c>
      <c r="V120" s="72">
        <v>0</v>
      </c>
      <c r="W120" s="72">
        <v>0</v>
      </c>
      <c r="X120" s="74">
        <v>0.92</v>
      </c>
      <c r="Y120" s="74">
        <v>0</v>
      </c>
      <c r="Z120" s="74">
        <v>0</v>
      </c>
      <c r="AA120" s="74">
        <v>0</v>
      </c>
      <c r="AB120" s="74">
        <v>0</v>
      </c>
      <c r="AC120" s="74">
        <v>0.92</v>
      </c>
      <c r="AD120" s="72">
        <v>0.972972972972973</v>
      </c>
      <c r="AE120" s="72">
        <v>0.760416666666667</v>
      </c>
      <c r="AF120" s="72">
        <v>0.973333333333333</v>
      </c>
      <c r="AG120" s="72">
        <v>0.932885906040268</v>
      </c>
      <c r="AH120" s="74">
        <v>0.92</v>
      </c>
      <c r="AI120" s="72">
        <v>0.950759559979047</v>
      </c>
      <c r="AJ120" s="72">
        <v>0.931791454331635</v>
      </c>
      <c r="AK120" s="72">
        <v>0.951120399396261</v>
      </c>
      <c r="AL120" s="72">
        <v>0.949262402171569</v>
      </c>
      <c r="AM120" s="71">
        <v>0.99</v>
      </c>
      <c r="AN120" s="76">
        <v>1</v>
      </c>
      <c r="AO120" s="76">
        <v>1</v>
      </c>
      <c r="AP120" s="76">
        <v>1</v>
      </c>
      <c r="AQ120" s="76">
        <v>1</v>
      </c>
      <c r="AR120" s="78">
        <v>0.105261498981944</v>
      </c>
      <c r="AS120" s="80">
        <v>0.0588235294117647</v>
      </c>
      <c r="AT120" s="80">
        <v>0.173913043478261</v>
      </c>
      <c r="AU120" s="80">
        <v>0.0666666666666667</v>
      </c>
      <c r="AV120" s="80">
        <v>0.0949720670391061</v>
      </c>
      <c r="AW120" s="36"/>
      <c r="AX120" s="34"/>
    </row>
    <row r="121" ht="14.5" spans="1:50">
      <c r="A121" s="32"/>
      <c r="B121" s="36"/>
      <c r="C121" s="91" t="s">
        <v>132</v>
      </c>
      <c r="D121" s="69" t="s">
        <v>11</v>
      </c>
      <c r="E121" s="92" t="s">
        <v>174</v>
      </c>
      <c r="F121" s="92" t="s">
        <v>174</v>
      </c>
      <c r="G121" s="92" t="s">
        <v>174</v>
      </c>
      <c r="H121" s="92" t="s">
        <v>174</v>
      </c>
      <c r="I121" s="71">
        <v>0.9</v>
      </c>
      <c r="J121" s="72">
        <v>0.96875</v>
      </c>
      <c r="K121" s="72">
        <v>1</v>
      </c>
      <c r="L121" s="73">
        <v>1</v>
      </c>
      <c r="M121" s="72">
        <v>0.98932384341637</v>
      </c>
      <c r="N121" s="74">
        <v>0.9</v>
      </c>
      <c r="O121" s="72">
        <v>0</v>
      </c>
      <c r="P121" s="72">
        <v>1</v>
      </c>
      <c r="Q121" s="72">
        <v>0</v>
      </c>
      <c r="R121" s="72">
        <v>0.333333333333333</v>
      </c>
      <c r="S121" s="74">
        <v>0.9</v>
      </c>
      <c r="T121" s="72">
        <v>0</v>
      </c>
      <c r="U121" s="72">
        <v>0</v>
      </c>
      <c r="V121" s="72">
        <v>0</v>
      </c>
      <c r="W121" s="72">
        <v>0</v>
      </c>
      <c r="X121" s="74">
        <v>0.92</v>
      </c>
      <c r="Y121" s="74">
        <v>0</v>
      </c>
      <c r="Z121" s="74">
        <v>0</v>
      </c>
      <c r="AA121" s="74">
        <v>0</v>
      </c>
      <c r="AB121" s="74">
        <v>0</v>
      </c>
      <c r="AC121" s="74">
        <v>0.92</v>
      </c>
      <c r="AD121" s="72">
        <v>0.997361477572559</v>
      </c>
      <c r="AE121" s="72">
        <v>0.997933884297521</v>
      </c>
      <c r="AF121" s="72">
        <v>0.997326203208556</v>
      </c>
      <c r="AG121" s="72">
        <v>0.995454545454545</v>
      </c>
      <c r="AH121" s="74">
        <v>0.92</v>
      </c>
      <c r="AI121" s="72">
        <v>0.961453396524487</v>
      </c>
      <c r="AJ121" s="72">
        <v>0.9725</v>
      </c>
      <c r="AK121" s="72">
        <v>0.981525025193147</v>
      </c>
      <c r="AL121" s="72">
        <v>0.977189813339</v>
      </c>
      <c r="AM121" s="71">
        <v>0.99</v>
      </c>
      <c r="AN121" s="76">
        <v>1</v>
      </c>
      <c r="AO121" s="76">
        <v>1</v>
      </c>
      <c r="AP121" s="76">
        <v>1</v>
      </c>
      <c r="AQ121" s="76">
        <v>1</v>
      </c>
      <c r="AR121" s="78">
        <v>0.105261498981944</v>
      </c>
      <c r="AS121" s="80">
        <v>0</v>
      </c>
      <c r="AT121" s="80">
        <v>0.666666666666667</v>
      </c>
      <c r="AU121" s="80">
        <v>0</v>
      </c>
      <c r="AV121" s="80">
        <v>0.205882352941176</v>
      </c>
      <c r="AW121" s="36"/>
      <c r="AX121" s="34"/>
    </row>
    <row r="122" ht="14.5" spans="1:50">
      <c r="A122" s="32"/>
      <c r="B122" s="36"/>
      <c r="C122" s="91" t="s">
        <v>132</v>
      </c>
      <c r="D122" s="69" t="s">
        <v>11</v>
      </c>
      <c r="E122" s="92" t="s">
        <v>175</v>
      </c>
      <c r="F122" s="92" t="s">
        <v>175</v>
      </c>
      <c r="G122" s="92" t="s">
        <v>175</v>
      </c>
      <c r="H122" s="92" t="s">
        <v>175</v>
      </c>
      <c r="I122" s="71">
        <v>0.9</v>
      </c>
      <c r="J122" s="72">
        <v>1</v>
      </c>
      <c r="K122" s="72">
        <v>1</v>
      </c>
      <c r="L122" s="73">
        <v>1</v>
      </c>
      <c r="M122" s="72">
        <v>1</v>
      </c>
      <c r="N122" s="74">
        <v>0.9</v>
      </c>
      <c r="O122" s="72">
        <v>0</v>
      </c>
      <c r="P122" s="72">
        <v>0</v>
      </c>
      <c r="Q122" s="72">
        <v>0</v>
      </c>
      <c r="R122" s="72">
        <v>0</v>
      </c>
      <c r="S122" s="74">
        <v>0.9</v>
      </c>
      <c r="T122" s="72">
        <v>0</v>
      </c>
      <c r="U122" s="72">
        <v>0</v>
      </c>
      <c r="V122" s="72">
        <v>1</v>
      </c>
      <c r="W122" s="72">
        <v>0.5</v>
      </c>
      <c r="X122" s="74">
        <v>0.92</v>
      </c>
      <c r="Y122" s="74">
        <v>0</v>
      </c>
      <c r="Z122" s="74">
        <v>0</v>
      </c>
      <c r="AA122" s="74">
        <v>0</v>
      </c>
      <c r="AB122" s="74">
        <v>0.166666666666667</v>
      </c>
      <c r="AC122" s="74">
        <v>0.92</v>
      </c>
      <c r="AD122" s="72">
        <v>0.990384615384615</v>
      </c>
      <c r="AE122" s="72">
        <v>0.975806451612903</v>
      </c>
      <c r="AF122" s="72">
        <v>0.977011494252874</v>
      </c>
      <c r="AG122" s="72">
        <v>0.980553154710458</v>
      </c>
      <c r="AH122" s="74">
        <v>0.92</v>
      </c>
      <c r="AI122" s="72">
        <v>0.970952260671887</v>
      </c>
      <c r="AJ122" s="72">
        <v>0.971187427240978</v>
      </c>
      <c r="AK122" s="72">
        <v>0.982973893303065</v>
      </c>
      <c r="AL122" s="72">
        <v>0.985939581063083</v>
      </c>
      <c r="AM122" s="71">
        <v>0.99</v>
      </c>
      <c r="AN122" s="76">
        <v>1</v>
      </c>
      <c r="AO122" s="76">
        <v>1</v>
      </c>
      <c r="AP122" s="76">
        <v>1</v>
      </c>
      <c r="AQ122" s="76">
        <v>1</v>
      </c>
      <c r="AR122" s="78">
        <v>0.105261498981944</v>
      </c>
      <c r="AS122" s="80">
        <v>0.133333333333333</v>
      </c>
      <c r="AT122" s="80">
        <v>0.25</v>
      </c>
      <c r="AU122" s="80">
        <v>0</v>
      </c>
      <c r="AV122" s="80">
        <v>0.206521739130435</v>
      </c>
      <c r="AW122" s="36"/>
      <c r="AX122" s="34"/>
    </row>
    <row r="123" ht="14.5" spans="1:50">
      <c r="A123" s="32"/>
      <c r="B123" s="36"/>
      <c r="C123" s="91" t="s">
        <v>132</v>
      </c>
      <c r="D123" s="69" t="s">
        <v>11</v>
      </c>
      <c r="E123" s="92" t="s">
        <v>176</v>
      </c>
      <c r="F123" s="92" t="s">
        <v>176</v>
      </c>
      <c r="G123" s="92" t="s">
        <v>176</v>
      </c>
      <c r="H123" s="92" t="s">
        <v>176</v>
      </c>
      <c r="I123" s="71">
        <v>0.9</v>
      </c>
      <c r="J123" s="72">
        <v>0.9875</v>
      </c>
      <c r="K123" s="72">
        <v>1</v>
      </c>
      <c r="L123" s="73">
        <v>0.987951807228916</v>
      </c>
      <c r="M123" s="72">
        <v>0.983673469387755</v>
      </c>
      <c r="N123" s="74">
        <v>0.9</v>
      </c>
      <c r="O123" s="72">
        <v>0</v>
      </c>
      <c r="P123" s="72">
        <v>0</v>
      </c>
      <c r="Q123" s="72">
        <v>0</v>
      </c>
      <c r="R123" s="72">
        <v>1</v>
      </c>
      <c r="S123" s="74">
        <v>0.9</v>
      </c>
      <c r="T123" s="72">
        <v>0</v>
      </c>
      <c r="U123" s="72">
        <v>0</v>
      </c>
      <c r="V123" s="72">
        <v>0</v>
      </c>
      <c r="W123" s="72">
        <v>0</v>
      </c>
      <c r="X123" s="74">
        <v>0.92</v>
      </c>
      <c r="Y123" s="74">
        <v>0</v>
      </c>
      <c r="Z123" s="74">
        <v>0</v>
      </c>
      <c r="AA123" s="74">
        <v>0</v>
      </c>
      <c r="AB123" s="74">
        <v>0</v>
      </c>
      <c r="AC123" s="74">
        <v>0.92</v>
      </c>
      <c r="AD123" s="72">
        <v>0.991416309012876</v>
      </c>
      <c r="AE123" s="72">
        <v>0.995215311004785</v>
      </c>
      <c r="AF123" s="72">
        <v>0.99</v>
      </c>
      <c r="AG123" s="72">
        <v>0.993093922651934</v>
      </c>
      <c r="AH123" s="74">
        <v>0.92</v>
      </c>
      <c r="AI123" s="72">
        <v>0.972534332084894</v>
      </c>
      <c r="AJ123" s="72">
        <v>0.982528589580686</v>
      </c>
      <c r="AK123" s="72">
        <v>0.985524728588661</v>
      </c>
      <c r="AL123" s="72">
        <v>0.983182116397036</v>
      </c>
      <c r="AM123" s="71">
        <v>0.99</v>
      </c>
      <c r="AN123" s="76">
        <v>1</v>
      </c>
      <c r="AO123" s="76">
        <v>1</v>
      </c>
      <c r="AP123" s="76">
        <v>1</v>
      </c>
      <c r="AQ123" s="76">
        <v>1</v>
      </c>
      <c r="AR123" s="78">
        <v>0.105261498981944</v>
      </c>
      <c r="AS123" s="80">
        <v>0.2</v>
      </c>
      <c r="AT123" s="80">
        <v>0.111111111111111</v>
      </c>
      <c r="AU123" s="80">
        <v>0.333333333333333</v>
      </c>
      <c r="AV123" s="80">
        <v>0.171052631578947</v>
      </c>
      <c r="AW123" s="36"/>
      <c r="AX123" s="34"/>
    </row>
    <row r="124" ht="14.5" spans="1:50">
      <c r="A124" s="32"/>
      <c r="B124" s="36"/>
      <c r="C124" s="91" t="s">
        <v>132</v>
      </c>
      <c r="D124" s="69" t="s">
        <v>11</v>
      </c>
      <c r="E124" s="92" t="s">
        <v>177</v>
      </c>
      <c r="F124" s="92" t="s">
        <v>177</v>
      </c>
      <c r="G124" s="92" t="s">
        <v>177</v>
      </c>
      <c r="H124" s="92" t="s">
        <v>177</v>
      </c>
      <c r="I124" s="71">
        <v>0.9</v>
      </c>
      <c r="J124" s="72">
        <v>0.985507246376812</v>
      </c>
      <c r="K124" s="72">
        <v>0.985507246376812</v>
      </c>
      <c r="L124" s="73">
        <v>1</v>
      </c>
      <c r="M124" s="72">
        <v>0.989864864864865</v>
      </c>
      <c r="N124" s="74">
        <v>0.9</v>
      </c>
      <c r="O124" s="72">
        <v>0</v>
      </c>
      <c r="P124" s="72">
        <v>0</v>
      </c>
      <c r="Q124" s="72">
        <v>0</v>
      </c>
      <c r="R124" s="72">
        <v>0</v>
      </c>
      <c r="S124" s="74">
        <v>0.9</v>
      </c>
      <c r="T124" s="72">
        <v>0</v>
      </c>
      <c r="U124" s="72">
        <v>0</v>
      </c>
      <c r="V124" s="72">
        <v>0</v>
      </c>
      <c r="W124" s="72">
        <v>0</v>
      </c>
      <c r="X124" s="74">
        <v>0.92</v>
      </c>
      <c r="Y124" s="74">
        <v>0</v>
      </c>
      <c r="Z124" s="74">
        <v>1</v>
      </c>
      <c r="AA124" s="74">
        <v>0</v>
      </c>
      <c r="AB124" s="74">
        <v>0.333333333333333</v>
      </c>
      <c r="AC124" s="74">
        <v>0.92</v>
      </c>
      <c r="AD124" s="72">
        <v>0.904153354632588</v>
      </c>
      <c r="AE124" s="72">
        <v>0.974025974025974</v>
      </c>
      <c r="AF124" s="72">
        <v>0.929503916449086</v>
      </c>
      <c r="AG124" s="72">
        <v>0.892762284196547</v>
      </c>
      <c r="AH124" s="74">
        <v>0.92</v>
      </c>
      <c r="AI124" s="72">
        <v>0.931692985677562</v>
      </c>
      <c r="AJ124" s="72">
        <v>0.937312986235787</v>
      </c>
      <c r="AK124" s="72">
        <v>0.948574622694243</v>
      </c>
      <c r="AL124" s="72">
        <v>0.952711081892752</v>
      </c>
      <c r="AM124" s="71">
        <v>0.99</v>
      </c>
      <c r="AN124" s="76">
        <v>1</v>
      </c>
      <c r="AO124" s="76">
        <v>1</v>
      </c>
      <c r="AP124" s="76">
        <v>1</v>
      </c>
      <c r="AQ124" s="76">
        <v>1</v>
      </c>
      <c r="AR124" s="78">
        <v>0.105261498981944</v>
      </c>
      <c r="AS124" s="80">
        <v>0</v>
      </c>
      <c r="AT124" s="80">
        <v>0</v>
      </c>
      <c r="AU124" s="80">
        <v>0</v>
      </c>
      <c r="AV124" s="80">
        <v>0.105263157894737</v>
      </c>
      <c r="AW124" s="36"/>
      <c r="AX124" s="34"/>
    </row>
    <row r="125" ht="14.5" spans="1:50">
      <c r="A125" s="32"/>
      <c r="B125" s="36"/>
      <c r="C125" s="91" t="s">
        <v>132</v>
      </c>
      <c r="D125" s="69" t="s">
        <v>11</v>
      </c>
      <c r="E125" s="92" t="s">
        <v>178</v>
      </c>
      <c r="F125" s="92" t="s">
        <v>178</v>
      </c>
      <c r="G125" s="92" t="s">
        <v>178</v>
      </c>
      <c r="H125" s="92" t="s">
        <v>178</v>
      </c>
      <c r="I125" s="71">
        <v>0.9</v>
      </c>
      <c r="J125" s="72">
        <v>0.964285714285714</v>
      </c>
      <c r="K125" s="72">
        <v>0.983050847457627</v>
      </c>
      <c r="L125" s="73">
        <v>1</v>
      </c>
      <c r="M125" s="72">
        <v>0.980769230769231</v>
      </c>
      <c r="N125" s="74">
        <v>0.9</v>
      </c>
      <c r="O125" s="72">
        <v>0</v>
      </c>
      <c r="P125" s="72">
        <v>0.333333333333333</v>
      </c>
      <c r="Q125" s="72">
        <v>0</v>
      </c>
      <c r="R125" s="72">
        <v>0.25</v>
      </c>
      <c r="S125" s="74">
        <v>0.9</v>
      </c>
      <c r="T125" s="72">
        <v>0</v>
      </c>
      <c r="U125" s="72">
        <v>0</v>
      </c>
      <c r="V125" s="72">
        <v>0</v>
      </c>
      <c r="W125" s="72">
        <v>0</v>
      </c>
      <c r="X125" s="74">
        <v>0.92</v>
      </c>
      <c r="Y125" s="74">
        <v>0</v>
      </c>
      <c r="Z125" s="74">
        <v>0</v>
      </c>
      <c r="AA125" s="74">
        <v>0</v>
      </c>
      <c r="AB125" s="74">
        <v>0</v>
      </c>
      <c r="AC125" s="74">
        <v>0.92</v>
      </c>
      <c r="AD125" s="72">
        <v>0.995726495726496</v>
      </c>
      <c r="AE125" s="72">
        <v>0.991379310344828</v>
      </c>
      <c r="AF125" s="72">
        <v>0.991489361702128</v>
      </c>
      <c r="AG125" s="72">
        <v>0.984003877847795</v>
      </c>
      <c r="AH125" s="74">
        <v>0.92</v>
      </c>
      <c r="AI125" s="72">
        <v>0.970513633481294</v>
      </c>
      <c r="AJ125" s="72">
        <v>0.976316268901439</v>
      </c>
      <c r="AK125" s="72">
        <v>0.98289241622575</v>
      </c>
      <c r="AL125" s="72">
        <v>0.981084675631742</v>
      </c>
      <c r="AM125" s="71">
        <v>0.99</v>
      </c>
      <c r="AN125" s="76">
        <v>1</v>
      </c>
      <c r="AO125" s="76">
        <v>1</v>
      </c>
      <c r="AP125" s="76">
        <v>1</v>
      </c>
      <c r="AQ125" s="76">
        <v>1</v>
      </c>
      <c r="AR125" s="78">
        <v>0.105261498981944</v>
      </c>
      <c r="AS125" s="80">
        <v>0</v>
      </c>
      <c r="AT125" s="80">
        <v>0</v>
      </c>
      <c r="AU125" s="80">
        <v>0</v>
      </c>
      <c r="AV125" s="80">
        <v>0.04</v>
      </c>
      <c r="AW125" s="36"/>
      <c r="AX125" s="34"/>
    </row>
    <row r="126" ht="14.5" spans="1:50">
      <c r="A126" s="32"/>
      <c r="B126" s="36"/>
      <c r="C126" s="91" t="s">
        <v>132</v>
      </c>
      <c r="D126" s="69" t="s">
        <v>11</v>
      </c>
      <c r="E126" s="92" t="s">
        <v>179</v>
      </c>
      <c r="F126" s="92" t="s">
        <v>179</v>
      </c>
      <c r="G126" s="92" t="s">
        <v>179</v>
      </c>
      <c r="H126" s="92" t="s">
        <v>179</v>
      </c>
      <c r="I126" s="71">
        <v>0.9</v>
      </c>
      <c r="J126" s="72">
        <v>1</v>
      </c>
      <c r="K126" s="72">
        <v>1</v>
      </c>
      <c r="L126" s="73">
        <v>1</v>
      </c>
      <c r="M126" s="72">
        <v>0.984709480122324</v>
      </c>
      <c r="N126" s="74">
        <v>0.9</v>
      </c>
      <c r="O126" s="72">
        <v>0</v>
      </c>
      <c r="P126" s="72">
        <v>0</v>
      </c>
      <c r="Q126" s="72">
        <v>0</v>
      </c>
      <c r="R126" s="72">
        <v>0</v>
      </c>
      <c r="S126" s="74">
        <v>0.9</v>
      </c>
      <c r="T126" s="72">
        <v>0</v>
      </c>
      <c r="U126" s="72">
        <v>0</v>
      </c>
      <c r="V126" s="72">
        <v>0</v>
      </c>
      <c r="W126" s="72">
        <v>0</v>
      </c>
      <c r="X126" s="74">
        <v>0.92</v>
      </c>
      <c r="Y126" s="74">
        <v>0</v>
      </c>
      <c r="Z126" s="74">
        <v>0</v>
      </c>
      <c r="AA126" s="74">
        <v>0</v>
      </c>
      <c r="AB126" s="74">
        <v>0</v>
      </c>
      <c r="AC126" s="74">
        <v>0.92</v>
      </c>
      <c r="AD126" s="72">
        <v>1</v>
      </c>
      <c r="AE126" s="72">
        <v>1</v>
      </c>
      <c r="AF126" s="72">
        <v>1</v>
      </c>
      <c r="AG126" s="72">
        <v>0.998046875</v>
      </c>
      <c r="AH126" s="74">
        <v>0.92</v>
      </c>
      <c r="AI126" s="72">
        <v>0.981629392971246</v>
      </c>
      <c r="AJ126" s="72">
        <v>0.986244401791427</v>
      </c>
      <c r="AK126" s="72">
        <v>0.987325316867078</v>
      </c>
      <c r="AL126" s="72">
        <v>0.985398129135295</v>
      </c>
      <c r="AM126" s="71">
        <v>0.99</v>
      </c>
      <c r="AN126" s="76">
        <v>1</v>
      </c>
      <c r="AO126" s="76">
        <v>1</v>
      </c>
      <c r="AP126" s="76">
        <v>1</v>
      </c>
      <c r="AQ126" s="76">
        <v>1</v>
      </c>
      <c r="AR126" s="78">
        <v>0.105261498981944</v>
      </c>
      <c r="AS126" s="80">
        <v>0</v>
      </c>
      <c r="AT126" s="80">
        <v>0</v>
      </c>
      <c r="AU126" s="80">
        <v>0</v>
      </c>
      <c r="AV126" s="80">
        <v>0</v>
      </c>
      <c r="AW126" s="36"/>
      <c r="AX126" s="34"/>
    </row>
    <row r="127" ht="14.5" spans="1:50">
      <c r="A127" s="32"/>
      <c r="B127" s="36"/>
      <c r="C127" s="91" t="s">
        <v>132</v>
      </c>
      <c r="D127" s="69" t="s">
        <v>11</v>
      </c>
      <c r="E127" s="92" t="s">
        <v>180</v>
      </c>
      <c r="F127" s="92" t="s">
        <v>180</v>
      </c>
      <c r="G127" s="92" t="s">
        <v>180</v>
      </c>
      <c r="H127" s="92" t="s">
        <v>180</v>
      </c>
      <c r="I127" s="71">
        <v>0.9</v>
      </c>
      <c r="J127" s="72">
        <v>0.99</v>
      </c>
      <c r="K127" s="72">
        <v>0.980582524271845</v>
      </c>
      <c r="L127" s="73">
        <v>0.990825688073395</v>
      </c>
      <c r="M127" s="72">
        <v>0.984025559105431</v>
      </c>
      <c r="N127" s="74">
        <v>0.9</v>
      </c>
      <c r="O127" s="72">
        <v>0</v>
      </c>
      <c r="P127" s="72">
        <v>0</v>
      </c>
      <c r="Q127" s="72">
        <v>0</v>
      </c>
      <c r="R127" s="72">
        <v>0</v>
      </c>
      <c r="S127" s="74">
        <v>0.9</v>
      </c>
      <c r="T127" s="72">
        <v>0</v>
      </c>
      <c r="U127" s="72">
        <v>0</v>
      </c>
      <c r="V127" s="72">
        <v>0</v>
      </c>
      <c r="W127" s="72">
        <v>0</v>
      </c>
      <c r="X127" s="74">
        <v>0.92</v>
      </c>
      <c r="Y127" s="74">
        <v>0</v>
      </c>
      <c r="Z127" s="74">
        <v>1</v>
      </c>
      <c r="AA127" s="74">
        <v>0</v>
      </c>
      <c r="AB127" s="74">
        <v>0.111111111111111</v>
      </c>
      <c r="AC127" s="74">
        <v>0.92</v>
      </c>
      <c r="AD127" s="72">
        <v>0.993023255813953</v>
      </c>
      <c r="AE127" s="72">
        <v>0.987538940809969</v>
      </c>
      <c r="AF127" s="72">
        <v>0.989038785834739</v>
      </c>
      <c r="AG127" s="72">
        <v>0.98884212586865</v>
      </c>
      <c r="AH127" s="74">
        <v>0.92</v>
      </c>
      <c r="AI127" s="72">
        <v>0.961296660117878</v>
      </c>
      <c r="AJ127" s="72">
        <v>0.975208526413346</v>
      </c>
      <c r="AK127" s="72">
        <v>0.985830637063483</v>
      </c>
      <c r="AL127" s="72">
        <v>0.982130803936197</v>
      </c>
      <c r="AM127" s="71">
        <v>0.99</v>
      </c>
      <c r="AN127" s="76">
        <v>1</v>
      </c>
      <c r="AO127" s="76">
        <v>1</v>
      </c>
      <c r="AP127" s="76">
        <v>1</v>
      </c>
      <c r="AQ127" s="76">
        <v>1</v>
      </c>
      <c r="AR127" s="78">
        <v>0.105261498981944</v>
      </c>
      <c r="AS127" s="80">
        <v>0.0625</v>
      </c>
      <c r="AT127" s="80">
        <v>0</v>
      </c>
      <c r="AU127" s="80">
        <v>0</v>
      </c>
      <c r="AV127" s="80">
        <v>0.040983606557377</v>
      </c>
      <c r="AW127" s="36"/>
      <c r="AX127" s="34"/>
    </row>
    <row r="128" ht="14.5" spans="1:50">
      <c r="A128" s="32"/>
      <c r="B128" s="36"/>
      <c r="C128" s="91" t="s">
        <v>132</v>
      </c>
      <c r="D128" s="69" t="s">
        <v>11</v>
      </c>
      <c r="E128" s="92" t="s">
        <v>181</v>
      </c>
      <c r="F128" s="92" t="s">
        <v>181</v>
      </c>
      <c r="G128" s="92" t="s">
        <v>181</v>
      </c>
      <c r="H128" s="92" t="s">
        <v>181</v>
      </c>
      <c r="I128" s="71">
        <v>0.9</v>
      </c>
      <c r="J128" s="72">
        <v>0.96078431372549</v>
      </c>
      <c r="K128" s="72">
        <v>0.942307692307692</v>
      </c>
      <c r="L128" s="73">
        <v>0.96078431372549</v>
      </c>
      <c r="M128" s="72">
        <v>0.9760348583878</v>
      </c>
      <c r="N128" s="74">
        <v>0.9</v>
      </c>
      <c r="O128" s="72">
        <v>0</v>
      </c>
      <c r="P128" s="72">
        <v>0.5</v>
      </c>
      <c r="Q128" s="72">
        <v>0</v>
      </c>
      <c r="R128" s="72">
        <v>0.4</v>
      </c>
      <c r="S128" s="74">
        <v>0.9</v>
      </c>
      <c r="T128" s="72">
        <v>0</v>
      </c>
      <c r="U128" s="72">
        <v>0</v>
      </c>
      <c r="V128" s="72">
        <v>0</v>
      </c>
      <c r="W128" s="72">
        <v>0.2</v>
      </c>
      <c r="X128" s="74">
        <v>0.92</v>
      </c>
      <c r="Y128" s="74">
        <v>0</v>
      </c>
      <c r="Z128" s="74">
        <v>0</v>
      </c>
      <c r="AA128" s="74">
        <v>0</v>
      </c>
      <c r="AB128" s="74">
        <v>0</v>
      </c>
      <c r="AC128" s="74">
        <v>0.92</v>
      </c>
      <c r="AD128" s="72">
        <v>0.973451327433628</v>
      </c>
      <c r="AE128" s="72">
        <v>0.93993993993994</v>
      </c>
      <c r="AF128" s="72">
        <v>0.984126984126984</v>
      </c>
      <c r="AG128" s="72">
        <v>0.972831423895254</v>
      </c>
      <c r="AH128" s="74">
        <v>0.92</v>
      </c>
      <c r="AI128" s="72">
        <v>0.954697986577181</v>
      </c>
      <c r="AJ128" s="72">
        <v>0.967967145790554</v>
      </c>
      <c r="AK128" s="72">
        <v>0.970840822848013</v>
      </c>
      <c r="AL128" s="72">
        <v>0.971700738520818</v>
      </c>
      <c r="AM128" s="71">
        <v>0.99</v>
      </c>
      <c r="AN128" s="76">
        <v>1</v>
      </c>
      <c r="AO128" s="76">
        <v>1</v>
      </c>
      <c r="AP128" s="76">
        <v>1</v>
      </c>
      <c r="AQ128" s="76">
        <v>1</v>
      </c>
      <c r="AR128" s="78">
        <v>0.105261498981944</v>
      </c>
      <c r="AS128" s="80">
        <v>0</v>
      </c>
      <c r="AT128" s="80">
        <v>0</v>
      </c>
      <c r="AU128" s="80">
        <v>0</v>
      </c>
      <c r="AV128" s="80">
        <v>0.028169014084507</v>
      </c>
      <c r="AW128" s="36"/>
      <c r="AX128" s="34"/>
    </row>
    <row r="129" ht="14.5" spans="1:50">
      <c r="A129" s="32"/>
      <c r="B129" s="36"/>
      <c r="C129" s="91" t="s">
        <v>132</v>
      </c>
      <c r="D129" s="69" t="s">
        <v>11</v>
      </c>
      <c r="E129" s="92" t="s">
        <v>182</v>
      </c>
      <c r="F129" s="92" t="s">
        <v>182</v>
      </c>
      <c r="G129" s="92" t="s">
        <v>182</v>
      </c>
      <c r="H129" s="92" t="s">
        <v>182</v>
      </c>
      <c r="I129" s="71">
        <v>0.9</v>
      </c>
      <c r="J129" s="72">
        <v>0.982142857142857</v>
      </c>
      <c r="K129" s="72">
        <v>0.963636363636364</v>
      </c>
      <c r="L129" s="73">
        <v>0.982142857142857</v>
      </c>
      <c r="M129" s="72">
        <v>0.990059642147117</v>
      </c>
      <c r="N129" s="74">
        <v>0.9</v>
      </c>
      <c r="O129" s="72">
        <v>0</v>
      </c>
      <c r="P129" s="72">
        <v>0</v>
      </c>
      <c r="Q129" s="72">
        <v>0</v>
      </c>
      <c r="R129" s="72">
        <v>0</v>
      </c>
      <c r="S129" s="74">
        <v>0.9</v>
      </c>
      <c r="T129" s="72">
        <v>0</v>
      </c>
      <c r="U129" s="72">
        <v>0</v>
      </c>
      <c r="V129" s="72">
        <v>0</v>
      </c>
      <c r="W129" s="72">
        <v>0</v>
      </c>
      <c r="X129" s="74">
        <v>0.92</v>
      </c>
      <c r="Y129" s="74">
        <v>0</v>
      </c>
      <c r="Z129" s="74">
        <v>0</v>
      </c>
      <c r="AA129" s="74">
        <v>0</v>
      </c>
      <c r="AB129" s="74">
        <v>0</v>
      </c>
      <c r="AC129" s="74">
        <v>0.92</v>
      </c>
      <c r="AD129" s="72">
        <v>1</v>
      </c>
      <c r="AE129" s="72">
        <v>0.989085948158254</v>
      </c>
      <c r="AF129" s="72">
        <v>0.99815157116451</v>
      </c>
      <c r="AG129" s="72">
        <v>0.995020311885729</v>
      </c>
      <c r="AH129" s="74">
        <v>0.92</v>
      </c>
      <c r="AI129" s="72">
        <v>0.974485090685521</v>
      </c>
      <c r="AJ129" s="72">
        <v>0.979626776236946</v>
      </c>
      <c r="AK129" s="72">
        <v>0.985021878155503</v>
      </c>
      <c r="AL129" s="72">
        <v>0.984523767698416</v>
      </c>
      <c r="AM129" s="71">
        <v>0.99</v>
      </c>
      <c r="AN129" s="76">
        <v>1</v>
      </c>
      <c r="AO129" s="76">
        <v>1</v>
      </c>
      <c r="AP129" s="76">
        <v>1</v>
      </c>
      <c r="AQ129" s="76">
        <v>1</v>
      </c>
      <c r="AR129" s="78">
        <v>0.105261498981944</v>
      </c>
      <c r="AS129" s="80">
        <v>0.181818181818182</v>
      </c>
      <c r="AT129" s="80">
        <v>0</v>
      </c>
      <c r="AU129" s="80">
        <v>0.1</v>
      </c>
      <c r="AV129" s="80">
        <v>0.0568181818181818</v>
      </c>
      <c r="AW129" s="36"/>
      <c r="AX129" s="34"/>
    </row>
    <row r="130" ht="14.5" spans="1:50">
      <c r="A130" s="32"/>
      <c r="B130" s="36"/>
      <c r="C130" s="91" t="s">
        <v>132</v>
      </c>
      <c r="D130" s="69" t="s">
        <v>11</v>
      </c>
      <c r="E130" s="92" t="s">
        <v>183</v>
      </c>
      <c r="F130" s="92" t="s">
        <v>183</v>
      </c>
      <c r="G130" s="92" t="s">
        <v>183</v>
      </c>
      <c r="H130" s="92" t="s">
        <v>183</v>
      </c>
      <c r="I130" s="71">
        <v>0.9</v>
      </c>
      <c r="J130" s="72">
        <v>0.95</v>
      </c>
      <c r="K130" s="72">
        <v>1</v>
      </c>
      <c r="L130" s="73">
        <v>1</v>
      </c>
      <c r="M130" s="72">
        <v>0.990842490842491</v>
      </c>
      <c r="N130" s="74">
        <v>0.9</v>
      </c>
      <c r="O130" s="72">
        <v>0.5</v>
      </c>
      <c r="P130" s="72">
        <v>0</v>
      </c>
      <c r="Q130" s="72">
        <v>0</v>
      </c>
      <c r="R130" s="72">
        <v>0.333333333333333</v>
      </c>
      <c r="S130" s="74">
        <v>0.9</v>
      </c>
      <c r="T130" s="72">
        <v>0</v>
      </c>
      <c r="U130" s="72">
        <v>0</v>
      </c>
      <c r="V130" s="72">
        <v>0</v>
      </c>
      <c r="W130" s="72">
        <v>0.333333333333333</v>
      </c>
      <c r="X130" s="74">
        <v>0.92</v>
      </c>
      <c r="Y130" s="74">
        <v>0</v>
      </c>
      <c r="Z130" s="74">
        <v>0</v>
      </c>
      <c r="AA130" s="74">
        <v>0</v>
      </c>
      <c r="AB130" s="74">
        <v>0</v>
      </c>
      <c r="AC130" s="74">
        <v>0.92</v>
      </c>
      <c r="AD130" s="72">
        <v>0.993377483443709</v>
      </c>
      <c r="AE130" s="72">
        <v>0.992110453648915</v>
      </c>
      <c r="AF130" s="72">
        <v>0.992569002123142</v>
      </c>
      <c r="AG130" s="72">
        <v>0.99191270860077</v>
      </c>
      <c r="AH130" s="74">
        <v>0.92</v>
      </c>
      <c r="AI130" s="72">
        <v>0.969558331866972</v>
      </c>
      <c r="AJ130" s="72">
        <v>0.970701151747828</v>
      </c>
      <c r="AK130" s="72">
        <v>0.978486506888092</v>
      </c>
      <c r="AL130" s="72">
        <v>0.981870949787302</v>
      </c>
      <c r="AM130" s="71">
        <v>0.99</v>
      </c>
      <c r="AN130" s="76">
        <v>1</v>
      </c>
      <c r="AO130" s="76">
        <v>1</v>
      </c>
      <c r="AP130" s="76">
        <v>1</v>
      </c>
      <c r="AQ130" s="76">
        <v>1</v>
      </c>
      <c r="AR130" s="78">
        <v>0.105261498981944</v>
      </c>
      <c r="AS130" s="80">
        <v>0</v>
      </c>
      <c r="AT130" s="80">
        <v>0</v>
      </c>
      <c r="AU130" s="80">
        <v>0</v>
      </c>
      <c r="AV130" s="80">
        <v>0.0540540540540541</v>
      </c>
      <c r="AW130" s="36"/>
      <c r="AX130" s="34"/>
    </row>
    <row r="131" ht="14.5" spans="1:50">
      <c r="A131" s="32"/>
      <c r="B131" s="36"/>
      <c r="C131" s="91" t="s">
        <v>132</v>
      </c>
      <c r="D131" s="69" t="s">
        <v>11</v>
      </c>
      <c r="E131" s="92" t="s">
        <v>184</v>
      </c>
      <c r="F131" s="92" t="s">
        <v>184</v>
      </c>
      <c r="G131" s="92" t="s">
        <v>184</v>
      </c>
      <c r="H131" s="92" t="s">
        <v>184</v>
      </c>
      <c r="I131" s="71">
        <v>0.9</v>
      </c>
      <c r="J131" s="72">
        <v>0.966101694915254</v>
      </c>
      <c r="K131" s="72">
        <v>1</v>
      </c>
      <c r="L131" s="73">
        <v>1</v>
      </c>
      <c r="M131" s="72">
        <v>0.99236641221374</v>
      </c>
      <c r="N131" s="74">
        <v>0.9</v>
      </c>
      <c r="O131" s="72">
        <v>0</v>
      </c>
      <c r="P131" s="72">
        <v>0</v>
      </c>
      <c r="Q131" s="72">
        <v>1</v>
      </c>
      <c r="R131" s="72">
        <v>1</v>
      </c>
      <c r="S131" s="74">
        <v>0.9</v>
      </c>
      <c r="T131" s="72">
        <v>0</v>
      </c>
      <c r="U131" s="72">
        <v>0</v>
      </c>
      <c r="V131" s="72">
        <v>1</v>
      </c>
      <c r="W131" s="72">
        <v>1</v>
      </c>
      <c r="X131" s="74">
        <v>0.92</v>
      </c>
      <c r="Y131" s="74">
        <v>0</v>
      </c>
      <c r="Z131" s="74">
        <v>0</v>
      </c>
      <c r="AA131" s="74">
        <v>0</v>
      </c>
      <c r="AB131" s="74">
        <v>0</v>
      </c>
      <c r="AC131" s="74">
        <v>0.92</v>
      </c>
      <c r="AD131" s="72">
        <v>0.997787610619469</v>
      </c>
      <c r="AE131" s="72">
        <v>0.978571428571429</v>
      </c>
      <c r="AF131" s="72">
        <v>0.996610169491525</v>
      </c>
      <c r="AG131" s="72">
        <v>0.980696311616684</v>
      </c>
      <c r="AH131" s="74">
        <v>0.92</v>
      </c>
      <c r="AI131" s="72">
        <v>0.96396711562008</v>
      </c>
      <c r="AJ131" s="72">
        <v>0.964612568639414</v>
      </c>
      <c r="AK131" s="72">
        <v>0.966884790799127</v>
      </c>
      <c r="AL131" s="72">
        <v>0.969365741406587</v>
      </c>
      <c r="AM131" s="71">
        <v>0.99</v>
      </c>
      <c r="AN131" s="76">
        <v>1</v>
      </c>
      <c r="AO131" s="76">
        <v>1</v>
      </c>
      <c r="AP131" s="76">
        <v>1</v>
      </c>
      <c r="AQ131" s="76">
        <v>1</v>
      </c>
      <c r="AR131" s="78">
        <v>0.105261498981944</v>
      </c>
      <c r="AS131" s="80">
        <v>0</v>
      </c>
      <c r="AT131" s="80">
        <v>0.142857142857143</v>
      </c>
      <c r="AU131" s="80">
        <v>0</v>
      </c>
      <c r="AV131" s="80">
        <v>0.125</v>
      </c>
      <c r="AW131" s="36"/>
      <c r="AX131" s="34"/>
    </row>
    <row r="132" ht="14.5" spans="1:50">
      <c r="A132" s="32"/>
      <c r="B132" s="36"/>
      <c r="C132" s="91" t="s">
        <v>132</v>
      </c>
      <c r="D132" s="69" t="s">
        <v>11</v>
      </c>
      <c r="E132" s="92" t="s">
        <v>185</v>
      </c>
      <c r="F132" s="92" t="s">
        <v>185</v>
      </c>
      <c r="G132" s="92" t="s">
        <v>185</v>
      </c>
      <c r="H132" s="92" t="s">
        <v>185</v>
      </c>
      <c r="I132" s="71">
        <v>0.9</v>
      </c>
      <c r="J132" s="72">
        <v>0.96875</v>
      </c>
      <c r="K132" s="72">
        <v>1</v>
      </c>
      <c r="L132" s="73">
        <v>1</v>
      </c>
      <c r="M132" s="72">
        <v>0.976190476190476</v>
      </c>
      <c r="N132" s="74">
        <v>0.9</v>
      </c>
      <c r="O132" s="72">
        <v>0</v>
      </c>
      <c r="P132" s="72">
        <v>0</v>
      </c>
      <c r="Q132" s="72">
        <v>0</v>
      </c>
      <c r="R132" s="72">
        <v>0</v>
      </c>
      <c r="S132" s="74">
        <v>0.9</v>
      </c>
      <c r="T132" s="72">
        <v>0</v>
      </c>
      <c r="U132" s="72">
        <v>0</v>
      </c>
      <c r="V132" s="72">
        <v>0</v>
      </c>
      <c r="W132" s="72">
        <v>0</v>
      </c>
      <c r="X132" s="74">
        <v>0.92</v>
      </c>
      <c r="Y132" s="74">
        <v>0</v>
      </c>
      <c r="Z132" s="74">
        <v>0</v>
      </c>
      <c r="AA132" s="74">
        <v>0</v>
      </c>
      <c r="AB132" s="74">
        <v>0</v>
      </c>
      <c r="AC132" s="74">
        <v>0.92</v>
      </c>
      <c r="AD132" s="72">
        <v>1</v>
      </c>
      <c r="AE132" s="72">
        <v>1</v>
      </c>
      <c r="AF132" s="72">
        <v>0.966666666666667</v>
      </c>
      <c r="AG132" s="72">
        <v>0.991071428571429</v>
      </c>
      <c r="AH132" s="74">
        <v>0.92</v>
      </c>
      <c r="AI132" s="72">
        <v>0.958606764260475</v>
      </c>
      <c r="AJ132" s="72">
        <v>0.97979797979798</v>
      </c>
      <c r="AK132" s="72">
        <v>0.979334098737084</v>
      </c>
      <c r="AL132" s="72">
        <v>0.979386686611817</v>
      </c>
      <c r="AM132" s="71">
        <v>0.99</v>
      </c>
      <c r="AN132" s="76">
        <v>1</v>
      </c>
      <c r="AO132" s="76">
        <v>1</v>
      </c>
      <c r="AP132" s="76">
        <v>1</v>
      </c>
      <c r="AQ132" s="76">
        <v>1</v>
      </c>
      <c r="AR132" s="78">
        <v>0.105261498981944</v>
      </c>
      <c r="AS132" s="80">
        <v>0</v>
      </c>
      <c r="AT132" s="80">
        <v>0</v>
      </c>
      <c r="AU132" s="80">
        <v>0</v>
      </c>
      <c r="AV132" s="80">
        <v>0.0612244897959184</v>
      </c>
      <c r="AW132" s="36"/>
      <c r="AX132" s="34"/>
    </row>
    <row r="133" ht="14.5" spans="1:50">
      <c r="A133" s="32"/>
      <c r="B133" s="36"/>
      <c r="C133" s="91" t="s">
        <v>132</v>
      </c>
      <c r="D133" s="69" t="s">
        <v>11</v>
      </c>
      <c r="E133" s="92" t="s">
        <v>186</v>
      </c>
      <c r="F133" s="92" t="s">
        <v>186</v>
      </c>
      <c r="G133" s="92" t="s">
        <v>186</v>
      </c>
      <c r="H133" s="92" t="s">
        <v>186</v>
      </c>
      <c r="I133" s="71">
        <v>0.9</v>
      </c>
      <c r="J133" s="72">
        <v>0.947368421052632</v>
      </c>
      <c r="K133" s="72">
        <v>1</v>
      </c>
      <c r="L133" s="73">
        <v>0.954545454545455</v>
      </c>
      <c r="M133" s="72">
        <v>0.967567567567568</v>
      </c>
      <c r="N133" s="74">
        <v>0.9</v>
      </c>
      <c r="O133" s="72">
        <v>0</v>
      </c>
      <c r="P133" s="72">
        <v>0</v>
      </c>
      <c r="Q133" s="72">
        <v>0</v>
      </c>
      <c r="R133" s="72">
        <v>0</v>
      </c>
      <c r="S133" s="74">
        <v>0.9</v>
      </c>
      <c r="T133" s="72">
        <v>0</v>
      </c>
      <c r="U133" s="72">
        <v>0</v>
      </c>
      <c r="V133" s="72">
        <v>0</v>
      </c>
      <c r="W133" s="72">
        <v>0</v>
      </c>
      <c r="X133" s="74">
        <v>0.92</v>
      </c>
      <c r="Y133" s="74">
        <v>0</v>
      </c>
      <c r="Z133" s="74">
        <v>0</v>
      </c>
      <c r="AA133" s="74">
        <v>0</v>
      </c>
      <c r="AB133" s="74">
        <v>0</v>
      </c>
      <c r="AC133" s="74">
        <v>0.92</v>
      </c>
      <c r="AD133" s="72">
        <v>0.979381443298969</v>
      </c>
      <c r="AE133" s="72">
        <v>1</v>
      </c>
      <c r="AF133" s="72">
        <v>0.982608695652174</v>
      </c>
      <c r="AG133" s="72">
        <v>0.986368062317429</v>
      </c>
      <c r="AH133" s="74">
        <v>0.92</v>
      </c>
      <c r="AI133" s="72">
        <v>0.989378442171518</v>
      </c>
      <c r="AJ133" s="72">
        <v>0.987822014051522</v>
      </c>
      <c r="AK133" s="72">
        <v>0.990077653149267</v>
      </c>
      <c r="AL133" s="72">
        <v>0.991739686016794</v>
      </c>
      <c r="AM133" s="71">
        <v>0.99</v>
      </c>
      <c r="AN133" s="76">
        <v>1</v>
      </c>
      <c r="AO133" s="76">
        <v>1</v>
      </c>
      <c r="AP133" s="76">
        <v>1</v>
      </c>
      <c r="AQ133" s="76">
        <v>1</v>
      </c>
      <c r="AR133" s="78">
        <v>0.105261498981944</v>
      </c>
      <c r="AS133" s="80">
        <v>0</v>
      </c>
      <c r="AT133" s="80">
        <v>0</v>
      </c>
      <c r="AU133" s="80">
        <v>0</v>
      </c>
      <c r="AV133" s="80">
        <v>0.0357142857142857</v>
      </c>
      <c r="AW133" s="36"/>
      <c r="AX133" s="34"/>
    </row>
    <row r="134" ht="14.5" spans="1:50">
      <c r="A134" s="32"/>
      <c r="B134" s="36"/>
      <c r="C134" s="91" t="s">
        <v>132</v>
      </c>
      <c r="D134" s="69" t="s">
        <v>11</v>
      </c>
      <c r="E134" s="92" t="s">
        <v>187</v>
      </c>
      <c r="F134" s="92" t="s">
        <v>187</v>
      </c>
      <c r="G134" s="92" t="s">
        <v>187</v>
      </c>
      <c r="H134" s="92" t="s">
        <v>187</v>
      </c>
      <c r="I134" s="71">
        <v>0.9</v>
      </c>
      <c r="J134" s="72">
        <v>0.986301369863014</v>
      </c>
      <c r="K134" s="72">
        <v>1</v>
      </c>
      <c r="L134" s="73">
        <v>1</v>
      </c>
      <c r="M134" s="72">
        <v>0.981954887218045</v>
      </c>
      <c r="N134" s="74">
        <v>0.9</v>
      </c>
      <c r="O134" s="72">
        <v>0</v>
      </c>
      <c r="P134" s="72">
        <v>0</v>
      </c>
      <c r="Q134" s="72">
        <v>0</v>
      </c>
      <c r="R134" s="72">
        <v>0</v>
      </c>
      <c r="S134" s="74">
        <v>0.9</v>
      </c>
      <c r="T134" s="72">
        <v>0</v>
      </c>
      <c r="U134" s="72">
        <v>0</v>
      </c>
      <c r="V134" s="72">
        <v>0</v>
      </c>
      <c r="W134" s="72">
        <v>0.333333333333333</v>
      </c>
      <c r="X134" s="74">
        <v>0.92</v>
      </c>
      <c r="Y134" s="74">
        <v>0</v>
      </c>
      <c r="Z134" s="74">
        <v>0</v>
      </c>
      <c r="AA134" s="74">
        <v>0</v>
      </c>
      <c r="AB134" s="74">
        <v>0</v>
      </c>
      <c r="AC134" s="74">
        <v>0.92</v>
      </c>
      <c r="AD134" s="72">
        <v>0.987841945288754</v>
      </c>
      <c r="AE134" s="72">
        <v>0.998003992015968</v>
      </c>
      <c r="AF134" s="72">
        <v>0.995481927710843</v>
      </c>
      <c r="AG134" s="72">
        <v>0.992310649750096</v>
      </c>
      <c r="AH134" s="74">
        <v>0.92</v>
      </c>
      <c r="AI134" s="72">
        <v>0.966366204762545</v>
      </c>
      <c r="AJ134" s="72">
        <v>0.984148550724638</v>
      </c>
      <c r="AK134" s="72">
        <v>0.987186870141088</v>
      </c>
      <c r="AL134" s="72">
        <v>0.986184991596898</v>
      </c>
      <c r="AM134" s="71">
        <v>0.99</v>
      </c>
      <c r="AN134" s="76">
        <v>1</v>
      </c>
      <c r="AO134" s="76">
        <v>1</v>
      </c>
      <c r="AP134" s="76">
        <v>1</v>
      </c>
      <c r="AQ134" s="76">
        <v>1</v>
      </c>
      <c r="AR134" s="78">
        <v>0.105261498981944</v>
      </c>
      <c r="AS134" s="80">
        <v>0.2</v>
      </c>
      <c r="AT134" s="80">
        <v>0</v>
      </c>
      <c r="AU134" s="80">
        <v>0.0588235294117647</v>
      </c>
      <c r="AV134" s="80">
        <v>0.0461538461538462</v>
      </c>
      <c r="AW134" s="36"/>
      <c r="AX134" s="34"/>
    </row>
    <row r="135" ht="14.5" spans="1:50">
      <c r="A135" s="32"/>
      <c r="B135" s="36"/>
      <c r="C135" s="91" t="s">
        <v>132</v>
      </c>
      <c r="D135" s="69" t="s">
        <v>11</v>
      </c>
      <c r="E135" s="92" t="s">
        <v>188</v>
      </c>
      <c r="F135" s="92" t="s">
        <v>188</v>
      </c>
      <c r="G135" s="92" t="s">
        <v>188</v>
      </c>
      <c r="H135" s="92" t="s">
        <v>188</v>
      </c>
      <c r="I135" s="71">
        <v>0.9</v>
      </c>
      <c r="J135" s="72">
        <v>0.985074626865672</v>
      </c>
      <c r="K135" s="72">
        <v>1</v>
      </c>
      <c r="L135" s="73">
        <v>0.986111111111111</v>
      </c>
      <c r="M135" s="72">
        <v>0.973101265822785</v>
      </c>
      <c r="N135" s="74">
        <v>0.9</v>
      </c>
      <c r="O135" s="72">
        <v>0</v>
      </c>
      <c r="P135" s="72">
        <v>0</v>
      </c>
      <c r="Q135" s="72">
        <v>0</v>
      </c>
      <c r="R135" s="72">
        <v>0</v>
      </c>
      <c r="S135" s="74">
        <v>0.9</v>
      </c>
      <c r="T135" s="72">
        <v>0</v>
      </c>
      <c r="U135" s="72">
        <v>0</v>
      </c>
      <c r="V135" s="72">
        <v>0</v>
      </c>
      <c r="W135" s="72">
        <v>0.5</v>
      </c>
      <c r="X135" s="74">
        <v>0.92</v>
      </c>
      <c r="Y135" s="74">
        <v>0</v>
      </c>
      <c r="Z135" s="74">
        <v>0</v>
      </c>
      <c r="AA135" s="74">
        <v>0</v>
      </c>
      <c r="AB135" s="74">
        <v>0</v>
      </c>
      <c r="AC135" s="74">
        <v>0.92</v>
      </c>
      <c r="AD135" s="72">
        <v>1</v>
      </c>
      <c r="AE135" s="72">
        <v>0.997289972899729</v>
      </c>
      <c r="AF135" s="72">
        <v>1</v>
      </c>
      <c r="AG135" s="72">
        <v>0.994630872483221</v>
      </c>
      <c r="AH135" s="74">
        <v>0.92</v>
      </c>
      <c r="AI135" s="72">
        <v>0.981378026070764</v>
      </c>
      <c r="AJ135" s="72">
        <v>0.98814097210623</v>
      </c>
      <c r="AK135" s="72">
        <v>0.991067155846228</v>
      </c>
      <c r="AL135" s="72">
        <v>0.98935026190724</v>
      </c>
      <c r="AM135" s="71">
        <v>0.99</v>
      </c>
      <c r="AN135" s="76">
        <v>1</v>
      </c>
      <c r="AO135" s="76">
        <v>1</v>
      </c>
      <c r="AP135" s="76">
        <v>1</v>
      </c>
      <c r="AQ135" s="76">
        <v>1</v>
      </c>
      <c r="AR135" s="78">
        <v>0.105261498981944</v>
      </c>
      <c r="AS135" s="80">
        <v>0.03125</v>
      </c>
      <c r="AT135" s="80">
        <v>0.0714285714285714</v>
      </c>
      <c r="AU135" s="80">
        <v>0.025</v>
      </c>
      <c r="AV135" s="80">
        <v>0.0405405405405405</v>
      </c>
      <c r="AW135" s="36"/>
      <c r="AX135" s="34"/>
    </row>
    <row r="136" ht="14.5" spans="1:50">
      <c r="A136" s="32"/>
      <c r="B136" s="36"/>
      <c r="C136" s="91" t="s">
        <v>132</v>
      </c>
      <c r="D136" s="69" t="s">
        <v>11</v>
      </c>
      <c r="E136" s="92" t="s">
        <v>189</v>
      </c>
      <c r="F136" s="92" t="s">
        <v>189</v>
      </c>
      <c r="G136" s="92" t="s">
        <v>189</v>
      </c>
      <c r="H136" s="92" t="s">
        <v>189</v>
      </c>
      <c r="I136" s="71">
        <v>0.9</v>
      </c>
      <c r="J136" s="72">
        <v>1</v>
      </c>
      <c r="K136" s="72">
        <v>0.979166666666667</v>
      </c>
      <c r="L136" s="73">
        <v>1</v>
      </c>
      <c r="M136" s="72">
        <v>0.988095238095238</v>
      </c>
      <c r="N136" s="74">
        <v>0.9</v>
      </c>
      <c r="O136" s="72">
        <v>0</v>
      </c>
      <c r="P136" s="72">
        <v>0</v>
      </c>
      <c r="Q136" s="72">
        <v>0</v>
      </c>
      <c r="R136" s="72">
        <v>0</v>
      </c>
      <c r="S136" s="74">
        <v>0.9</v>
      </c>
      <c r="T136" s="72">
        <v>0</v>
      </c>
      <c r="U136" s="72">
        <v>0</v>
      </c>
      <c r="V136" s="72">
        <v>0</v>
      </c>
      <c r="W136" s="72">
        <v>0</v>
      </c>
      <c r="X136" s="74">
        <v>0.92</v>
      </c>
      <c r="Y136" s="74">
        <v>0</v>
      </c>
      <c r="Z136" s="74">
        <v>0</v>
      </c>
      <c r="AA136" s="74">
        <v>0</v>
      </c>
      <c r="AB136" s="74">
        <v>0</v>
      </c>
      <c r="AC136" s="74">
        <v>0.92</v>
      </c>
      <c r="AD136" s="72">
        <v>0.996610169491525</v>
      </c>
      <c r="AE136" s="72">
        <v>0.990415335463259</v>
      </c>
      <c r="AF136" s="72">
        <v>0.993670886075949</v>
      </c>
      <c r="AG136" s="72">
        <v>0.996051032806804</v>
      </c>
      <c r="AH136" s="74">
        <v>0.92</v>
      </c>
      <c r="AI136" s="72">
        <v>0.983630235917188</v>
      </c>
      <c r="AJ136" s="72">
        <v>0.991402471789361</v>
      </c>
      <c r="AK136" s="72">
        <v>0.993357933579336</v>
      </c>
      <c r="AL136" s="72">
        <v>0.991954883198803</v>
      </c>
      <c r="AM136" s="71">
        <v>0.99</v>
      </c>
      <c r="AN136" s="76">
        <v>1</v>
      </c>
      <c r="AO136" s="76">
        <v>1</v>
      </c>
      <c r="AP136" s="76">
        <v>1</v>
      </c>
      <c r="AQ136" s="76">
        <v>1</v>
      </c>
      <c r="AR136" s="78">
        <v>0.105261498981944</v>
      </c>
      <c r="AS136" s="80">
        <v>0.25</v>
      </c>
      <c r="AT136" s="80">
        <v>0</v>
      </c>
      <c r="AU136" s="80">
        <v>0</v>
      </c>
      <c r="AV136" s="80">
        <v>0.147058823529412</v>
      </c>
      <c r="AW136" s="36"/>
      <c r="AX136" s="34"/>
    </row>
    <row r="137" ht="14.5" spans="1:50">
      <c r="A137" s="32"/>
      <c r="B137" s="36"/>
      <c r="C137" s="91" t="s">
        <v>132</v>
      </c>
      <c r="D137" s="69" t="s">
        <v>11</v>
      </c>
      <c r="E137" s="92" t="s">
        <v>190</v>
      </c>
      <c r="F137" s="92" t="s">
        <v>190</v>
      </c>
      <c r="G137" s="92" t="s">
        <v>190</v>
      </c>
      <c r="H137" s="92" t="s">
        <v>190</v>
      </c>
      <c r="I137" s="71">
        <v>0.9</v>
      </c>
      <c r="J137" s="72">
        <v>1</v>
      </c>
      <c r="K137" s="72">
        <v>1</v>
      </c>
      <c r="L137" s="73">
        <v>1</v>
      </c>
      <c r="M137" s="72">
        <v>0.996491228070175</v>
      </c>
      <c r="N137" s="74">
        <v>0.9</v>
      </c>
      <c r="O137" s="72">
        <v>0</v>
      </c>
      <c r="P137" s="72">
        <v>0</v>
      </c>
      <c r="Q137" s="72">
        <v>0</v>
      </c>
      <c r="R137" s="72">
        <v>0</v>
      </c>
      <c r="S137" s="74">
        <v>0.9</v>
      </c>
      <c r="T137" s="72">
        <v>0</v>
      </c>
      <c r="U137" s="72">
        <v>0</v>
      </c>
      <c r="V137" s="72">
        <v>0</v>
      </c>
      <c r="W137" s="72">
        <v>0</v>
      </c>
      <c r="X137" s="74">
        <v>0.92</v>
      </c>
      <c r="Y137" s="74">
        <v>0</v>
      </c>
      <c r="Z137" s="74">
        <v>0</v>
      </c>
      <c r="AA137" s="74">
        <v>0</v>
      </c>
      <c r="AB137" s="74">
        <v>0</v>
      </c>
      <c r="AC137" s="74">
        <v>0.92</v>
      </c>
      <c r="AD137" s="72">
        <v>0.987179487179487</v>
      </c>
      <c r="AE137" s="72">
        <v>0.962686567164179</v>
      </c>
      <c r="AF137" s="72">
        <v>0.993150684931507</v>
      </c>
      <c r="AG137" s="72">
        <v>0.976495726495726</v>
      </c>
      <c r="AH137" s="74">
        <v>0.92</v>
      </c>
      <c r="AI137" s="72">
        <v>0.972340425531915</v>
      </c>
      <c r="AJ137" s="72">
        <v>0.979076718698107</v>
      </c>
      <c r="AK137" s="72">
        <v>0.991992312620115</v>
      </c>
      <c r="AL137" s="72">
        <v>0.988592233009709</v>
      </c>
      <c r="AM137" s="71">
        <v>0.99</v>
      </c>
      <c r="AN137" s="76">
        <v>1</v>
      </c>
      <c r="AO137" s="76">
        <v>1</v>
      </c>
      <c r="AP137" s="76">
        <v>1</v>
      </c>
      <c r="AQ137" s="76">
        <v>1</v>
      </c>
      <c r="AR137" s="78">
        <v>0.105261498981944</v>
      </c>
      <c r="AS137" s="80">
        <v>0.333333333333333</v>
      </c>
      <c r="AT137" s="80">
        <v>0</v>
      </c>
      <c r="AU137" s="80">
        <v>0.5</v>
      </c>
      <c r="AV137" s="80">
        <v>0.214285714285714</v>
      </c>
      <c r="AW137" s="36"/>
      <c r="AX137" s="34"/>
    </row>
    <row r="138" ht="14.5" spans="1:50">
      <c r="A138" s="32"/>
      <c r="B138" s="36"/>
      <c r="C138" s="91" t="s">
        <v>132</v>
      </c>
      <c r="D138" s="69" t="s">
        <v>11</v>
      </c>
      <c r="E138" s="92" t="s">
        <v>191</v>
      </c>
      <c r="F138" s="92" t="s">
        <v>191</v>
      </c>
      <c r="G138" s="92" t="s">
        <v>191</v>
      </c>
      <c r="H138" s="92" t="s">
        <v>191</v>
      </c>
      <c r="I138" s="71">
        <v>0.9</v>
      </c>
      <c r="J138" s="72">
        <v>1</v>
      </c>
      <c r="K138" s="72">
        <v>0.969230769230769</v>
      </c>
      <c r="L138" s="73">
        <v>0.970588235294118</v>
      </c>
      <c r="M138" s="72">
        <v>0.985971943887776</v>
      </c>
      <c r="N138" s="74">
        <v>0.9</v>
      </c>
      <c r="O138" s="72">
        <v>0</v>
      </c>
      <c r="P138" s="72">
        <v>0</v>
      </c>
      <c r="Q138" s="72">
        <v>0</v>
      </c>
      <c r="R138" s="72">
        <v>0.111111111111111</v>
      </c>
      <c r="S138" s="74">
        <v>0.9</v>
      </c>
      <c r="T138" s="72">
        <v>0</v>
      </c>
      <c r="U138" s="72">
        <v>0</v>
      </c>
      <c r="V138" s="72">
        <v>0</v>
      </c>
      <c r="W138" s="72">
        <v>0.111111111111111</v>
      </c>
      <c r="X138" s="74">
        <v>0.92</v>
      </c>
      <c r="Y138" s="74">
        <v>0</v>
      </c>
      <c r="Z138" s="74">
        <v>0</v>
      </c>
      <c r="AA138" s="74">
        <v>0</v>
      </c>
      <c r="AB138" s="74">
        <v>0</v>
      </c>
      <c r="AC138" s="74">
        <v>0.92</v>
      </c>
      <c r="AD138" s="72">
        <v>1</v>
      </c>
      <c r="AE138" s="72">
        <v>0.99601593625498</v>
      </c>
      <c r="AF138" s="72">
        <v>0.996559633027523</v>
      </c>
      <c r="AG138" s="72">
        <v>0.997779936173165</v>
      </c>
      <c r="AH138" s="74">
        <v>0.92</v>
      </c>
      <c r="AI138" s="72">
        <v>0.975243571314486</v>
      </c>
      <c r="AJ138" s="72">
        <v>0.984075280492219</v>
      </c>
      <c r="AK138" s="72">
        <v>0.988775686409947</v>
      </c>
      <c r="AL138" s="72">
        <v>0.985075640909503</v>
      </c>
      <c r="AM138" s="71">
        <v>0.99</v>
      </c>
      <c r="AN138" s="76">
        <v>1</v>
      </c>
      <c r="AO138" s="76">
        <v>1</v>
      </c>
      <c r="AP138" s="76">
        <v>1</v>
      </c>
      <c r="AQ138" s="76">
        <v>1</v>
      </c>
      <c r="AR138" s="78">
        <v>0.105261498981944</v>
      </c>
      <c r="AS138" s="80">
        <v>0</v>
      </c>
      <c r="AT138" s="80">
        <v>0</v>
      </c>
      <c r="AU138" s="80">
        <v>0</v>
      </c>
      <c r="AV138" s="80">
        <v>0.0632911392405063</v>
      </c>
      <c r="AW138" s="36"/>
      <c r="AX138" s="34"/>
    </row>
    <row r="139" ht="14.5" spans="1:50">
      <c r="A139" s="32"/>
      <c r="B139" s="36"/>
      <c r="C139" s="91" t="s">
        <v>132</v>
      </c>
      <c r="D139" s="69" t="s">
        <v>11</v>
      </c>
      <c r="E139" s="92" t="s">
        <v>192</v>
      </c>
      <c r="F139" s="92" t="s">
        <v>192</v>
      </c>
      <c r="G139" s="92" t="s">
        <v>192</v>
      </c>
      <c r="H139" s="92" t="s">
        <v>192</v>
      </c>
      <c r="I139" s="71">
        <v>0.9</v>
      </c>
      <c r="J139" s="72">
        <v>0.966292134831461</v>
      </c>
      <c r="K139" s="72">
        <v>0.945054945054945</v>
      </c>
      <c r="L139" s="73">
        <v>0.959183673469388</v>
      </c>
      <c r="M139" s="72">
        <v>0.95083932853717</v>
      </c>
      <c r="N139" s="74">
        <v>0.9</v>
      </c>
      <c r="O139" s="72">
        <v>0.877534947824375</v>
      </c>
      <c r="P139" s="72">
        <v>0.950609630088861</v>
      </c>
      <c r="Q139" s="72">
        <v>0.950791396103896</v>
      </c>
      <c r="R139" s="72">
        <v>0.943868310858356</v>
      </c>
      <c r="S139" s="74">
        <v>0.9</v>
      </c>
      <c r="T139" s="72">
        <v>0.886493404213428</v>
      </c>
      <c r="U139" s="72">
        <v>0.927980987807398</v>
      </c>
      <c r="V139" s="72">
        <v>0.918425324675325</v>
      </c>
      <c r="W139" s="72">
        <v>0.924257979674469</v>
      </c>
      <c r="X139" s="74">
        <v>0.92</v>
      </c>
      <c r="Y139" s="74">
        <v>0.933741258741259</v>
      </c>
      <c r="Z139" s="74">
        <v>0.951232777374909</v>
      </c>
      <c r="AA139" s="74">
        <v>0.970045625867883</v>
      </c>
      <c r="AB139" s="74">
        <v>0.960039623158472</v>
      </c>
      <c r="AC139" s="74">
        <v>0.92</v>
      </c>
      <c r="AD139" s="72">
        <v>0.993040215450722</v>
      </c>
      <c r="AE139" s="72">
        <v>0.929031747288417</v>
      </c>
      <c r="AF139" s="72">
        <v>0.993594443372564</v>
      </c>
      <c r="AG139" s="72">
        <v>0.983260661091066</v>
      </c>
      <c r="AH139" s="74">
        <v>0.92</v>
      </c>
      <c r="AI139" s="72">
        <v>0.957430730478589</v>
      </c>
      <c r="AJ139" s="72">
        <v>0.972764949674364</v>
      </c>
      <c r="AK139" s="72">
        <v>0.981073825503356</v>
      </c>
      <c r="AL139" s="72">
        <v>0.976119313989282</v>
      </c>
      <c r="AM139" s="71">
        <v>0.99</v>
      </c>
      <c r="AN139" s="76">
        <v>1</v>
      </c>
      <c r="AO139" s="76">
        <v>1</v>
      </c>
      <c r="AP139" s="76">
        <v>1</v>
      </c>
      <c r="AQ139" s="76">
        <v>1</v>
      </c>
      <c r="AR139" s="78">
        <v>0.105261498981944</v>
      </c>
      <c r="AS139" s="80">
        <v>0.157894736842105</v>
      </c>
      <c r="AT139" s="80">
        <v>0.133333333333333</v>
      </c>
      <c r="AU139" s="80">
        <v>0</v>
      </c>
      <c r="AV139" s="80">
        <v>0.0698924731182796</v>
      </c>
      <c r="AW139" s="36"/>
      <c r="AX139" s="34"/>
    </row>
    <row r="140" ht="14.5" spans="1:50">
      <c r="A140" s="32"/>
      <c r="B140" s="36"/>
      <c r="C140" s="91" t="s">
        <v>132</v>
      </c>
      <c r="D140" s="69" t="s">
        <v>11</v>
      </c>
      <c r="E140" s="92" t="s">
        <v>193</v>
      </c>
      <c r="F140" s="92" t="s">
        <v>193</v>
      </c>
      <c r="G140" s="92" t="s">
        <v>193</v>
      </c>
      <c r="H140" s="92" t="s">
        <v>193</v>
      </c>
      <c r="I140" s="71">
        <v>0.9</v>
      </c>
      <c r="J140" s="72">
        <v>0.946666666666667</v>
      </c>
      <c r="K140" s="72">
        <v>1</v>
      </c>
      <c r="L140" s="73">
        <v>0.961038961038961</v>
      </c>
      <c r="M140" s="72">
        <v>0.973087818696884</v>
      </c>
      <c r="N140" s="74">
        <v>0.9</v>
      </c>
      <c r="O140" s="72">
        <v>0.955636743215031</v>
      </c>
      <c r="P140" s="72">
        <v>0.974510072632589</v>
      </c>
      <c r="Q140" s="72">
        <v>0.976301369863014</v>
      </c>
      <c r="R140" s="72">
        <v>0.970873786407767</v>
      </c>
      <c r="S140" s="74">
        <v>0.9</v>
      </c>
      <c r="T140" s="72">
        <v>0.920276617954071</v>
      </c>
      <c r="U140" s="72">
        <v>0.948609017404413</v>
      </c>
      <c r="V140" s="72">
        <v>0.934246575342466</v>
      </c>
      <c r="W140" s="72">
        <v>0.937965949959097</v>
      </c>
      <c r="X140" s="74">
        <v>0.92</v>
      </c>
      <c r="Y140" s="74">
        <v>0.948049052396879</v>
      </c>
      <c r="Z140" s="74">
        <v>0.960423377818684</v>
      </c>
      <c r="AA140" s="74">
        <v>0.971531161836368</v>
      </c>
      <c r="AB140" s="74">
        <v>0.963613037069389</v>
      </c>
      <c r="AC140" s="74">
        <v>0.92</v>
      </c>
      <c r="AD140" s="72">
        <v>0.991750396615547</v>
      </c>
      <c r="AE140" s="72">
        <v>0.977747942069816</v>
      </c>
      <c r="AF140" s="72">
        <v>0.985473343730145</v>
      </c>
      <c r="AG140" s="72">
        <v>0.982457279653337</v>
      </c>
      <c r="AH140" s="74">
        <v>0.92</v>
      </c>
      <c r="AI140" s="72">
        <v>0.969380195900897</v>
      </c>
      <c r="AJ140" s="72">
        <v>0.979903813122638</v>
      </c>
      <c r="AK140" s="72">
        <v>0.983660714285714</v>
      </c>
      <c r="AL140" s="72">
        <v>0.980331262939959</v>
      </c>
      <c r="AM140" s="71">
        <v>0.99</v>
      </c>
      <c r="AN140" s="76">
        <v>1</v>
      </c>
      <c r="AO140" s="76">
        <v>1</v>
      </c>
      <c r="AP140" s="76">
        <v>1</v>
      </c>
      <c r="AQ140" s="76">
        <v>1</v>
      </c>
      <c r="AR140" s="78">
        <v>0.105261498981944</v>
      </c>
      <c r="AS140" s="80">
        <v>0.0588235294117647</v>
      </c>
      <c r="AT140" s="80">
        <v>0.15</v>
      </c>
      <c r="AU140" s="80">
        <v>0.0833333333333333</v>
      </c>
      <c r="AV140" s="80">
        <v>0.116959064327485</v>
      </c>
      <c r="AW140" s="36"/>
      <c r="AX140" s="34"/>
    </row>
    <row r="141" ht="14.5" spans="1:50">
      <c r="A141" s="32"/>
      <c r="B141" s="36"/>
      <c r="C141" s="91" t="s">
        <v>132</v>
      </c>
      <c r="D141" s="69" t="s">
        <v>11</v>
      </c>
      <c r="E141" s="92" t="s">
        <v>194</v>
      </c>
      <c r="F141" s="92" t="s">
        <v>194</v>
      </c>
      <c r="G141" s="92" t="s">
        <v>194</v>
      </c>
      <c r="H141" s="92" t="s">
        <v>194</v>
      </c>
      <c r="I141" s="71">
        <v>0.9</v>
      </c>
      <c r="J141" s="72">
        <v>0.938775510204082</v>
      </c>
      <c r="K141" s="72">
        <v>0.970588235294118</v>
      </c>
      <c r="L141" s="73">
        <v>0.932038834951456</v>
      </c>
      <c r="M141" s="72">
        <v>0.961165048543689</v>
      </c>
      <c r="N141" s="74">
        <v>0.9</v>
      </c>
      <c r="O141" s="72">
        <v>0.876285150132771</v>
      </c>
      <c r="P141" s="72">
        <v>0.907727085902178</v>
      </c>
      <c r="Q141" s="72">
        <v>0.938185591461607</v>
      </c>
      <c r="R141" s="72">
        <v>0.913772762658406</v>
      </c>
      <c r="S141" s="74">
        <v>0.9</v>
      </c>
      <c r="T141" s="72">
        <v>0.885749302103901</v>
      </c>
      <c r="U141" s="72">
        <v>0.928894369091656</v>
      </c>
      <c r="V141" s="72">
        <v>0.931144381855915</v>
      </c>
      <c r="W141" s="72">
        <v>0.919462925658703</v>
      </c>
      <c r="X141" s="74">
        <v>0.92</v>
      </c>
      <c r="Y141" s="74">
        <v>0.867992267329467</v>
      </c>
      <c r="Z141" s="74">
        <v>0.89842508308048</v>
      </c>
      <c r="AA141" s="74">
        <v>0.915986180904523</v>
      </c>
      <c r="AB141" s="74">
        <v>0.911609520231308</v>
      </c>
      <c r="AC141" s="74">
        <v>0.92</v>
      </c>
      <c r="AD141" s="72">
        <v>0.992812959621142</v>
      </c>
      <c r="AE141" s="72">
        <v>0.9805626806175</v>
      </c>
      <c r="AF141" s="72">
        <v>0.990547523318804</v>
      </c>
      <c r="AG141" s="72">
        <v>0.988614991077504</v>
      </c>
      <c r="AH141" s="74">
        <v>0.92</v>
      </c>
      <c r="AI141" s="72">
        <v>0.911551606288448</v>
      </c>
      <c r="AJ141" s="72">
        <v>0.943239351572298</v>
      </c>
      <c r="AK141" s="72">
        <v>0.955359838953196</v>
      </c>
      <c r="AL141" s="72">
        <v>0.949800406718385</v>
      </c>
      <c r="AM141" s="71">
        <v>0.99</v>
      </c>
      <c r="AN141" s="76">
        <v>1</v>
      </c>
      <c r="AO141" s="76">
        <v>1</v>
      </c>
      <c r="AP141" s="76">
        <v>1</v>
      </c>
      <c r="AQ141" s="76">
        <v>1</v>
      </c>
      <c r="AR141" s="78">
        <v>0.105261498981944</v>
      </c>
      <c r="AS141" s="80">
        <v>0.375</v>
      </c>
      <c r="AT141" s="80">
        <v>0.032258064516129</v>
      </c>
      <c r="AU141" s="80">
        <v>0.0434782608695652</v>
      </c>
      <c r="AV141" s="80">
        <v>0.113122171945701</v>
      </c>
      <c r="AW141" s="36"/>
      <c r="AX141" s="34"/>
    </row>
    <row r="142" ht="14.5" spans="1:50">
      <c r="A142" s="32"/>
      <c r="B142" s="36"/>
      <c r="C142" s="91" t="s">
        <v>132</v>
      </c>
      <c r="D142" s="69" t="s">
        <v>11</v>
      </c>
      <c r="E142" s="92" t="s">
        <v>195</v>
      </c>
      <c r="F142" s="92" t="s">
        <v>195</v>
      </c>
      <c r="G142" s="92" t="s">
        <v>195</v>
      </c>
      <c r="H142" s="92" t="s">
        <v>195</v>
      </c>
      <c r="I142" s="71">
        <v>0.9</v>
      </c>
      <c r="J142" s="72">
        <v>0.939759036144578</v>
      </c>
      <c r="K142" s="72">
        <v>0.954545454545455</v>
      </c>
      <c r="L142" s="73">
        <v>0</v>
      </c>
      <c r="M142" s="72">
        <v>0.862282878411911</v>
      </c>
      <c r="N142" s="74">
        <v>0.9</v>
      </c>
      <c r="O142" s="72">
        <v>0.94029423003439</v>
      </c>
      <c r="P142" s="72">
        <v>0.951761466147564</v>
      </c>
      <c r="Q142" s="72">
        <v>0.948816948816949</v>
      </c>
      <c r="R142" s="72">
        <v>0.95579212894675</v>
      </c>
      <c r="S142" s="74">
        <v>0.9</v>
      </c>
      <c r="T142" s="72">
        <v>0.949273977837218</v>
      </c>
      <c r="U142" s="72">
        <v>0.932295128667743</v>
      </c>
      <c r="V142" s="72">
        <v>0.938025938025938</v>
      </c>
      <c r="W142" s="72">
        <v>0.937942239038885</v>
      </c>
      <c r="X142" s="74">
        <v>0.92</v>
      </c>
      <c r="Y142" s="74">
        <v>0.928479381443299</v>
      </c>
      <c r="Z142" s="74">
        <v>0.943430356849202</v>
      </c>
      <c r="AA142" s="74">
        <v>0.944483485593816</v>
      </c>
      <c r="AB142" s="74">
        <v>0.946560160919096</v>
      </c>
      <c r="AC142" s="74">
        <v>0.92</v>
      </c>
      <c r="AD142" s="72">
        <v>0.995854723549891</v>
      </c>
      <c r="AE142" s="72">
        <v>0.962045329921404</v>
      </c>
      <c r="AF142" s="72">
        <v>0.959036811513977</v>
      </c>
      <c r="AG142" s="72">
        <v>0.960905359602999</v>
      </c>
      <c r="AH142" s="74">
        <v>0.92</v>
      </c>
      <c r="AI142" s="72">
        <v>0.964762989153233</v>
      </c>
      <c r="AJ142" s="72">
        <v>0.968236780364555</v>
      </c>
      <c r="AK142" s="72">
        <v>0.969177215189873</v>
      </c>
      <c r="AL142" s="72">
        <v>0.972858056925839</v>
      </c>
      <c r="AM142" s="71">
        <v>0.99</v>
      </c>
      <c r="AN142" s="76">
        <v>1</v>
      </c>
      <c r="AO142" s="76">
        <v>1</v>
      </c>
      <c r="AP142" s="76">
        <v>1</v>
      </c>
      <c r="AQ142" s="76">
        <v>1</v>
      </c>
      <c r="AR142" s="78">
        <v>0.105261498981944</v>
      </c>
      <c r="AS142" s="80">
        <v>0.0625</v>
      </c>
      <c r="AT142" s="80">
        <v>0.15</v>
      </c>
      <c r="AU142" s="80">
        <v>0.0526315789473684</v>
      </c>
      <c r="AV142" s="80">
        <v>0.102564102564103</v>
      </c>
      <c r="AW142" s="36"/>
      <c r="AX142" s="34"/>
    </row>
    <row r="143" ht="14.5" spans="1:50">
      <c r="A143" s="32"/>
      <c r="B143" s="36"/>
      <c r="C143" s="91" t="s">
        <v>132</v>
      </c>
      <c r="D143" s="69" t="s">
        <v>11</v>
      </c>
      <c r="E143" s="92" t="s">
        <v>196</v>
      </c>
      <c r="F143" s="92" t="s">
        <v>196</v>
      </c>
      <c r="G143" s="92" t="s">
        <v>196</v>
      </c>
      <c r="H143" s="92" t="s">
        <v>196</v>
      </c>
      <c r="I143" s="71">
        <v>0.9</v>
      </c>
      <c r="J143" s="72">
        <v>1</v>
      </c>
      <c r="K143" s="72">
        <v>1</v>
      </c>
      <c r="L143" s="73">
        <v>1</v>
      </c>
      <c r="M143" s="72">
        <v>0.997093023255814</v>
      </c>
      <c r="N143" s="74">
        <v>0.9</v>
      </c>
      <c r="O143" s="72">
        <v>0.968608464782133</v>
      </c>
      <c r="P143" s="72">
        <v>0.979144774068386</v>
      </c>
      <c r="Q143" s="72">
        <v>0.968420149317772</v>
      </c>
      <c r="R143" s="72">
        <v>0.970966670015378</v>
      </c>
      <c r="S143" s="74">
        <v>0.9</v>
      </c>
      <c r="T143" s="72">
        <v>0.949398719350305</v>
      </c>
      <c r="U143" s="72">
        <v>0.975345566243634</v>
      </c>
      <c r="V143" s="72">
        <v>0.967304556766498</v>
      </c>
      <c r="W143" s="72">
        <v>0.963045679002805</v>
      </c>
      <c r="X143" s="74">
        <v>0.92</v>
      </c>
      <c r="Y143" s="74">
        <v>0.95367670877875</v>
      </c>
      <c r="Z143" s="74">
        <v>0.921017177500842</v>
      </c>
      <c r="AA143" s="74">
        <v>0.970378496982995</v>
      </c>
      <c r="AB143" s="74">
        <v>0.943354581796293</v>
      </c>
      <c r="AC143" s="74">
        <v>0.92</v>
      </c>
      <c r="AD143" s="72">
        <v>0.995415708042182</v>
      </c>
      <c r="AE143" s="72">
        <v>0.973180907290434</v>
      </c>
      <c r="AF143" s="72">
        <v>0.970742382315396</v>
      </c>
      <c r="AG143" s="72">
        <v>0.977536136418145</v>
      </c>
      <c r="AH143" s="74">
        <v>0.92</v>
      </c>
      <c r="AI143" s="72">
        <v>0.973772909205814</v>
      </c>
      <c r="AJ143" s="72">
        <v>0.966928618205632</v>
      </c>
      <c r="AK143" s="72">
        <v>0.982831868707443</v>
      </c>
      <c r="AL143" s="72">
        <v>0.974613516128368</v>
      </c>
      <c r="AM143" s="71">
        <v>0.99</v>
      </c>
      <c r="AN143" s="76">
        <v>1</v>
      </c>
      <c r="AO143" s="76">
        <v>1</v>
      </c>
      <c r="AP143" s="76">
        <v>1</v>
      </c>
      <c r="AQ143" s="76">
        <v>1</v>
      </c>
      <c r="AR143" s="78">
        <v>0.105261498981944</v>
      </c>
      <c r="AS143" s="80">
        <v>0.0666666666666667</v>
      </c>
      <c r="AT143" s="80">
        <v>0</v>
      </c>
      <c r="AU143" s="80">
        <v>0</v>
      </c>
      <c r="AV143" s="80">
        <v>0.0528846153846154</v>
      </c>
      <c r="AW143" s="36"/>
      <c r="AX143" s="34"/>
    </row>
    <row r="144" ht="14.5" spans="1:50">
      <c r="A144" s="32"/>
      <c r="B144" s="36"/>
      <c r="C144" s="91" t="s">
        <v>132</v>
      </c>
      <c r="D144" s="69" t="s">
        <v>11</v>
      </c>
      <c r="E144" s="92" t="s">
        <v>197</v>
      </c>
      <c r="F144" s="92" t="s">
        <v>197</v>
      </c>
      <c r="G144" s="92" t="s">
        <v>197</v>
      </c>
      <c r="H144" s="92" t="s">
        <v>197</v>
      </c>
      <c r="I144" s="71">
        <v>0.9</v>
      </c>
      <c r="J144" s="72">
        <v>1</v>
      </c>
      <c r="K144" s="72">
        <v>1</v>
      </c>
      <c r="L144" s="73">
        <v>1</v>
      </c>
      <c r="M144" s="72">
        <v>1</v>
      </c>
      <c r="N144" s="74">
        <v>0.9</v>
      </c>
      <c r="O144" s="72">
        <v>0.980995297805643</v>
      </c>
      <c r="P144" s="72">
        <v>0.861669082625802</v>
      </c>
      <c r="Q144" s="72">
        <v>0.966397556185904</v>
      </c>
      <c r="R144" s="72">
        <v>0.962645877176201</v>
      </c>
      <c r="S144" s="74">
        <v>0.9</v>
      </c>
      <c r="T144" s="72">
        <v>0.948667711598746</v>
      </c>
      <c r="U144" s="72">
        <v>0.963139366328432</v>
      </c>
      <c r="V144" s="72">
        <v>0.970106916866681</v>
      </c>
      <c r="W144" s="72">
        <v>0.966233020853262</v>
      </c>
      <c r="X144" s="74">
        <v>0.92</v>
      </c>
      <c r="Y144" s="74">
        <v>0.950947603121516</v>
      </c>
      <c r="Z144" s="74">
        <v>0.966819221967963</v>
      </c>
      <c r="AA144" s="74">
        <v>0.976070528967254</v>
      </c>
      <c r="AB144" s="74">
        <v>0.966240476398984</v>
      </c>
      <c r="AC144" s="74">
        <v>0.92</v>
      </c>
      <c r="AD144" s="72">
        <v>0.995800658902139</v>
      </c>
      <c r="AE144" s="72">
        <v>0.946109418345536</v>
      </c>
      <c r="AF144" s="72">
        <v>0.988757659177693</v>
      </c>
      <c r="AG144" s="72">
        <v>0.971548030048056</v>
      </c>
      <c r="AH144" s="74">
        <v>0.92</v>
      </c>
      <c r="AI144" s="72">
        <v>0.974993588099513</v>
      </c>
      <c r="AJ144" s="72">
        <v>0.983094056084798</v>
      </c>
      <c r="AK144" s="72">
        <v>0.987808376362593</v>
      </c>
      <c r="AL144" s="72">
        <v>0.983595151215289</v>
      </c>
      <c r="AM144" s="71">
        <v>0.99</v>
      </c>
      <c r="AN144" s="76">
        <v>1</v>
      </c>
      <c r="AO144" s="76">
        <v>1</v>
      </c>
      <c r="AP144" s="76">
        <v>1</v>
      </c>
      <c r="AQ144" s="76">
        <v>1</v>
      </c>
      <c r="AR144" s="78">
        <v>0.105261498981944</v>
      </c>
      <c r="AS144" s="80">
        <v>0.333333333333333</v>
      </c>
      <c r="AT144" s="80">
        <v>0.125</v>
      </c>
      <c r="AU144" s="80">
        <v>0</v>
      </c>
      <c r="AV144" s="80">
        <v>0.127906976744186</v>
      </c>
      <c r="AW144" s="36"/>
      <c r="AX144" s="34"/>
    </row>
    <row r="145" ht="14.5" spans="1:50">
      <c r="A145" s="32"/>
      <c r="B145" s="36"/>
      <c r="C145" s="91" t="s">
        <v>132</v>
      </c>
      <c r="D145" s="69" t="s">
        <v>11</v>
      </c>
      <c r="E145" s="92" t="s">
        <v>198</v>
      </c>
      <c r="F145" s="92" t="s">
        <v>198</v>
      </c>
      <c r="G145" s="92" t="s">
        <v>198</v>
      </c>
      <c r="H145" s="92" t="s">
        <v>198</v>
      </c>
      <c r="I145" s="71">
        <v>0.9</v>
      </c>
      <c r="J145" s="72">
        <v>0.908256880733945</v>
      </c>
      <c r="K145" s="72">
        <v>0.929203539823009</v>
      </c>
      <c r="L145" s="73">
        <v>0.911504424778761</v>
      </c>
      <c r="M145" s="72">
        <v>0.926949654491609</v>
      </c>
      <c r="N145" s="74">
        <v>0.9</v>
      </c>
      <c r="O145" s="72">
        <v>0.914189357981514</v>
      </c>
      <c r="P145" s="72">
        <v>0.949080245267929</v>
      </c>
      <c r="Q145" s="72">
        <v>0.926627461706783</v>
      </c>
      <c r="R145" s="72">
        <v>0.893226000092352</v>
      </c>
      <c r="S145" s="74">
        <v>0.9</v>
      </c>
      <c r="T145" s="72">
        <v>0.874656507619285</v>
      </c>
      <c r="U145" s="72">
        <v>0.92455345241269</v>
      </c>
      <c r="V145" s="72">
        <v>0.867683260393873</v>
      </c>
      <c r="W145" s="72">
        <v>0.879365543566932</v>
      </c>
      <c r="X145" s="74">
        <v>0.92</v>
      </c>
      <c r="Y145" s="74">
        <v>0.905319989465367</v>
      </c>
      <c r="Z145" s="74">
        <v>0.939026173417166</v>
      </c>
      <c r="AA145" s="74">
        <v>0.953627760252366</v>
      </c>
      <c r="AB145" s="74">
        <v>0.941062562065541</v>
      </c>
      <c r="AC145" s="74">
        <v>0.92</v>
      </c>
      <c r="AD145" s="72">
        <v>0.998482774355464</v>
      </c>
      <c r="AE145" s="72">
        <v>0.904952493894089</v>
      </c>
      <c r="AF145" s="72">
        <v>0.997447356899158</v>
      </c>
      <c r="AG145" s="72">
        <v>0.981777370469246</v>
      </c>
      <c r="AH145" s="74">
        <v>0.92</v>
      </c>
      <c r="AI145" s="72">
        <v>0.936684736574623</v>
      </c>
      <c r="AJ145" s="72">
        <v>0.967867441754017</v>
      </c>
      <c r="AK145" s="72">
        <v>0.96966372525638</v>
      </c>
      <c r="AL145" s="72">
        <v>0.961604924654261</v>
      </c>
      <c r="AM145" s="71">
        <v>0.99</v>
      </c>
      <c r="AN145" s="76">
        <v>1</v>
      </c>
      <c r="AO145" s="76">
        <v>1</v>
      </c>
      <c r="AP145" s="76">
        <v>1</v>
      </c>
      <c r="AQ145" s="76">
        <v>1</v>
      </c>
      <c r="AR145" s="78">
        <v>0.105261498981944</v>
      </c>
      <c r="AS145" s="80">
        <v>0.153846153846154</v>
      </c>
      <c r="AT145" s="80">
        <v>0.04</v>
      </c>
      <c r="AU145" s="80">
        <v>0</v>
      </c>
      <c r="AV145" s="80">
        <v>0.0772200772200772</v>
      </c>
      <c r="AW145" s="36"/>
      <c r="AX145" s="34"/>
    </row>
    <row r="146" ht="14.5" spans="1:50">
      <c r="A146" s="32"/>
      <c r="B146" s="36"/>
      <c r="C146" s="91" t="s">
        <v>132</v>
      </c>
      <c r="D146" s="69" t="s">
        <v>11</v>
      </c>
      <c r="E146" s="92" t="s">
        <v>199</v>
      </c>
      <c r="F146" s="92" t="s">
        <v>199</v>
      </c>
      <c r="G146" s="92" t="s">
        <v>199</v>
      </c>
      <c r="H146" s="92" t="s">
        <v>199</v>
      </c>
      <c r="I146" s="71">
        <v>0.9</v>
      </c>
      <c r="J146" s="72">
        <v>0.918367346938776</v>
      </c>
      <c r="K146" s="72">
        <v>0.962962962962963</v>
      </c>
      <c r="L146" s="73">
        <v>0.944444444444444</v>
      </c>
      <c r="M146" s="72">
        <v>0.93717277486911</v>
      </c>
      <c r="N146" s="74">
        <v>0.9</v>
      </c>
      <c r="O146" s="72">
        <v>0.974815508960993</v>
      </c>
      <c r="P146" s="72">
        <v>0.972646718890459</v>
      </c>
      <c r="Q146" s="72">
        <v>0.980858170606372</v>
      </c>
      <c r="R146" s="72">
        <v>0.974926684179071</v>
      </c>
      <c r="S146" s="74">
        <v>0.9</v>
      </c>
      <c r="T146" s="72">
        <v>0.92374370387724</v>
      </c>
      <c r="U146" s="72">
        <v>0.947348144343136</v>
      </c>
      <c r="V146" s="72">
        <v>0.942446043165468</v>
      </c>
      <c r="W146" s="72">
        <v>0.939040153442021</v>
      </c>
      <c r="X146" s="74">
        <v>0.92</v>
      </c>
      <c r="Y146" s="74">
        <v>0.925034867503487</v>
      </c>
      <c r="Z146" s="74">
        <v>0.935131057891759</v>
      </c>
      <c r="AA146" s="74">
        <v>0.945807314897413</v>
      </c>
      <c r="AB146" s="74">
        <v>0.94736354798389</v>
      </c>
      <c r="AC146" s="74">
        <v>0.92</v>
      </c>
      <c r="AD146" s="72">
        <v>0.994416501315122</v>
      </c>
      <c r="AE146" s="72">
        <v>0.98989898989899</v>
      </c>
      <c r="AF146" s="72">
        <v>0.993374762467259</v>
      </c>
      <c r="AG146" s="72">
        <v>0.991351571862013</v>
      </c>
      <c r="AH146" s="74">
        <v>0.92</v>
      </c>
      <c r="AI146" s="72">
        <v>0.953348276828243</v>
      </c>
      <c r="AJ146" s="72">
        <v>0.963721072328725</v>
      </c>
      <c r="AK146" s="72">
        <v>0.970979049482351</v>
      </c>
      <c r="AL146" s="72">
        <v>0.971398801771295</v>
      </c>
      <c r="AM146" s="71">
        <v>0.99</v>
      </c>
      <c r="AN146" s="76">
        <v>1</v>
      </c>
      <c r="AO146" s="76">
        <v>1</v>
      </c>
      <c r="AP146" s="76">
        <v>1</v>
      </c>
      <c r="AQ146" s="76">
        <v>1</v>
      </c>
      <c r="AR146" s="78">
        <v>0.105261498981944</v>
      </c>
      <c r="AS146" s="80">
        <v>0.461538461538462</v>
      </c>
      <c r="AT146" s="80">
        <v>0</v>
      </c>
      <c r="AU146" s="80">
        <v>0.0769230769230769</v>
      </c>
      <c r="AV146" s="80">
        <v>0.12751677852349</v>
      </c>
      <c r="AW146" s="36"/>
      <c r="AX146" s="34"/>
    </row>
    <row r="147" ht="14.5" spans="1:50">
      <c r="A147" s="32"/>
      <c r="B147" s="36"/>
      <c r="C147" s="91" t="s">
        <v>132</v>
      </c>
      <c r="D147" s="69" t="s">
        <v>11</v>
      </c>
      <c r="E147" s="92" t="s">
        <v>200</v>
      </c>
      <c r="F147" s="92" t="s">
        <v>200</v>
      </c>
      <c r="G147" s="92" t="s">
        <v>200</v>
      </c>
      <c r="H147" s="92" t="s">
        <v>200</v>
      </c>
      <c r="I147" s="71">
        <v>0.9</v>
      </c>
      <c r="J147" s="72">
        <v>0.987341772151899</v>
      </c>
      <c r="K147" s="72">
        <v>0.963414634146341</v>
      </c>
      <c r="L147" s="73">
        <v>0.953488372093023</v>
      </c>
      <c r="M147" s="72">
        <v>0.955380577427822</v>
      </c>
      <c r="N147" s="74">
        <v>0.9</v>
      </c>
      <c r="O147" s="72">
        <v>0.972334987219967</v>
      </c>
      <c r="P147" s="72">
        <v>0.985054575986566</v>
      </c>
      <c r="Q147" s="72">
        <v>0.978964941569282</v>
      </c>
      <c r="R147" s="72">
        <v>0.981870577077406</v>
      </c>
      <c r="S147" s="74">
        <v>0.9</v>
      </c>
      <c r="T147" s="72">
        <v>0.938204781235904</v>
      </c>
      <c r="U147" s="72">
        <v>0.954156171284635</v>
      </c>
      <c r="V147" s="72">
        <v>0.958430717863105</v>
      </c>
      <c r="W147" s="72">
        <v>0.948548187057708</v>
      </c>
      <c r="X147" s="74">
        <v>0.92</v>
      </c>
      <c r="Y147" s="74">
        <v>0.921046484466246</v>
      </c>
      <c r="Z147" s="74">
        <v>0.949988092402953</v>
      </c>
      <c r="AA147" s="74">
        <v>0.95081001472754</v>
      </c>
      <c r="AB147" s="74">
        <v>0.948060646654083</v>
      </c>
      <c r="AC147" s="74">
        <v>0.92</v>
      </c>
      <c r="AD147" s="72">
        <v>0.992304210049796</v>
      </c>
      <c r="AE147" s="72">
        <v>0.994475773967085</v>
      </c>
      <c r="AF147" s="72">
        <v>0.991689073576143</v>
      </c>
      <c r="AG147" s="72">
        <v>0.966825883070312</v>
      </c>
      <c r="AH147" s="74">
        <v>0.92</v>
      </c>
      <c r="AI147" s="72">
        <v>0.953909465020576</v>
      </c>
      <c r="AJ147" s="72">
        <v>0.971844851348691</v>
      </c>
      <c r="AK147" s="72">
        <v>0.976882923191648</v>
      </c>
      <c r="AL147" s="72">
        <v>0.973442043446035</v>
      </c>
      <c r="AM147" s="71">
        <v>0.99</v>
      </c>
      <c r="AN147" s="76">
        <v>1</v>
      </c>
      <c r="AO147" s="76">
        <v>1</v>
      </c>
      <c r="AP147" s="76">
        <v>1</v>
      </c>
      <c r="AQ147" s="76">
        <v>1</v>
      </c>
      <c r="AR147" s="78">
        <v>0.105261498981944</v>
      </c>
      <c r="AS147" s="80">
        <v>0.0588235294117647</v>
      </c>
      <c r="AT147" s="80">
        <v>0.2</v>
      </c>
      <c r="AU147" s="80">
        <v>0.272727272727273</v>
      </c>
      <c r="AV147" s="80">
        <v>0.135593220338983</v>
      </c>
      <c r="AW147" s="36"/>
      <c r="AX147" s="34"/>
    </row>
    <row r="148" ht="14.5" spans="1:50">
      <c r="A148" s="32"/>
      <c r="B148" s="36"/>
      <c r="C148" s="91" t="s">
        <v>132</v>
      </c>
      <c r="D148" s="69" t="s">
        <v>11</v>
      </c>
      <c r="E148" s="92" t="s">
        <v>201</v>
      </c>
      <c r="F148" s="92" t="s">
        <v>201</v>
      </c>
      <c r="G148" s="92" t="s">
        <v>201</v>
      </c>
      <c r="H148" s="92" t="s">
        <v>201</v>
      </c>
      <c r="I148" s="71">
        <v>0.9</v>
      </c>
      <c r="J148" s="72">
        <v>1</v>
      </c>
      <c r="K148" s="72">
        <v>1</v>
      </c>
      <c r="L148" s="73">
        <v>0.977777777777778</v>
      </c>
      <c r="M148" s="72">
        <v>0.994832041343669</v>
      </c>
      <c r="N148" s="74">
        <v>0.9</v>
      </c>
      <c r="O148" s="72">
        <v>0.9009373668513</v>
      </c>
      <c r="P148" s="72">
        <v>0.958021329702746</v>
      </c>
      <c r="Q148" s="72">
        <v>0.946892655367232</v>
      </c>
      <c r="R148" s="72">
        <v>0.943584965797926</v>
      </c>
      <c r="S148" s="74">
        <v>0.9</v>
      </c>
      <c r="T148" s="72">
        <v>0.897741798040051</v>
      </c>
      <c r="U148" s="72">
        <v>0.914227365554799</v>
      </c>
      <c r="V148" s="72">
        <v>0.95728813559322</v>
      </c>
      <c r="W148" s="72">
        <v>0.921077794395273</v>
      </c>
      <c r="X148" s="74">
        <v>0.92</v>
      </c>
      <c r="Y148" s="74">
        <v>0.91356783919598</v>
      </c>
      <c r="Z148" s="74">
        <v>0.95</v>
      </c>
      <c r="AA148" s="74">
        <v>0.955741626794258</v>
      </c>
      <c r="AB148" s="74">
        <v>0.950569228193538</v>
      </c>
      <c r="AC148" s="74">
        <v>0.92</v>
      </c>
      <c r="AD148" s="72">
        <v>0.983518452167682</v>
      </c>
      <c r="AE148" s="72">
        <v>0.95967824050504</v>
      </c>
      <c r="AF148" s="72">
        <v>0.937150979794903</v>
      </c>
      <c r="AG148" s="72">
        <v>0.96471905431443</v>
      </c>
      <c r="AH148" s="74">
        <v>0.92</v>
      </c>
      <c r="AI148" s="72">
        <v>0.949479166666667</v>
      </c>
      <c r="AJ148" s="72">
        <v>0.971931755641167</v>
      </c>
      <c r="AK148" s="72">
        <v>0.978075869032165</v>
      </c>
      <c r="AL148" s="72">
        <v>0.973934821594212</v>
      </c>
      <c r="AM148" s="71">
        <v>0.99</v>
      </c>
      <c r="AN148" s="76">
        <v>1</v>
      </c>
      <c r="AO148" s="76">
        <v>1</v>
      </c>
      <c r="AP148" s="76">
        <v>1</v>
      </c>
      <c r="AQ148" s="76">
        <v>1</v>
      </c>
      <c r="AR148" s="78">
        <v>0.105261498981944</v>
      </c>
      <c r="AS148" s="80">
        <v>0</v>
      </c>
      <c r="AT148" s="80">
        <v>0.125</v>
      </c>
      <c r="AU148" s="80">
        <v>0.222222222222222</v>
      </c>
      <c r="AV148" s="80">
        <v>0.112068965517241</v>
      </c>
      <c r="AW148" s="36"/>
      <c r="AX148" s="34"/>
    </row>
    <row r="149" ht="14.5" spans="1:50">
      <c r="A149" s="32"/>
      <c r="B149" s="36"/>
      <c r="C149" s="91" t="s">
        <v>132</v>
      </c>
      <c r="D149" s="69" t="s">
        <v>11</v>
      </c>
      <c r="E149" s="92" t="s">
        <v>202</v>
      </c>
      <c r="F149" s="92" t="s">
        <v>202</v>
      </c>
      <c r="G149" s="92" t="s">
        <v>202</v>
      </c>
      <c r="H149" s="92" t="s">
        <v>202</v>
      </c>
      <c r="I149" s="71">
        <v>0.9</v>
      </c>
      <c r="J149" s="72">
        <v>0.975</v>
      </c>
      <c r="K149" s="72">
        <v>0.965116279069767</v>
      </c>
      <c r="L149" s="73">
        <v>0.988372093023256</v>
      </c>
      <c r="M149" s="72">
        <v>0.979367262723521</v>
      </c>
      <c r="N149" s="74">
        <v>0.9</v>
      </c>
      <c r="O149" s="72">
        <v>0.911761194029851</v>
      </c>
      <c r="P149" s="72">
        <v>0.946457886096729</v>
      </c>
      <c r="Q149" s="72">
        <v>0.94927723283428</v>
      </c>
      <c r="R149" s="72">
        <v>0.912184458584537</v>
      </c>
      <c r="S149" s="74">
        <v>0.9</v>
      </c>
      <c r="T149" s="72">
        <v>0.875940298507463</v>
      </c>
      <c r="U149" s="72">
        <v>0.915140800606137</v>
      </c>
      <c r="V149" s="72">
        <v>0.909912235415591</v>
      </c>
      <c r="W149" s="72">
        <v>0.886425975689561</v>
      </c>
      <c r="X149" s="74">
        <v>0.92</v>
      </c>
      <c r="Y149" s="74">
        <v>0.944040697674419</v>
      </c>
      <c r="Z149" s="74">
        <v>0.91801781228591</v>
      </c>
      <c r="AA149" s="74">
        <v>0.922043010752688</v>
      </c>
      <c r="AB149" s="74">
        <v>0.915961588372697</v>
      </c>
      <c r="AC149" s="74">
        <v>0.92</v>
      </c>
      <c r="AD149" s="72">
        <v>0.991661856199089</v>
      </c>
      <c r="AE149" s="72">
        <v>0.990000602373351</v>
      </c>
      <c r="AF149" s="72">
        <v>0.985686172011931</v>
      </c>
      <c r="AG149" s="72">
        <v>0.989720444463794</v>
      </c>
      <c r="AH149" s="74">
        <v>0.92</v>
      </c>
      <c r="AI149" s="72">
        <v>0.940028786182632</v>
      </c>
      <c r="AJ149" s="72">
        <v>0.954405071521456</v>
      </c>
      <c r="AK149" s="72">
        <v>0.962928559364972</v>
      </c>
      <c r="AL149" s="72">
        <v>0.949725934314836</v>
      </c>
      <c r="AM149" s="71">
        <v>0.99</v>
      </c>
      <c r="AN149" s="76">
        <v>1</v>
      </c>
      <c r="AO149" s="76">
        <v>1</v>
      </c>
      <c r="AP149" s="76">
        <v>1</v>
      </c>
      <c r="AQ149" s="76">
        <v>1</v>
      </c>
      <c r="AR149" s="78">
        <v>0.105261498981944</v>
      </c>
      <c r="AS149" s="80">
        <v>0.2</v>
      </c>
      <c r="AT149" s="80">
        <v>0</v>
      </c>
      <c r="AU149" s="80">
        <v>0</v>
      </c>
      <c r="AV149" s="80">
        <v>0.0934065934065934</v>
      </c>
      <c r="AW149" s="36"/>
      <c r="AX149" s="34"/>
    </row>
    <row r="150" ht="14.5" spans="1:50">
      <c r="A150" s="32"/>
      <c r="B150" s="36"/>
      <c r="C150" s="91" t="s">
        <v>132</v>
      </c>
      <c r="D150" s="69" t="s">
        <v>11</v>
      </c>
      <c r="E150" s="92" t="s">
        <v>203</v>
      </c>
      <c r="F150" s="92" t="s">
        <v>203</v>
      </c>
      <c r="G150" s="92" t="s">
        <v>203</v>
      </c>
      <c r="H150" s="92" t="s">
        <v>203</v>
      </c>
      <c r="I150" s="71">
        <v>0.9</v>
      </c>
      <c r="J150" s="72">
        <v>1</v>
      </c>
      <c r="K150" s="72">
        <v>0.136363636363636</v>
      </c>
      <c r="L150" s="73">
        <v>1</v>
      </c>
      <c r="M150" s="72">
        <v>0.625668449197861</v>
      </c>
      <c r="N150" s="74">
        <v>0.9</v>
      </c>
      <c r="O150" s="72">
        <v>0.895807644882861</v>
      </c>
      <c r="P150" s="72">
        <v>0.920126782884311</v>
      </c>
      <c r="Q150" s="72">
        <v>0.902086677367576</v>
      </c>
      <c r="R150" s="72">
        <v>0.805685286654654</v>
      </c>
      <c r="S150" s="74">
        <v>0.9</v>
      </c>
      <c r="T150" s="72">
        <v>0.754007398273736</v>
      </c>
      <c r="U150" s="72">
        <v>0.846275752773376</v>
      </c>
      <c r="V150" s="72">
        <v>0.8446227929374</v>
      </c>
      <c r="W150" s="72">
        <v>0.769609826058177</v>
      </c>
      <c r="X150" s="74">
        <v>0.92</v>
      </c>
      <c r="Y150" s="74">
        <v>0.890097309673726</v>
      </c>
      <c r="Z150" s="74">
        <v>0.93557268722467</v>
      </c>
      <c r="AA150" s="74">
        <v>0.939873417721519</v>
      </c>
      <c r="AB150" s="74">
        <v>0.932253414784817</v>
      </c>
      <c r="AC150" s="74">
        <v>0.92</v>
      </c>
      <c r="AD150" s="72">
        <v>0.989027951606174</v>
      </c>
      <c r="AE150" s="72">
        <v>0.979718103606077</v>
      </c>
      <c r="AF150" s="72">
        <v>0.982927727379239</v>
      </c>
      <c r="AG150" s="72">
        <v>0.981839120489461</v>
      </c>
      <c r="AH150" s="74">
        <v>0.92</v>
      </c>
      <c r="AI150" s="72">
        <v>0.916249248647566</v>
      </c>
      <c r="AJ150" s="72">
        <v>0.948702474351237</v>
      </c>
      <c r="AK150" s="72">
        <v>0.963152289669862</v>
      </c>
      <c r="AL150" s="72">
        <v>0.948763377786291</v>
      </c>
      <c r="AM150" s="71">
        <v>0.99</v>
      </c>
      <c r="AN150" s="76">
        <v>1</v>
      </c>
      <c r="AO150" s="76">
        <v>1</v>
      </c>
      <c r="AP150" s="76">
        <v>1</v>
      </c>
      <c r="AQ150" s="76">
        <v>1</v>
      </c>
      <c r="AR150" s="78">
        <v>0.105261498981944</v>
      </c>
      <c r="AS150" s="80">
        <v>0.181818181818182</v>
      </c>
      <c r="AT150" s="80">
        <v>0.2</v>
      </c>
      <c r="AU150" s="80">
        <v>0</v>
      </c>
      <c r="AV150" s="80">
        <v>0.112359550561798</v>
      </c>
      <c r="AW150" s="36"/>
      <c r="AX150" s="34"/>
    </row>
    <row r="151" ht="14.5" spans="1:50">
      <c r="A151" s="32"/>
      <c r="B151" s="36"/>
      <c r="C151" s="91" t="s">
        <v>132</v>
      </c>
      <c r="D151" s="69" t="s">
        <v>11</v>
      </c>
      <c r="E151" s="92" t="s">
        <v>204</v>
      </c>
      <c r="F151" s="92" t="s">
        <v>204</v>
      </c>
      <c r="G151" s="92" t="s">
        <v>204</v>
      </c>
      <c r="H151" s="92" t="s">
        <v>204</v>
      </c>
      <c r="I151" s="71">
        <v>0.9</v>
      </c>
      <c r="J151" s="72">
        <v>1</v>
      </c>
      <c r="K151" s="72">
        <v>1</v>
      </c>
      <c r="L151" s="73">
        <v>1</v>
      </c>
      <c r="M151" s="72">
        <v>0.998281786941581</v>
      </c>
      <c r="N151" s="74">
        <v>0.9</v>
      </c>
      <c r="O151" s="72">
        <v>0.975889781859931</v>
      </c>
      <c r="P151" s="72">
        <v>0.96769456681351</v>
      </c>
      <c r="Q151" s="72">
        <v>0.972402597402597</v>
      </c>
      <c r="R151" s="72">
        <v>0.974044782920003</v>
      </c>
      <c r="S151" s="74">
        <v>0.9</v>
      </c>
      <c r="T151" s="72">
        <v>0.952353616532721</v>
      </c>
      <c r="U151" s="72">
        <v>0.949339207048458</v>
      </c>
      <c r="V151" s="72">
        <v>0.924144037780401</v>
      </c>
      <c r="W151" s="72">
        <v>0.935445550999154</v>
      </c>
      <c r="X151" s="74">
        <v>0.92</v>
      </c>
      <c r="Y151" s="74">
        <v>0.955415754923414</v>
      </c>
      <c r="Z151" s="74">
        <v>0.919134396355353</v>
      </c>
      <c r="AA151" s="74">
        <v>0.942824140918279</v>
      </c>
      <c r="AB151" s="74">
        <v>0.928200371057514</v>
      </c>
      <c r="AC151" s="74">
        <v>0.92</v>
      </c>
      <c r="AD151" s="72">
        <v>0.997197384225277</v>
      </c>
      <c r="AE151" s="72">
        <v>0.990598814633149</v>
      </c>
      <c r="AF151" s="72">
        <v>0.974316130365879</v>
      </c>
      <c r="AG151" s="72">
        <v>0.989926649997356</v>
      </c>
      <c r="AH151" s="74">
        <v>0.92</v>
      </c>
      <c r="AI151" s="72">
        <v>0.980901307742967</v>
      </c>
      <c r="AJ151" s="72">
        <v>0.961460249830541</v>
      </c>
      <c r="AK151" s="72">
        <v>0.96982421875</v>
      </c>
      <c r="AL151" s="72">
        <v>0.963310771198636</v>
      </c>
      <c r="AM151" s="71">
        <v>0.99</v>
      </c>
      <c r="AN151" s="76">
        <v>1</v>
      </c>
      <c r="AO151" s="76">
        <v>1</v>
      </c>
      <c r="AP151" s="76">
        <v>1</v>
      </c>
      <c r="AQ151" s="76">
        <v>1</v>
      </c>
      <c r="AR151" s="78">
        <v>0.105261498981944</v>
      </c>
      <c r="AS151" s="80">
        <v>0.0689655172413793</v>
      </c>
      <c r="AT151" s="80">
        <v>0.0476190476190476</v>
      </c>
      <c r="AU151" s="80">
        <v>0.0333333333333333</v>
      </c>
      <c r="AV151" s="80">
        <v>0.0551724137931034</v>
      </c>
      <c r="AW151" s="36"/>
      <c r="AX151" s="34"/>
    </row>
    <row r="152" ht="14.5" spans="1:50">
      <c r="A152" s="32"/>
      <c r="B152" s="36"/>
      <c r="C152" s="91" t="s">
        <v>132</v>
      </c>
      <c r="D152" s="69" t="s">
        <v>11</v>
      </c>
      <c r="E152" s="92" t="s">
        <v>205</v>
      </c>
      <c r="F152" s="92" t="s">
        <v>205</v>
      </c>
      <c r="G152" s="92" t="s">
        <v>205</v>
      </c>
      <c r="H152" s="92" t="s">
        <v>205</v>
      </c>
      <c r="I152" s="71">
        <v>0.9</v>
      </c>
      <c r="J152" s="72">
        <v>0</v>
      </c>
      <c r="K152" s="72">
        <v>0</v>
      </c>
      <c r="L152" s="73">
        <v>0</v>
      </c>
      <c r="M152" s="72">
        <v>0</v>
      </c>
      <c r="N152" s="74">
        <v>0.9</v>
      </c>
      <c r="O152" s="72">
        <v>0</v>
      </c>
      <c r="P152" s="72">
        <v>0</v>
      </c>
      <c r="Q152" s="72">
        <v>0</v>
      </c>
      <c r="R152" s="72">
        <v>0</v>
      </c>
      <c r="S152" s="74">
        <v>0.9</v>
      </c>
      <c r="T152" s="72">
        <v>0</v>
      </c>
      <c r="U152" s="72">
        <v>0</v>
      </c>
      <c r="V152" s="72">
        <v>0</v>
      </c>
      <c r="W152" s="72">
        <v>0</v>
      </c>
      <c r="X152" s="74">
        <v>0.92</v>
      </c>
      <c r="Y152" s="74">
        <v>0</v>
      </c>
      <c r="Z152" s="74">
        <v>0</v>
      </c>
      <c r="AA152" s="74">
        <v>0</v>
      </c>
      <c r="AB152" s="74">
        <v>0</v>
      </c>
      <c r="AC152" s="74">
        <v>0.92</v>
      </c>
      <c r="AD152" s="72">
        <v>0</v>
      </c>
      <c r="AE152" s="72">
        <v>0</v>
      </c>
      <c r="AF152" s="72">
        <v>0</v>
      </c>
      <c r="AG152" s="72">
        <v>0</v>
      </c>
      <c r="AH152" s="74">
        <v>0.92</v>
      </c>
      <c r="AI152" s="72">
        <v>0</v>
      </c>
      <c r="AJ152" s="72">
        <v>0</v>
      </c>
      <c r="AK152" s="72">
        <v>0</v>
      </c>
      <c r="AL152" s="72">
        <v>0</v>
      </c>
      <c r="AM152" s="71">
        <v>0.99</v>
      </c>
      <c r="AN152" s="76">
        <v>0</v>
      </c>
      <c r="AO152" s="76">
        <v>0</v>
      </c>
      <c r="AP152" s="76">
        <v>0</v>
      </c>
      <c r="AQ152" s="76">
        <v>0</v>
      </c>
      <c r="AR152" s="78">
        <v>0.105261498981944</v>
      </c>
      <c r="AS152" s="80">
        <v>0</v>
      </c>
      <c r="AT152" s="80">
        <v>0</v>
      </c>
      <c r="AU152" s="80">
        <v>0</v>
      </c>
      <c r="AV152" s="80">
        <v>0</v>
      </c>
      <c r="AW152" s="36"/>
      <c r="AX152" s="34"/>
    </row>
    <row r="153" ht="14.5" spans="1:50">
      <c r="A153" s="32"/>
      <c r="B153" s="36"/>
      <c r="C153" s="91" t="s">
        <v>132</v>
      </c>
      <c r="D153" s="69" t="s">
        <v>11</v>
      </c>
      <c r="E153" s="92" t="s">
        <v>206</v>
      </c>
      <c r="F153" s="92" t="s">
        <v>206</v>
      </c>
      <c r="G153" s="92" t="s">
        <v>206</v>
      </c>
      <c r="H153" s="92" t="s">
        <v>206</v>
      </c>
      <c r="I153" s="71">
        <v>0.9</v>
      </c>
      <c r="J153" s="72">
        <v>0.975609756097561</v>
      </c>
      <c r="K153" s="72">
        <v>0.975</v>
      </c>
      <c r="L153" s="73">
        <v>0.963855421686747</v>
      </c>
      <c r="M153" s="72">
        <v>0.956233421750663</v>
      </c>
      <c r="N153" s="74">
        <v>0.9</v>
      </c>
      <c r="O153" s="72">
        <v>0.909706127746361</v>
      </c>
      <c r="P153" s="72">
        <v>0.949354616218347</v>
      </c>
      <c r="Q153" s="72">
        <v>0.954446208813021</v>
      </c>
      <c r="R153" s="72">
        <v>0.939142028076229</v>
      </c>
      <c r="S153" s="74">
        <v>0.9</v>
      </c>
      <c r="T153" s="72">
        <v>0.901918976545842</v>
      </c>
      <c r="U153" s="72">
        <v>0.940289683712681</v>
      </c>
      <c r="V153" s="72">
        <v>0.944620881302104</v>
      </c>
      <c r="W153" s="72">
        <v>0.930728122164088</v>
      </c>
      <c r="X153" s="74">
        <v>0.92</v>
      </c>
      <c r="Y153" s="74">
        <v>0.950623525446579</v>
      </c>
      <c r="Z153" s="74">
        <v>0.960177810705686</v>
      </c>
      <c r="AA153" s="74">
        <v>0.971593166468018</v>
      </c>
      <c r="AB153" s="74">
        <v>0.965773274384956</v>
      </c>
      <c r="AC153" s="74">
        <v>0.92</v>
      </c>
      <c r="AD153" s="72">
        <v>0.967144956348863</v>
      </c>
      <c r="AE153" s="72">
        <v>0.989097835439971</v>
      </c>
      <c r="AF153" s="72">
        <v>0.988021778584392</v>
      </c>
      <c r="AG153" s="72">
        <v>0.98604738807659</v>
      </c>
      <c r="AH153" s="74">
        <v>0.92</v>
      </c>
      <c r="AI153" s="72">
        <v>0.967360114777618</v>
      </c>
      <c r="AJ153" s="72">
        <v>0.978912176931979</v>
      </c>
      <c r="AK153" s="72">
        <v>0.983924318602805</v>
      </c>
      <c r="AL153" s="72">
        <v>0.979601101218369</v>
      </c>
      <c r="AM153" s="71">
        <v>0.99</v>
      </c>
      <c r="AN153" s="76">
        <v>1</v>
      </c>
      <c r="AO153" s="76">
        <v>1</v>
      </c>
      <c r="AP153" s="76">
        <v>1</v>
      </c>
      <c r="AQ153" s="76">
        <v>1</v>
      </c>
      <c r="AR153" s="78">
        <v>0.105261498981944</v>
      </c>
      <c r="AS153" s="80">
        <v>0.1</v>
      </c>
      <c r="AT153" s="80">
        <v>0.111111111111111</v>
      </c>
      <c r="AU153" s="80">
        <v>0</v>
      </c>
      <c r="AV153" s="80">
        <v>0.0544554455445545</v>
      </c>
      <c r="AW153" s="36"/>
      <c r="AX153" s="34"/>
    </row>
    <row r="154" ht="14.5" spans="1:50">
      <c r="A154" s="32"/>
      <c r="B154" s="36"/>
      <c r="C154" s="91" t="s">
        <v>132</v>
      </c>
      <c r="D154" s="69" t="s">
        <v>11</v>
      </c>
      <c r="E154" s="92" t="s">
        <v>207</v>
      </c>
      <c r="F154" s="92" t="s">
        <v>207</v>
      </c>
      <c r="G154" s="92" t="s">
        <v>207</v>
      </c>
      <c r="H154" s="92" t="s">
        <v>207</v>
      </c>
      <c r="I154" s="71">
        <v>0.9</v>
      </c>
      <c r="J154" s="72">
        <v>0.991735537190083</v>
      </c>
      <c r="K154" s="72">
        <v>0.974576271186441</v>
      </c>
      <c r="L154" s="73">
        <v>0.983606557377049</v>
      </c>
      <c r="M154" s="72">
        <v>0.973418881759853</v>
      </c>
      <c r="N154" s="74">
        <v>0.9</v>
      </c>
      <c r="O154" s="72">
        <v>0.91562151158973</v>
      </c>
      <c r="P154" s="72">
        <v>0.925923359434551</v>
      </c>
      <c r="Q154" s="72">
        <v>0.904575813556913</v>
      </c>
      <c r="R154" s="72">
        <v>0.91258277117506</v>
      </c>
      <c r="S154" s="74">
        <v>0.9</v>
      </c>
      <c r="T154" s="72">
        <v>0.933219515398253</v>
      </c>
      <c r="U154" s="72">
        <v>0.950107407664057</v>
      </c>
      <c r="V154" s="72">
        <v>0.954526076453034</v>
      </c>
      <c r="W154" s="72">
        <v>0.940342651316964</v>
      </c>
      <c r="X154" s="74">
        <v>0.92</v>
      </c>
      <c r="Y154" s="74">
        <v>0.901008902077151</v>
      </c>
      <c r="Z154" s="74">
        <v>0.94857950893431</v>
      </c>
      <c r="AA154" s="74">
        <v>0.957074721780604</v>
      </c>
      <c r="AB154" s="74">
        <v>0.946150528679565</v>
      </c>
      <c r="AC154" s="74">
        <v>0.92</v>
      </c>
      <c r="AD154" s="72">
        <v>0.976998115026798</v>
      </c>
      <c r="AE154" s="72">
        <v>0.94969887253237</v>
      </c>
      <c r="AF154" s="72">
        <v>0.890509428065423</v>
      </c>
      <c r="AG154" s="72">
        <v>0.947330240860663</v>
      </c>
      <c r="AH154" s="74">
        <v>0.92</v>
      </c>
      <c r="AI154" s="72">
        <v>0.952105174163003</v>
      </c>
      <c r="AJ154" s="72">
        <v>0.974701778077875</v>
      </c>
      <c r="AK154" s="72">
        <v>0.979423672302929</v>
      </c>
      <c r="AL154" s="72">
        <v>0.972599176904365</v>
      </c>
      <c r="AM154" s="71">
        <v>0.99</v>
      </c>
      <c r="AN154" s="76">
        <v>1</v>
      </c>
      <c r="AO154" s="76">
        <v>1</v>
      </c>
      <c r="AP154" s="76">
        <v>1</v>
      </c>
      <c r="AQ154" s="76">
        <v>1</v>
      </c>
      <c r="AR154" s="78">
        <v>0.105261498981944</v>
      </c>
      <c r="AS154" s="80">
        <v>0.0294117647058824</v>
      </c>
      <c r="AT154" s="80">
        <v>0.0340909090909091</v>
      </c>
      <c r="AU154" s="80">
        <v>0</v>
      </c>
      <c r="AV154" s="80">
        <v>0.0214446952595937</v>
      </c>
      <c r="AW154" s="36"/>
      <c r="AX154" s="34"/>
    </row>
    <row r="155" ht="14.5" spans="1:50">
      <c r="A155" s="32"/>
      <c r="B155" s="36"/>
      <c r="C155" s="91" t="s">
        <v>132</v>
      </c>
      <c r="D155" s="69" t="s">
        <v>11</v>
      </c>
      <c r="E155" s="92" t="s">
        <v>208</v>
      </c>
      <c r="F155" s="92" t="s">
        <v>208</v>
      </c>
      <c r="G155" s="92" t="s">
        <v>208</v>
      </c>
      <c r="H155" s="92" t="s">
        <v>208</v>
      </c>
      <c r="I155" s="71">
        <v>0.9</v>
      </c>
      <c r="J155" s="72">
        <v>0.940298507462687</v>
      </c>
      <c r="K155" s="72">
        <v>0.941176470588235</v>
      </c>
      <c r="L155" s="73">
        <v>0.958333333333333</v>
      </c>
      <c r="M155" s="72">
        <v>0.953333333333333</v>
      </c>
      <c r="N155" s="74">
        <v>0.9</v>
      </c>
      <c r="O155" s="72">
        <v>0.870675975880673</v>
      </c>
      <c r="P155" s="72">
        <v>0.905049844745873</v>
      </c>
      <c r="Q155" s="72">
        <v>0.924455375966268</v>
      </c>
      <c r="R155" s="72">
        <v>0.874132302727853</v>
      </c>
      <c r="S155" s="74">
        <v>0.9</v>
      </c>
      <c r="T155" s="72">
        <v>0.851634401777214</v>
      </c>
      <c r="U155" s="72">
        <v>0.857983330609577</v>
      </c>
      <c r="V155" s="72">
        <v>0.906008432888264</v>
      </c>
      <c r="W155" s="72">
        <v>0.850662264080147</v>
      </c>
      <c r="X155" s="74">
        <v>0.92</v>
      </c>
      <c r="Y155" s="74">
        <v>0.954959785522788</v>
      </c>
      <c r="Z155" s="74">
        <v>0.936891927425717</v>
      </c>
      <c r="AA155" s="74">
        <v>0.961748633879781</v>
      </c>
      <c r="AB155" s="74">
        <v>0.934364060676779</v>
      </c>
      <c r="AC155" s="74">
        <v>0.92</v>
      </c>
      <c r="AD155" s="72">
        <v>0.99753347427766</v>
      </c>
      <c r="AE155" s="72">
        <v>0.98062015503876</v>
      </c>
      <c r="AF155" s="72">
        <v>0.983969465648855</v>
      </c>
      <c r="AG155" s="72">
        <v>0.990805458478948</v>
      </c>
      <c r="AH155" s="74">
        <v>0.92</v>
      </c>
      <c r="AI155" s="72">
        <v>0.935712149905312</v>
      </c>
      <c r="AJ155" s="72">
        <v>0.955062972292191</v>
      </c>
      <c r="AK155" s="72">
        <v>0.976076555023923</v>
      </c>
      <c r="AL155" s="72">
        <v>0.955029346767103</v>
      </c>
      <c r="AM155" s="71">
        <v>0.99</v>
      </c>
      <c r="AN155" s="76">
        <v>1</v>
      </c>
      <c r="AO155" s="76">
        <v>1</v>
      </c>
      <c r="AP155" s="76">
        <v>1</v>
      </c>
      <c r="AQ155" s="76">
        <v>1</v>
      </c>
      <c r="AR155" s="78">
        <v>0.105261498981944</v>
      </c>
      <c r="AS155" s="80">
        <v>0.157894736842105</v>
      </c>
      <c r="AT155" s="80">
        <v>0.0869565217391304</v>
      </c>
      <c r="AU155" s="80">
        <v>0.0909090909090909</v>
      </c>
      <c r="AV155" s="80">
        <v>0.0778443113772455</v>
      </c>
      <c r="AW155" s="36"/>
      <c r="AX155" s="34"/>
    </row>
    <row r="156" ht="14.5" spans="1:50">
      <c r="A156" s="32"/>
      <c r="B156" s="36"/>
      <c r="C156" s="91" t="s">
        <v>132</v>
      </c>
      <c r="D156" s="69" t="s">
        <v>11</v>
      </c>
      <c r="E156" s="92" t="s">
        <v>209</v>
      </c>
      <c r="F156" s="92" t="s">
        <v>209</v>
      </c>
      <c r="G156" s="92" t="s">
        <v>209</v>
      </c>
      <c r="H156" s="92" t="s">
        <v>209</v>
      </c>
      <c r="I156" s="71">
        <v>0.9</v>
      </c>
      <c r="J156" s="72">
        <v>0.980769230769231</v>
      </c>
      <c r="K156" s="72">
        <v>0.983050847457627</v>
      </c>
      <c r="L156" s="73">
        <v>1</v>
      </c>
      <c r="M156" s="72">
        <v>0.972332015810277</v>
      </c>
      <c r="N156" s="74">
        <v>0.9</v>
      </c>
      <c r="O156" s="72">
        <v>0.897856664434025</v>
      </c>
      <c r="P156" s="72">
        <v>0.938764352104975</v>
      </c>
      <c r="Q156" s="72">
        <v>0.954667142602177</v>
      </c>
      <c r="R156" s="72">
        <v>0.938089771776563</v>
      </c>
      <c r="S156" s="74">
        <v>0.9</v>
      </c>
      <c r="T156" s="72">
        <v>0.908238446081715</v>
      </c>
      <c r="U156" s="72">
        <v>0.945507563331511</v>
      </c>
      <c r="V156" s="72">
        <v>0.93574870605033</v>
      </c>
      <c r="W156" s="72">
        <v>0.934587621845633</v>
      </c>
      <c r="X156" s="74">
        <v>0.92</v>
      </c>
      <c r="Y156" s="74">
        <v>0.944473963868225</v>
      </c>
      <c r="Z156" s="74">
        <v>0.96607294317218</v>
      </c>
      <c r="AA156" s="74">
        <v>0.969902912621359</v>
      </c>
      <c r="AB156" s="74">
        <v>0.966423605222995</v>
      </c>
      <c r="AC156" s="74">
        <v>0.92</v>
      </c>
      <c r="AD156" s="72">
        <v>0.996906459731544</v>
      </c>
      <c r="AE156" s="72">
        <v>0.994883589936162</v>
      </c>
      <c r="AF156" s="72">
        <v>0.99223527128021</v>
      </c>
      <c r="AG156" s="72">
        <v>0.987635029151499</v>
      </c>
      <c r="AH156" s="74">
        <v>0.92</v>
      </c>
      <c r="AI156" s="72">
        <v>0.959634346754314</v>
      </c>
      <c r="AJ156" s="72">
        <v>0.977398626191004</v>
      </c>
      <c r="AK156" s="72">
        <v>0.982631700023004</v>
      </c>
      <c r="AL156" s="72">
        <v>0.978614253044069</v>
      </c>
      <c r="AM156" s="71">
        <v>0.99</v>
      </c>
      <c r="AN156" s="76">
        <v>1</v>
      </c>
      <c r="AO156" s="76">
        <v>1</v>
      </c>
      <c r="AP156" s="76">
        <v>1</v>
      </c>
      <c r="AQ156" s="76">
        <v>1</v>
      </c>
      <c r="AR156" s="78">
        <v>0.105261498981944</v>
      </c>
      <c r="AS156" s="80">
        <v>0.0555555555555556</v>
      </c>
      <c r="AT156" s="80">
        <v>0.166666666666667</v>
      </c>
      <c r="AU156" s="80">
        <v>0.0416666666666667</v>
      </c>
      <c r="AV156" s="80">
        <v>0.0853658536585366</v>
      </c>
      <c r="AW156" s="36"/>
      <c r="AX156" s="34"/>
    </row>
    <row r="157" ht="14.5" spans="1:50">
      <c r="A157" s="32"/>
      <c r="B157" s="36"/>
      <c r="C157" s="91" t="s">
        <v>132</v>
      </c>
      <c r="D157" s="69" t="s">
        <v>11</v>
      </c>
      <c r="E157" s="92" t="s">
        <v>210</v>
      </c>
      <c r="F157" s="92" t="s">
        <v>210</v>
      </c>
      <c r="G157" s="92" t="s">
        <v>210</v>
      </c>
      <c r="H157" s="92" t="s">
        <v>210</v>
      </c>
      <c r="I157" s="71">
        <v>0.9</v>
      </c>
      <c r="J157" s="72">
        <v>0.942857142857143</v>
      </c>
      <c r="K157" s="72">
        <v>0.972727272727273</v>
      </c>
      <c r="L157" s="73">
        <v>0.982300884955752</v>
      </c>
      <c r="M157" s="72">
        <v>0.964472309299895</v>
      </c>
      <c r="N157" s="74">
        <v>0.9</v>
      </c>
      <c r="O157" s="72">
        <v>0.930921052631579</v>
      </c>
      <c r="P157" s="72">
        <v>0.963277210658889</v>
      </c>
      <c r="Q157" s="72">
        <v>0.938474624326623</v>
      </c>
      <c r="R157" s="72">
        <v>0.957277124138168</v>
      </c>
      <c r="S157" s="74">
        <v>0.9</v>
      </c>
      <c r="T157" s="72">
        <v>0.868421052631579</v>
      </c>
      <c r="U157" s="72">
        <v>0.890494498210261</v>
      </c>
      <c r="V157" s="72">
        <v>0.876523958037993</v>
      </c>
      <c r="W157" s="72">
        <v>0.892240935752753</v>
      </c>
      <c r="X157" s="74">
        <v>0.92</v>
      </c>
      <c r="Y157" s="74">
        <v>0.924584509250549</v>
      </c>
      <c r="Z157" s="74">
        <v>0.943956043956044</v>
      </c>
      <c r="AA157" s="74">
        <v>0.952704012405505</v>
      </c>
      <c r="AB157" s="74">
        <v>0.946166173848272</v>
      </c>
      <c r="AC157" s="74">
        <v>0.92</v>
      </c>
      <c r="AD157" s="72">
        <v>0.973124300111982</v>
      </c>
      <c r="AE157" s="72">
        <v>0.970996216897856</v>
      </c>
      <c r="AF157" s="72">
        <v>0.973125884016973</v>
      </c>
      <c r="AG157" s="72">
        <v>0.976148767012532</v>
      </c>
      <c r="AH157" s="74">
        <v>0.92</v>
      </c>
      <c r="AI157" s="72">
        <v>0.951634828647063</v>
      </c>
      <c r="AJ157" s="72">
        <v>0.963176506765068</v>
      </c>
      <c r="AK157" s="72">
        <v>0.969629993451211</v>
      </c>
      <c r="AL157" s="72">
        <v>0.96711135364796</v>
      </c>
      <c r="AM157" s="71">
        <v>0.99</v>
      </c>
      <c r="AN157" s="76">
        <v>1</v>
      </c>
      <c r="AO157" s="76">
        <v>1</v>
      </c>
      <c r="AP157" s="76">
        <v>1</v>
      </c>
      <c r="AQ157" s="76">
        <v>1</v>
      </c>
      <c r="AR157" s="78">
        <v>0.105261498981944</v>
      </c>
      <c r="AS157" s="80">
        <v>0.05</v>
      </c>
      <c r="AT157" s="80">
        <v>0.166666666666667</v>
      </c>
      <c r="AU157" s="80">
        <v>0</v>
      </c>
      <c r="AV157" s="80">
        <v>0.128571428571429</v>
      </c>
      <c r="AW157" s="36"/>
      <c r="AX157" s="34"/>
    </row>
    <row r="158" ht="14.5" spans="1:50">
      <c r="A158" s="32"/>
      <c r="B158" s="36"/>
      <c r="C158" s="91" t="s">
        <v>132</v>
      </c>
      <c r="D158" s="69" t="s">
        <v>11</v>
      </c>
      <c r="E158" s="92" t="s">
        <v>211</v>
      </c>
      <c r="F158" s="92" t="s">
        <v>211</v>
      </c>
      <c r="G158" s="92" t="s">
        <v>211</v>
      </c>
      <c r="H158" s="92" t="s">
        <v>211</v>
      </c>
      <c r="I158" s="71">
        <v>0.9</v>
      </c>
      <c r="J158" s="72">
        <v>0.974683544303797</v>
      </c>
      <c r="K158" s="72">
        <v>0.988372093023256</v>
      </c>
      <c r="L158" s="73">
        <v>1</v>
      </c>
      <c r="M158" s="72">
        <v>0.975641025641026</v>
      </c>
      <c r="N158" s="74">
        <v>0.9</v>
      </c>
      <c r="O158" s="72">
        <v>0.888615651670765</v>
      </c>
      <c r="P158" s="72">
        <v>0.972820842714699</v>
      </c>
      <c r="Q158" s="72">
        <v>0.969235409440507</v>
      </c>
      <c r="R158" s="72">
        <v>0.928609012984809</v>
      </c>
      <c r="S158" s="74">
        <v>0.9</v>
      </c>
      <c r="T158" s="72">
        <v>0.923332851150007</v>
      </c>
      <c r="U158" s="72">
        <v>0.939208748793824</v>
      </c>
      <c r="V158" s="72">
        <v>0.945558739255014</v>
      </c>
      <c r="W158" s="72">
        <v>0.945803275905966</v>
      </c>
      <c r="X158" s="74">
        <v>0.92</v>
      </c>
      <c r="Y158" s="74">
        <v>0.94349586340433</v>
      </c>
      <c r="Z158" s="74">
        <v>0.961899503036996</v>
      </c>
      <c r="AA158" s="74">
        <v>0.965660290389491</v>
      </c>
      <c r="AB158" s="74">
        <v>0.96140649826145</v>
      </c>
      <c r="AC158" s="74">
        <v>0.92</v>
      </c>
      <c r="AD158" s="72">
        <v>0.998065764023211</v>
      </c>
      <c r="AE158" s="72">
        <v>0.704160592127397</v>
      </c>
      <c r="AF158" s="72">
        <v>0.993043962159154</v>
      </c>
      <c r="AG158" s="72">
        <v>0.819016989135452</v>
      </c>
      <c r="AH158" s="74">
        <v>0.92</v>
      </c>
      <c r="AI158" s="72">
        <v>0.958012540677832</v>
      </c>
      <c r="AJ158" s="72">
        <v>0.975720658888126</v>
      </c>
      <c r="AK158" s="72">
        <v>0.978217280349982</v>
      </c>
      <c r="AL158" s="72">
        <v>0.975615236569329</v>
      </c>
      <c r="AM158" s="71">
        <v>0.99</v>
      </c>
      <c r="AN158" s="76">
        <v>1</v>
      </c>
      <c r="AO158" s="76">
        <v>1</v>
      </c>
      <c r="AP158" s="76">
        <v>1</v>
      </c>
      <c r="AQ158" s="76">
        <v>1</v>
      </c>
      <c r="AR158" s="78">
        <v>0.105261498981944</v>
      </c>
      <c r="AS158" s="80">
        <v>0.1</v>
      </c>
      <c r="AT158" s="80">
        <v>0.0952380952380952</v>
      </c>
      <c r="AU158" s="80">
        <v>0.0588235294117647</v>
      </c>
      <c r="AV158" s="80">
        <v>0.0443349753694581</v>
      </c>
      <c r="AW158" s="36"/>
      <c r="AX158" s="34"/>
    </row>
    <row r="159" ht="14.5" spans="1:50">
      <c r="A159" s="32"/>
      <c r="B159" s="36"/>
      <c r="C159" s="91" t="s">
        <v>132</v>
      </c>
      <c r="D159" s="69" t="s">
        <v>11</v>
      </c>
      <c r="E159" s="92" t="s">
        <v>212</v>
      </c>
      <c r="F159" s="92" t="s">
        <v>212</v>
      </c>
      <c r="G159" s="92" t="s">
        <v>212</v>
      </c>
      <c r="H159" s="92" t="s">
        <v>212</v>
      </c>
      <c r="I159" s="71">
        <v>0.9</v>
      </c>
      <c r="J159" s="72">
        <v>0.970149253731343</v>
      </c>
      <c r="K159" s="72">
        <v>0.985714285714286</v>
      </c>
      <c r="L159" s="73">
        <v>0.971428571428571</v>
      </c>
      <c r="M159" s="72">
        <v>0.966129032258065</v>
      </c>
      <c r="N159" s="74">
        <v>0.9</v>
      </c>
      <c r="O159" s="72">
        <v>0</v>
      </c>
      <c r="P159" s="72">
        <v>0</v>
      </c>
      <c r="Q159" s="72">
        <v>0</v>
      </c>
      <c r="R159" s="72">
        <v>0.0833333333333333</v>
      </c>
      <c r="S159" s="74">
        <v>0.9</v>
      </c>
      <c r="T159" s="72">
        <v>0</v>
      </c>
      <c r="U159" s="72">
        <v>0</v>
      </c>
      <c r="V159" s="72">
        <v>0</v>
      </c>
      <c r="W159" s="72">
        <v>0.25</v>
      </c>
      <c r="X159" s="74">
        <v>0.92</v>
      </c>
      <c r="Y159" s="74">
        <v>0</v>
      </c>
      <c r="Z159" s="74">
        <v>0</v>
      </c>
      <c r="AA159" s="74">
        <v>0</v>
      </c>
      <c r="AB159" s="74">
        <v>0.166666666666667</v>
      </c>
      <c r="AC159" s="74">
        <v>0.92</v>
      </c>
      <c r="AD159" s="72">
        <v>0.997361477572559</v>
      </c>
      <c r="AE159" s="72">
        <v>0.987538940809969</v>
      </c>
      <c r="AF159" s="72">
        <v>0.987261146496815</v>
      </c>
      <c r="AG159" s="72">
        <v>0.985010706638116</v>
      </c>
      <c r="AH159" s="74">
        <v>0.92</v>
      </c>
      <c r="AI159" s="72">
        <v>0.984871406959153</v>
      </c>
      <c r="AJ159" s="72">
        <v>0.991352607124419</v>
      </c>
      <c r="AK159" s="72">
        <v>0.992796972286656</v>
      </c>
      <c r="AL159" s="72">
        <v>0.991682245522772</v>
      </c>
      <c r="AM159" s="71">
        <v>0.99</v>
      </c>
      <c r="AN159" s="76">
        <v>1</v>
      </c>
      <c r="AO159" s="76">
        <v>1</v>
      </c>
      <c r="AP159" s="76">
        <v>1</v>
      </c>
      <c r="AQ159" s="76">
        <v>1</v>
      </c>
      <c r="AR159" s="78">
        <v>0.105261498981944</v>
      </c>
      <c r="AS159" s="80">
        <v>0</v>
      </c>
      <c r="AT159" s="80">
        <v>0.111111111111111</v>
      </c>
      <c r="AU159" s="80">
        <v>0.133333333333333</v>
      </c>
      <c r="AV159" s="80">
        <v>0.0804597701149425</v>
      </c>
      <c r="AW159" s="36"/>
      <c r="AX159" s="34"/>
    </row>
    <row r="160" ht="14.5" spans="1:50">
      <c r="A160" s="32"/>
      <c r="B160" s="36"/>
      <c r="C160" s="91" t="s">
        <v>132</v>
      </c>
      <c r="D160" s="69" t="s">
        <v>11</v>
      </c>
      <c r="E160" s="92" t="s">
        <v>213</v>
      </c>
      <c r="F160" s="92" t="s">
        <v>213</v>
      </c>
      <c r="G160" s="92" t="s">
        <v>213</v>
      </c>
      <c r="H160" s="92" t="s">
        <v>213</v>
      </c>
      <c r="I160" s="71">
        <v>0.9</v>
      </c>
      <c r="J160" s="72">
        <v>0.903225806451613</v>
      </c>
      <c r="K160" s="72">
        <v>0.96969696969697</v>
      </c>
      <c r="L160" s="73">
        <v>0.939393939393939</v>
      </c>
      <c r="M160" s="72">
        <v>0.96039603960396</v>
      </c>
      <c r="N160" s="74">
        <v>0.9</v>
      </c>
      <c r="O160" s="72">
        <v>0.957485465116279</v>
      </c>
      <c r="P160" s="72">
        <v>0.971996753246753</v>
      </c>
      <c r="Q160" s="72">
        <v>0.978552278820375</v>
      </c>
      <c r="R160" s="72">
        <v>0.969236564540432</v>
      </c>
      <c r="S160" s="74">
        <v>0.9</v>
      </c>
      <c r="T160" s="72">
        <v>0.933502906976744</v>
      </c>
      <c r="U160" s="72">
        <v>0.948863636363636</v>
      </c>
      <c r="V160" s="72">
        <v>0.954040597472233</v>
      </c>
      <c r="W160" s="72">
        <v>0.945211786372007</v>
      </c>
      <c r="X160" s="74">
        <v>0.92</v>
      </c>
      <c r="Y160" s="74">
        <v>0.972316384180791</v>
      </c>
      <c r="Z160" s="74">
        <v>0.969959560947429</v>
      </c>
      <c r="AA160" s="74">
        <v>0.972023422251139</v>
      </c>
      <c r="AB160" s="74">
        <v>0.978598290598291</v>
      </c>
      <c r="AC160" s="74">
        <v>0.92</v>
      </c>
      <c r="AD160" s="72">
        <v>0.984455958549223</v>
      </c>
      <c r="AE160" s="72">
        <v>0.977011494252874</v>
      </c>
      <c r="AF160" s="72">
        <v>0.981675392670157</v>
      </c>
      <c r="AG160" s="72">
        <v>0.986164914222468</v>
      </c>
      <c r="AH160" s="74">
        <v>0.92</v>
      </c>
      <c r="AI160" s="72">
        <v>0.980101702409905</v>
      </c>
      <c r="AJ160" s="72">
        <v>0.983075089392134</v>
      </c>
      <c r="AK160" s="72">
        <v>0.985535197685632</v>
      </c>
      <c r="AL160" s="72">
        <v>0.987564578519692</v>
      </c>
      <c r="AM160" s="71">
        <v>0.99</v>
      </c>
      <c r="AN160" s="76">
        <v>1</v>
      </c>
      <c r="AO160" s="76">
        <v>1</v>
      </c>
      <c r="AP160" s="76">
        <v>1</v>
      </c>
      <c r="AQ160" s="76">
        <v>1</v>
      </c>
      <c r="AR160" s="78">
        <v>0.105261498981944</v>
      </c>
      <c r="AS160" s="80">
        <v>0</v>
      </c>
      <c r="AT160" s="80">
        <v>0.25</v>
      </c>
      <c r="AU160" s="80">
        <v>0.166666666666667</v>
      </c>
      <c r="AV160" s="80">
        <v>0.087719298245614</v>
      </c>
      <c r="AW160" s="36"/>
      <c r="AX160" s="34"/>
    </row>
    <row r="161" ht="14.5" spans="1:50">
      <c r="A161" s="32"/>
      <c r="B161" s="36"/>
      <c r="C161" s="91" t="s">
        <v>132</v>
      </c>
      <c r="D161" s="69" t="s">
        <v>11</v>
      </c>
      <c r="E161" s="92" t="s">
        <v>214</v>
      </c>
      <c r="F161" s="92" t="s">
        <v>214</v>
      </c>
      <c r="G161" s="92" t="s">
        <v>214</v>
      </c>
      <c r="H161" s="92" t="s">
        <v>214</v>
      </c>
      <c r="I161" s="71">
        <v>0.9</v>
      </c>
      <c r="J161" s="72">
        <v>0.94</v>
      </c>
      <c r="K161" s="72">
        <v>0.927927927927928</v>
      </c>
      <c r="L161" s="73">
        <v>0.917431192660551</v>
      </c>
      <c r="M161" s="72">
        <v>0.932914046121593</v>
      </c>
      <c r="N161" s="74">
        <v>0.9</v>
      </c>
      <c r="O161" s="72">
        <v>0</v>
      </c>
      <c r="P161" s="72">
        <v>0.133333333333333</v>
      </c>
      <c r="Q161" s="72">
        <v>0.125</v>
      </c>
      <c r="R161" s="72">
        <v>0.113636363636364</v>
      </c>
      <c r="S161" s="74">
        <v>0.9</v>
      </c>
      <c r="T161" s="72">
        <v>0</v>
      </c>
      <c r="U161" s="72">
        <v>0</v>
      </c>
      <c r="V161" s="72">
        <v>0.125</v>
      </c>
      <c r="W161" s="72">
        <v>0.136363636363636</v>
      </c>
      <c r="X161" s="74">
        <v>0.92</v>
      </c>
      <c r="Y161" s="74">
        <v>0</v>
      </c>
      <c r="Z161" s="74">
        <v>0</v>
      </c>
      <c r="AA161" s="74">
        <v>0.214285714285714</v>
      </c>
      <c r="AB161" s="74">
        <v>0.52</v>
      </c>
      <c r="AC161" s="74">
        <v>0.92</v>
      </c>
      <c r="AD161" s="72">
        <v>0.985888077858881</v>
      </c>
      <c r="AE161" s="72">
        <v>0.975541967759867</v>
      </c>
      <c r="AF161" s="72">
        <v>0.883516483516483</v>
      </c>
      <c r="AG161" s="72">
        <v>0.964566231618733</v>
      </c>
      <c r="AH161" s="74">
        <v>0.92</v>
      </c>
      <c r="AI161" s="72">
        <v>0.951984763432237</v>
      </c>
      <c r="AJ161" s="72">
        <v>0.961601396312861</v>
      </c>
      <c r="AK161" s="72">
        <v>0.967764897295099</v>
      </c>
      <c r="AL161" s="72">
        <v>0.969273322763202</v>
      </c>
      <c r="AM161" s="71">
        <v>0.99</v>
      </c>
      <c r="AN161" s="76">
        <v>1</v>
      </c>
      <c r="AO161" s="76">
        <v>1</v>
      </c>
      <c r="AP161" s="76">
        <v>1</v>
      </c>
      <c r="AQ161" s="76">
        <v>1</v>
      </c>
      <c r="AR161" s="78">
        <v>0.105261498981944</v>
      </c>
      <c r="AS161" s="80">
        <v>0.0555555555555556</v>
      </c>
      <c r="AT161" s="80">
        <v>0.0769230769230769</v>
      </c>
      <c r="AU161" s="80">
        <v>0.272727272727273</v>
      </c>
      <c r="AV161" s="80">
        <v>0.112781954887218</v>
      </c>
      <c r="AW161" s="36"/>
      <c r="AX161" s="34"/>
    </row>
    <row r="162" ht="14.5" spans="1:50">
      <c r="A162" s="32"/>
      <c r="B162" s="36"/>
      <c r="C162" s="91" t="s">
        <v>132</v>
      </c>
      <c r="D162" s="69" t="s">
        <v>11</v>
      </c>
      <c r="E162" s="92" t="s">
        <v>215</v>
      </c>
      <c r="F162" s="92" t="s">
        <v>215</v>
      </c>
      <c r="G162" s="92" t="s">
        <v>215</v>
      </c>
      <c r="H162" s="92" t="s">
        <v>215</v>
      </c>
      <c r="I162" s="71">
        <v>0.9</v>
      </c>
      <c r="J162" s="72">
        <v>0.844827586206897</v>
      </c>
      <c r="K162" s="72">
        <v>0.934426229508197</v>
      </c>
      <c r="L162" s="73">
        <v>0.887096774193548</v>
      </c>
      <c r="M162" s="72">
        <v>0.885767790262172</v>
      </c>
      <c r="N162" s="74">
        <v>0.9</v>
      </c>
      <c r="O162" s="72">
        <v>0.981977818853974</v>
      </c>
      <c r="P162" s="72">
        <v>0.981031128404669</v>
      </c>
      <c r="Q162" s="72">
        <v>0.971765283574761</v>
      </c>
      <c r="R162" s="72">
        <v>0.973730247497777</v>
      </c>
      <c r="S162" s="74">
        <v>0.9</v>
      </c>
      <c r="T162" s="72">
        <v>0.877772643253235</v>
      </c>
      <c r="U162" s="72">
        <v>0.889834630350194</v>
      </c>
      <c r="V162" s="72">
        <v>0.926098698747852</v>
      </c>
      <c r="W162" s="72">
        <v>0.906019673635608</v>
      </c>
      <c r="X162" s="74">
        <v>0.92</v>
      </c>
      <c r="Y162" s="74">
        <v>0.922660479505027</v>
      </c>
      <c r="Z162" s="74">
        <v>0.948155216284987</v>
      </c>
      <c r="AA162" s="74">
        <v>0.954279821244414</v>
      </c>
      <c r="AB162" s="74">
        <v>0.94980371231467</v>
      </c>
      <c r="AC162" s="74">
        <v>0.92</v>
      </c>
      <c r="AD162" s="72">
        <v>0.97352587244284</v>
      </c>
      <c r="AE162" s="72">
        <v>0.980406932931424</v>
      </c>
      <c r="AF162" s="72">
        <v>0.979420018709074</v>
      </c>
      <c r="AG162" s="72">
        <v>0.973985890652557</v>
      </c>
      <c r="AH162" s="74">
        <v>0.92</v>
      </c>
      <c r="AI162" s="72">
        <v>0.943260684281018</v>
      </c>
      <c r="AJ162" s="72">
        <v>0.968452954952473</v>
      </c>
      <c r="AK162" s="72">
        <v>0.972794959908362</v>
      </c>
      <c r="AL162" s="72">
        <v>0.96950062176844</v>
      </c>
      <c r="AM162" s="71">
        <v>0.99</v>
      </c>
      <c r="AN162" s="76">
        <v>1</v>
      </c>
      <c r="AO162" s="76">
        <v>1</v>
      </c>
      <c r="AP162" s="76">
        <v>1</v>
      </c>
      <c r="AQ162" s="76">
        <v>1</v>
      </c>
      <c r="AR162" s="78">
        <v>0.105261498981944</v>
      </c>
      <c r="AS162" s="80">
        <v>0.0833333333333333</v>
      </c>
      <c r="AT162" s="80">
        <v>0.125</v>
      </c>
      <c r="AU162" s="80">
        <v>0.125</v>
      </c>
      <c r="AV162" s="80">
        <v>0.0786516853932584</v>
      </c>
      <c r="AW162" s="36"/>
      <c r="AX162" s="34"/>
    </row>
    <row r="163" ht="14.5" spans="1:50">
      <c r="A163" s="32"/>
      <c r="B163" s="36"/>
      <c r="C163" s="91" t="s">
        <v>132</v>
      </c>
      <c r="D163" s="69" t="s">
        <v>11</v>
      </c>
      <c r="E163" s="92" t="s">
        <v>216</v>
      </c>
      <c r="F163" s="92" t="s">
        <v>216</v>
      </c>
      <c r="G163" s="92" t="s">
        <v>216</v>
      </c>
      <c r="H163" s="92" t="s">
        <v>216</v>
      </c>
      <c r="I163" s="71">
        <v>0.9</v>
      </c>
      <c r="J163" s="72">
        <v>0.934782608695652</v>
      </c>
      <c r="K163" s="72">
        <v>1</v>
      </c>
      <c r="L163" s="73">
        <v>0.977777777777778</v>
      </c>
      <c r="M163" s="72">
        <v>0.974299065420561</v>
      </c>
      <c r="N163" s="74">
        <v>0.9</v>
      </c>
      <c r="O163" s="72">
        <v>0.811286772063238</v>
      </c>
      <c r="P163" s="72">
        <v>0.939872068230277</v>
      </c>
      <c r="Q163" s="72">
        <v>0.912742099898063</v>
      </c>
      <c r="R163" s="72">
        <v>0.91144269195299</v>
      </c>
      <c r="S163" s="74">
        <v>0.9</v>
      </c>
      <c r="T163" s="72">
        <v>0.894936962177306</v>
      </c>
      <c r="U163" s="72">
        <v>0.919616204690832</v>
      </c>
      <c r="V163" s="72">
        <v>0.895208970438328</v>
      </c>
      <c r="W163" s="72">
        <v>0.90196032065076</v>
      </c>
      <c r="X163" s="74">
        <v>0.92</v>
      </c>
      <c r="Y163" s="74">
        <v>0.941780821917808</v>
      </c>
      <c r="Z163" s="74">
        <v>0.963993453355156</v>
      </c>
      <c r="AA163" s="74">
        <v>0.966480446927374</v>
      </c>
      <c r="AB163" s="74">
        <v>0.961990691597942</v>
      </c>
      <c r="AC163" s="74">
        <v>0.92</v>
      </c>
      <c r="AD163" s="72">
        <v>0.995680489101542</v>
      </c>
      <c r="AE163" s="72">
        <v>0.993307019049253</v>
      </c>
      <c r="AF163" s="72">
        <v>0.989691358024691</v>
      </c>
      <c r="AG163" s="72">
        <v>0.983736587418473</v>
      </c>
      <c r="AH163" s="74">
        <v>0.92</v>
      </c>
      <c r="AI163" s="72">
        <v>0.953282828282828</v>
      </c>
      <c r="AJ163" s="72">
        <v>0.974441719375242</v>
      </c>
      <c r="AK163" s="72">
        <v>0.97615597417995</v>
      </c>
      <c r="AL163" s="72">
        <v>0.973455699613738</v>
      </c>
      <c r="AM163" s="71">
        <v>0.99</v>
      </c>
      <c r="AN163" s="76">
        <v>1</v>
      </c>
      <c r="AO163" s="76">
        <v>1</v>
      </c>
      <c r="AP163" s="76">
        <v>1</v>
      </c>
      <c r="AQ163" s="76">
        <v>1</v>
      </c>
      <c r="AR163" s="78">
        <v>0.105261498981944</v>
      </c>
      <c r="AS163" s="80">
        <v>0.1875</v>
      </c>
      <c r="AT163" s="80">
        <v>0.166666666666667</v>
      </c>
      <c r="AU163" s="80">
        <v>0.0555555555555556</v>
      </c>
      <c r="AV163" s="80">
        <v>0.0930232558139535</v>
      </c>
      <c r="AW163" s="36"/>
      <c r="AX163" s="34"/>
    </row>
    <row r="164" ht="14.5" spans="1:50">
      <c r="A164" s="32"/>
      <c r="B164" s="36"/>
      <c r="C164" s="91" t="s">
        <v>132</v>
      </c>
      <c r="D164" s="69" t="s">
        <v>11</v>
      </c>
      <c r="E164" s="92" t="s">
        <v>217</v>
      </c>
      <c r="F164" s="92" t="s">
        <v>217</v>
      </c>
      <c r="G164" s="92" t="s">
        <v>217</v>
      </c>
      <c r="H164" s="92" t="s">
        <v>217</v>
      </c>
      <c r="I164" s="71">
        <v>0.9</v>
      </c>
      <c r="J164" s="72">
        <v>1</v>
      </c>
      <c r="K164" s="72">
        <v>0.961538461538462</v>
      </c>
      <c r="L164" s="73">
        <v>0.964912280701754</v>
      </c>
      <c r="M164" s="72">
        <v>0.980769230769231</v>
      </c>
      <c r="N164" s="74">
        <v>0.9</v>
      </c>
      <c r="O164" s="72">
        <v>0.968667879522943</v>
      </c>
      <c r="P164" s="72">
        <v>0.979685452162516</v>
      </c>
      <c r="Q164" s="72">
        <v>0.982631930527722</v>
      </c>
      <c r="R164" s="72">
        <v>0.978110405939408</v>
      </c>
      <c r="S164" s="74">
        <v>0.9</v>
      </c>
      <c r="T164" s="72">
        <v>0.923590054578532</v>
      </c>
      <c r="U164" s="72">
        <v>0.952380952380952</v>
      </c>
      <c r="V164" s="72">
        <v>0.957025161433979</v>
      </c>
      <c r="W164" s="72">
        <v>0.947383546880613</v>
      </c>
      <c r="X164" s="74">
        <v>0.92</v>
      </c>
      <c r="Y164" s="74">
        <v>0.955605237943149</v>
      </c>
      <c r="Z164" s="74">
        <v>0.965309734513274</v>
      </c>
      <c r="AA164" s="74">
        <v>0.97890625</v>
      </c>
      <c r="AB164" s="74">
        <v>0.974494825036964</v>
      </c>
      <c r="AC164" s="74">
        <v>0.92</v>
      </c>
      <c r="AD164" s="72">
        <v>0.993783303730018</v>
      </c>
      <c r="AE164" s="72">
        <v>0.968460111317254</v>
      </c>
      <c r="AF164" s="72">
        <v>0.941120607787274</v>
      </c>
      <c r="AG164" s="72">
        <v>0.966942148760331</v>
      </c>
      <c r="AH164" s="74">
        <v>0.92</v>
      </c>
      <c r="AI164" s="72">
        <v>0.965589800717911</v>
      </c>
      <c r="AJ164" s="72">
        <v>0.978392977717758</v>
      </c>
      <c r="AK164" s="72">
        <v>0.985677821894498</v>
      </c>
      <c r="AL164" s="72">
        <v>0.983226196778341</v>
      </c>
      <c r="AM164" s="71">
        <v>0.99</v>
      </c>
      <c r="AN164" s="76">
        <v>1</v>
      </c>
      <c r="AO164" s="76">
        <v>1</v>
      </c>
      <c r="AP164" s="76">
        <v>1</v>
      </c>
      <c r="AQ164" s="76">
        <v>1</v>
      </c>
      <c r="AR164" s="78">
        <v>0.105261498981944</v>
      </c>
      <c r="AS164" s="80">
        <v>0</v>
      </c>
      <c r="AT164" s="80">
        <v>0.166666666666667</v>
      </c>
      <c r="AU164" s="80">
        <v>0.0588235294117647</v>
      </c>
      <c r="AV164" s="80">
        <v>0.0686274509803922</v>
      </c>
      <c r="AW164" s="36"/>
      <c r="AX164" s="34"/>
    </row>
    <row r="165" ht="14.5" spans="1:50">
      <c r="A165" s="32"/>
      <c r="B165" s="36"/>
      <c r="C165" s="91" t="s">
        <v>132</v>
      </c>
      <c r="D165" s="69" t="s">
        <v>11</v>
      </c>
      <c r="E165" s="92" t="s">
        <v>218</v>
      </c>
      <c r="F165" s="92" t="s">
        <v>218</v>
      </c>
      <c r="G165" s="92" t="s">
        <v>218</v>
      </c>
      <c r="H165" s="92" t="s">
        <v>218</v>
      </c>
      <c r="I165" s="71">
        <v>0.9</v>
      </c>
      <c r="J165" s="72">
        <v>0.95049504950495</v>
      </c>
      <c r="K165" s="72">
        <v>0.97979797979798</v>
      </c>
      <c r="L165" s="73">
        <v>0.972477064220184</v>
      </c>
      <c r="M165" s="72">
        <v>0.965065502183406</v>
      </c>
      <c r="N165" s="74">
        <v>0.9</v>
      </c>
      <c r="O165" s="72">
        <v>0.971914042978511</v>
      </c>
      <c r="P165" s="72">
        <v>0.979059829059829</v>
      </c>
      <c r="Q165" s="72">
        <v>0.981108443795011</v>
      </c>
      <c r="R165" s="72">
        <v>0.97037288691557</v>
      </c>
      <c r="S165" s="74">
        <v>0.9</v>
      </c>
      <c r="T165" s="72">
        <v>0.912543728135932</v>
      </c>
      <c r="U165" s="72">
        <v>0.94732905982906</v>
      </c>
      <c r="V165" s="72">
        <v>0.959920676338587</v>
      </c>
      <c r="W165" s="72">
        <v>0.939867152446668</v>
      </c>
      <c r="X165" s="74">
        <v>0.92</v>
      </c>
      <c r="Y165" s="74">
        <v>0.931092720824185</v>
      </c>
      <c r="Z165" s="74">
        <v>0.948494740660138</v>
      </c>
      <c r="AA165" s="74">
        <v>0.962598804704068</v>
      </c>
      <c r="AB165" s="74">
        <v>0.954430327615674</v>
      </c>
      <c r="AC165" s="74">
        <v>0.92</v>
      </c>
      <c r="AD165" s="72">
        <v>0.992704926869587</v>
      </c>
      <c r="AE165" s="72">
        <v>0.992645716088119</v>
      </c>
      <c r="AF165" s="72">
        <v>0.993154602653283</v>
      </c>
      <c r="AG165" s="72">
        <v>0.994115701725377</v>
      </c>
      <c r="AH165" s="74">
        <v>0.92</v>
      </c>
      <c r="AI165" s="72">
        <v>0.960635359116022</v>
      </c>
      <c r="AJ165" s="72">
        <v>0.97130376344086</v>
      </c>
      <c r="AK165" s="72">
        <v>0.98253334236003</v>
      </c>
      <c r="AL165" s="72">
        <v>0.975432048075846</v>
      </c>
      <c r="AM165" s="71">
        <v>0.99</v>
      </c>
      <c r="AN165" s="76">
        <v>1</v>
      </c>
      <c r="AO165" s="76">
        <v>1</v>
      </c>
      <c r="AP165" s="76">
        <v>1</v>
      </c>
      <c r="AQ165" s="76">
        <v>1</v>
      </c>
      <c r="AR165" s="78">
        <v>0.105261498981944</v>
      </c>
      <c r="AS165" s="80">
        <v>0.0588235294117647</v>
      </c>
      <c r="AT165" s="80">
        <v>0.107142857142857</v>
      </c>
      <c r="AU165" s="80">
        <v>0.12</v>
      </c>
      <c r="AV165" s="80">
        <v>0.0782608695652174</v>
      </c>
      <c r="AW165" s="36"/>
      <c r="AX165" s="34"/>
    </row>
    <row r="166" ht="14.5" spans="1:50">
      <c r="A166" s="32"/>
      <c r="B166" s="36"/>
      <c r="C166" s="91" t="s">
        <v>132</v>
      </c>
      <c r="D166" s="69" t="s">
        <v>11</v>
      </c>
      <c r="E166" s="92" t="s">
        <v>219</v>
      </c>
      <c r="F166" s="92" t="s">
        <v>219</v>
      </c>
      <c r="G166" s="92" t="s">
        <v>219</v>
      </c>
      <c r="H166" s="92" t="s">
        <v>219</v>
      </c>
      <c r="I166" s="71">
        <v>0.9</v>
      </c>
      <c r="J166" s="72">
        <v>1</v>
      </c>
      <c r="K166" s="72">
        <v>1</v>
      </c>
      <c r="L166" s="73">
        <v>1</v>
      </c>
      <c r="M166" s="72">
        <v>0.984513274336283</v>
      </c>
      <c r="N166" s="74">
        <v>0.9</v>
      </c>
      <c r="O166" s="72">
        <v>0</v>
      </c>
      <c r="P166" s="72">
        <v>0</v>
      </c>
      <c r="Q166" s="72">
        <v>0</v>
      </c>
      <c r="R166" s="72">
        <v>0</v>
      </c>
      <c r="S166" s="74">
        <v>0.9</v>
      </c>
      <c r="T166" s="72">
        <v>0</v>
      </c>
      <c r="U166" s="72">
        <v>0</v>
      </c>
      <c r="V166" s="72">
        <v>0</v>
      </c>
      <c r="W166" s="72">
        <v>0.5</v>
      </c>
      <c r="X166" s="74">
        <v>0.92</v>
      </c>
      <c r="Y166" s="74">
        <v>0</v>
      </c>
      <c r="Z166" s="74">
        <v>0</v>
      </c>
      <c r="AA166" s="74">
        <v>0</v>
      </c>
      <c r="AB166" s="74">
        <v>0</v>
      </c>
      <c r="AC166" s="74">
        <v>0.92</v>
      </c>
      <c r="AD166" s="72">
        <v>0.993857493857494</v>
      </c>
      <c r="AE166" s="72">
        <v>0.983383685800604</v>
      </c>
      <c r="AF166" s="72">
        <v>1</v>
      </c>
      <c r="AG166" s="72">
        <v>0.99017199017199</v>
      </c>
      <c r="AH166" s="74">
        <v>0.92</v>
      </c>
      <c r="AI166" s="72">
        <v>0.980575666607805</v>
      </c>
      <c r="AJ166" s="72">
        <v>0.988177339901478</v>
      </c>
      <c r="AK166" s="72">
        <v>0.988845401174168</v>
      </c>
      <c r="AL166" s="72">
        <v>0.988897533486132</v>
      </c>
      <c r="AM166" s="71">
        <v>0.99</v>
      </c>
      <c r="AN166" s="76">
        <v>1</v>
      </c>
      <c r="AO166" s="76">
        <v>1</v>
      </c>
      <c r="AP166" s="76">
        <v>1</v>
      </c>
      <c r="AQ166" s="76">
        <v>1</v>
      </c>
      <c r="AR166" s="78">
        <v>0.105261498981944</v>
      </c>
      <c r="AS166" s="80">
        <v>0</v>
      </c>
      <c r="AT166" s="80">
        <v>0</v>
      </c>
      <c r="AU166" s="80">
        <v>0</v>
      </c>
      <c r="AV166" s="80">
        <v>0.0701754385964912</v>
      </c>
      <c r="AW166" s="36"/>
      <c r="AX166" s="34"/>
    </row>
    <row r="167" ht="14.5" spans="1:50">
      <c r="A167" s="32"/>
      <c r="B167" s="36"/>
      <c r="C167" s="91" t="s">
        <v>132</v>
      </c>
      <c r="D167" s="69" t="s">
        <v>11</v>
      </c>
      <c r="E167" s="92" t="s">
        <v>220</v>
      </c>
      <c r="F167" s="92" t="s">
        <v>220</v>
      </c>
      <c r="G167" s="92" t="s">
        <v>220</v>
      </c>
      <c r="H167" s="92" t="s">
        <v>220</v>
      </c>
      <c r="I167" s="71">
        <v>0.9</v>
      </c>
      <c r="J167" s="72">
        <v>0.981132075471698</v>
      </c>
      <c r="K167" s="72">
        <v>0.982142857142857</v>
      </c>
      <c r="L167" s="73">
        <v>0.947368421052632</v>
      </c>
      <c r="M167" s="72">
        <v>0.981854838709677</v>
      </c>
      <c r="N167" s="74">
        <v>0.9</v>
      </c>
      <c r="O167" s="72">
        <v>0.939208564328044</v>
      </c>
      <c r="P167" s="72">
        <v>0.968158168574402</v>
      </c>
      <c r="Q167" s="72">
        <v>0.966659677081149</v>
      </c>
      <c r="R167" s="72">
        <v>0.956190813346314</v>
      </c>
      <c r="S167" s="74">
        <v>0.9</v>
      </c>
      <c r="T167" s="72">
        <v>0.922385777098069</v>
      </c>
      <c r="U167" s="72">
        <v>0.955671175858481</v>
      </c>
      <c r="V167" s="72">
        <v>0.95701404906689</v>
      </c>
      <c r="W167" s="72">
        <v>0.943888839720329</v>
      </c>
      <c r="X167" s="74">
        <v>0.92</v>
      </c>
      <c r="Y167" s="74">
        <v>0.953372434017595</v>
      </c>
      <c r="Z167" s="74">
        <v>0.973432835820896</v>
      </c>
      <c r="AA167" s="74">
        <v>0.974228552051543</v>
      </c>
      <c r="AB167" s="74">
        <v>0.969459614831848</v>
      </c>
      <c r="AC167" s="74">
        <v>0.92</v>
      </c>
      <c r="AD167" s="72">
        <v>0.999096521608192</v>
      </c>
      <c r="AE167" s="72">
        <v>0.998405103668262</v>
      </c>
      <c r="AF167" s="72">
        <v>0.995706789632692</v>
      </c>
      <c r="AG167" s="72">
        <v>0.995147443075775</v>
      </c>
      <c r="AH167" s="74">
        <v>0.92</v>
      </c>
      <c r="AI167" s="72">
        <v>0.970026617289666</v>
      </c>
      <c r="AJ167" s="72">
        <v>0.983200490496628</v>
      </c>
      <c r="AK167" s="72">
        <v>0.987043275459964</v>
      </c>
      <c r="AL167" s="72">
        <v>0.982611076880948</v>
      </c>
      <c r="AM167" s="71">
        <v>0.99</v>
      </c>
      <c r="AN167" s="76">
        <v>1</v>
      </c>
      <c r="AO167" s="76">
        <v>1</v>
      </c>
      <c r="AP167" s="76">
        <v>1</v>
      </c>
      <c r="AQ167" s="76">
        <v>1</v>
      </c>
      <c r="AR167" s="78">
        <v>0.105261498981944</v>
      </c>
      <c r="AS167" s="80">
        <v>0</v>
      </c>
      <c r="AT167" s="80">
        <v>0.333333333333333</v>
      </c>
      <c r="AU167" s="80">
        <v>0.0476190476190476</v>
      </c>
      <c r="AV167" s="80">
        <v>0.103092783505155</v>
      </c>
      <c r="AW167" s="36"/>
      <c r="AX167" s="34"/>
    </row>
    <row r="168" ht="14.5" spans="1:50">
      <c r="A168" s="32"/>
      <c r="B168" s="36"/>
      <c r="C168" s="91" t="s">
        <v>132</v>
      </c>
      <c r="D168" s="69" t="s">
        <v>11</v>
      </c>
      <c r="E168" s="92" t="s">
        <v>221</v>
      </c>
      <c r="F168" s="92" t="s">
        <v>221</v>
      </c>
      <c r="G168" s="92" t="s">
        <v>221</v>
      </c>
      <c r="H168" s="92" t="s">
        <v>221</v>
      </c>
      <c r="I168" s="71">
        <v>0.9</v>
      </c>
      <c r="J168" s="72">
        <v>0.926829268292683</v>
      </c>
      <c r="K168" s="72">
        <v>0.948717948717949</v>
      </c>
      <c r="L168" s="73">
        <v>1</v>
      </c>
      <c r="M168" s="72">
        <v>0.947368421052632</v>
      </c>
      <c r="N168" s="74">
        <v>0.9</v>
      </c>
      <c r="O168" s="72">
        <v>0.934134866701516</v>
      </c>
      <c r="P168" s="72">
        <v>0.939073226544622</v>
      </c>
      <c r="Q168" s="72">
        <v>0.952975557917109</v>
      </c>
      <c r="R168" s="72">
        <v>0.946235916440035</v>
      </c>
      <c r="S168" s="74">
        <v>0.9</v>
      </c>
      <c r="T168" s="72">
        <v>0.893361212754835</v>
      </c>
      <c r="U168" s="72">
        <v>0.92162471395881</v>
      </c>
      <c r="V168" s="72">
        <v>0.935706695005313</v>
      </c>
      <c r="W168" s="72">
        <v>0.9172469442037</v>
      </c>
      <c r="X168" s="74">
        <v>0.92</v>
      </c>
      <c r="Y168" s="74">
        <v>0.934923201293452</v>
      </c>
      <c r="Z168" s="74">
        <v>0.944916970433374</v>
      </c>
      <c r="AA168" s="74">
        <v>0.962174940898345</v>
      </c>
      <c r="AB168" s="74">
        <v>0.949670168580503</v>
      </c>
      <c r="AC168" s="74">
        <v>0.92</v>
      </c>
      <c r="AD168" s="72">
        <v>0.978947368421053</v>
      </c>
      <c r="AE168" s="72">
        <v>0.966666666666667</v>
      </c>
      <c r="AF168" s="72">
        <v>0.930612244897959</v>
      </c>
      <c r="AG168" s="72">
        <v>0.937805419813416</v>
      </c>
      <c r="AH168" s="74">
        <v>0.92</v>
      </c>
      <c r="AI168" s="72">
        <v>0.948429070136465</v>
      </c>
      <c r="AJ168" s="72">
        <v>0.962615255658005</v>
      </c>
      <c r="AK168" s="72">
        <v>0.977377104949821</v>
      </c>
      <c r="AL168" s="72">
        <v>0.966569632692415</v>
      </c>
      <c r="AM168" s="71">
        <v>0.99</v>
      </c>
      <c r="AN168" s="76">
        <v>1</v>
      </c>
      <c r="AO168" s="76">
        <v>1</v>
      </c>
      <c r="AP168" s="76">
        <v>1</v>
      </c>
      <c r="AQ168" s="76">
        <v>1</v>
      </c>
      <c r="AR168" s="78">
        <v>0.105261498981944</v>
      </c>
      <c r="AS168" s="80">
        <v>0</v>
      </c>
      <c r="AT168" s="80">
        <v>0.0588235294117647</v>
      </c>
      <c r="AU168" s="80">
        <v>0</v>
      </c>
      <c r="AV168" s="80">
        <v>0.0467289719626168</v>
      </c>
      <c r="AW168" s="36"/>
      <c r="AX168" s="34"/>
    </row>
    <row r="169" ht="14.5" spans="1:50">
      <c r="A169" s="32"/>
      <c r="B169" s="36"/>
      <c r="C169" s="91" t="s">
        <v>132</v>
      </c>
      <c r="D169" s="69" t="s">
        <v>11</v>
      </c>
      <c r="E169" s="92" t="s">
        <v>222</v>
      </c>
      <c r="F169" s="92" t="s">
        <v>222</v>
      </c>
      <c r="G169" s="92" t="s">
        <v>222</v>
      </c>
      <c r="H169" s="92" t="s">
        <v>222</v>
      </c>
      <c r="I169" s="71">
        <v>0.9</v>
      </c>
      <c r="J169" s="72">
        <v>0.926470588235294</v>
      </c>
      <c r="K169" s="72">
        <v>0.941176470588235</v>
      </c>
      <c r="L169" s="73">
        <v>0.970149253731343</v>
      </c>
      <c r="M169" s="72">
        <v>0.94888178913738</v>
      </c>
      <c r="N169" s="74">
        <v>0.9</v>
      </c>
      <c r="O169" s="72">
        <v>0.915449654112221</v>
      </c>
      <c r="P169" s="72">
        <v>0.948021885521885</v>
      </c>
      <c r="Q169" s="72">
        <v>0.935451638689049</v>
      </c>
      <c r="R169" s="72">
        <v>0.925713432581154</v>
      </c>
      <c r="S169" s="74">
        <v>0.9</v>
      </c>
      <c r="T169" s="72">
        <v>0.867217524980784</v>
      </c>
      <c r="U169" s="72">
        <v>0.900673400673401</v>
      </c>
      <c r="V169" s="72">
        <v>0.892086330935252</v>
      </c>
      <c r="W169" s="72">
        <v>0.890287079298725</v>
      </c>
      <c r="X169" s="74">
        <v>0.92</v>
      </c>
      <c r="Y169" s="74">
        <v>0.956285800422068</v>
      </c>
      <c r="Z169" s="74">
        <v>0.91377750979801</v>
      </c>
      <c r="AA169" s="74">
        <v>0.933050590730082</v>
      </c>
      <c r="AB169" s="74">
        <v>0.939419824375577</v>
      </c>
      <c r="AC169" s="74">
        <v>0.92</v>
      </c>
      <c r="AD169" s="72">
        <v>0.997432239657632</v>
      </c>
      <c r="AE169" s="72">
        <v>0.994211287988423</v>
      </c>
      <c r="AF169" s="72">
        <v>0.994922341696535</v>
      </c>
      <c r="AG169" s="72">
        <v>0.989797959591918</v>
      </c>
      <c r="AH169" s="74">
        <v>0.92</v>
      </c>
      <c r="AI169" s="72">
        <v>0.948961633227737</v>
      </c>
      <c r="AJ169" s="72">
        <v>0.948946716232962</v>
      </c>
      <c r="AK169" s="72">
        <v>0.964238410596026</v>
      </c>
      <c r="AL169" s="72">
        <v>0.962472261249787</v>
      </c>
      <c r="AM169" s="71">
        <v>0.99</v>
      </c>
      <c r="AN169" s="76">
        <v>1</v>
      </c>
      <c r="AO169" s="76">
        <v>1</v>
      </c>
      <c r="AP169" s="76">
        <v>1</v>
      </c>
      <c r="AQ169" s="76">
        <v>1</v>
      </c>
      <c r="AR169" s="78">
        <v>0.105261498981944</v>
      </c>
      <c r="AS169" s="80">
        <v>0.0769230769230769</v>
      </c>
      <c r="AT169" s="80">
        <v>0.0909090909090909</v>
      </c>
      <c r="AU169" s="80">
        <v>0.106382978723404</v>
      </c>
      <c r="AV169" s="80">
        <v>0.0903614457831325</v>
      </c>
      <c r="AW169" s="36"/>
      <c r="AX169" s="34"/>
    </row>
    <row r="170" ht="14.5" spans="1:50">
      <c r="A170" s="32"/>
      <c r="B170" s="36"/>
      <c r="C170" s="91" t="s">
        <v>132</v>
      </c>
      <c r="D170" s="69" t="s">
        <v>11</v>
      </c>
      <c r="E170" s="92" t="s">
        <v>223</v>
      </c>
      <c r="F170" s="92" t="s">
        <v>223</v>
      </c>
      <c r="G170" s="92" t="s">
        <v>223</v>
      </c>
      <c r="H170" s="92" t="s">
        <v>223</v>
      </c>
      <c r="I170" s="71">
        <v>0.9</v>
      </c>
      <c r="J170" s="72">
        <v>0.870588235294118</v>
      </c>
      <c r="K170" s="72">
        <v>0.933333333333333</v>
      </c>
      <c r="L170" s="73">
        <v>0.952941176470588</v>
      </c>
      <c r="M170" s="72">
        <v>0.919246298788694</v>
      </c>
      <c r="N170" s="74">
        <v>0.9</v>
      </c>
      <c r="O170" s="72">
        <v>0.932667470294472</v>
      </c>
      <c r="P170" s="72">
        <v>0.960758039816233</v>
      </c>
      <c r="Q170" s="72">
        <v>0.96299671892089</v>
      </c>
      <c r="R170" s="72">
        <v>0.932088188256797</v>
      </c>
      <c r="S170" s="74">
        <v>0.9</v>
      </c>
      <c r="T170" s="72">
        <v>0.903736869295678</v>
      </c>
      <c r="U170" s="72">
        <v>0.941232771822358</v>
      </c>
      <c r="V170" s="72">
        <v>0.912139992708713</v>
      </c>
      <c r="W170" s="72">
        <v>0.895704820653416</v>
      </c>
      <c r="X170" s="74">
        <v>0.92</v>
      </c>
      <c r="Y170" s="74">
        <v>0.912999236835411</v>
      </c>
      <c r="Z170" s="74">
        <v>0.940134228187919</v>
      </c>
      <c r="AA170" s="74">
        <v>0.941522104085059</v>
      </c>
      <c r="AB170" s="74">
        <v>0.937678343755692</v>
      </c>
      <c r="AC170" s="74">
        <v>0.92</v>
      </c>
      <c r="AD170" s="72">
        <v>0.986456537798572</v>
      </c>
      <c r="AE170" s="72">
        <v>0.957844365956477</v>
      </c>
      <c r="AF170" s="72">
        <v>0.996567234848485</v>
      </c>
      <c r="AG170" s="72">
        <v>0.990015684174286</v>
      </c>
      <c r="AH170" s="74">
        <v>0.92</v>
      </c>
      <c r="AI170" s="72">
        <v>0.939733059548255</v>
      </c>
      <c r="AJ170" s="72">
        <v>0.965378601742238</v>
      </c>
      <c r="AK170" s="72">
        <v>0.966004415011038</v>
      </c>
      <c r="AL170" s="72">
        <v>0.962273641851107</v>
      </c>
      <c r="AM170" s="71">
        <v>0.99</v>
      </c>
      <c r="AN170" s="76">
        <v>1</v>
      </c>
      <c r="AO170" s="76">
        <v>1</v>
      </c>
      <c r="AP170" s="76">
        <v>1</v>
      </c>
      <c r="AQ170" s="76">
        <v>1</v>
      </c>
      <c r="AR170" s="78">
        <v>0.105261498981944</v>
      </c>
      <c r="AS170" s="80">
        <v>0</v>
      </c>
      <c r="AT170" s="80">
        <v>0</v>
      </c>
      <c r="AU170" s="80">
        <v>0.0566037735849057</v>
      </c>
      <c r="AV170" s="80">
        <v>0.0531400966183575</v>
      </c>
      <c r="AW170" s="36"/>
      <c r="AX170" s="34"/>
    </row>
    <row r="171" ht="14.5" spans="1:50">
      <c r="A171" s="32"/>
      <c r="B171" s="36"/>
      <c r="C171" s="91" t="s">
        <v>132</v>
      </c>
      <c r="D171" s="69" t="s">
        <v>11</v>
      </c>
      <c r="E171" s="92" t="s">
        <v>224</v>
      </c>
      <c r="F171" s="92" t="s">
        <v>224</v>
      </c>
      <c r="G171" s="92" t="s">
        <v>224</v>
      </c>
      <c r="H171" s="92" t="s">
        <v>224</v>
      </c>
      <c r="I171" s="71">
        <v>0.9</v>
      </c>
      <c r="J171" s="72">
        <v>0.955882352941177</v>
      </c>
      <c r="K171" s="72">
        <v>0.932432432432432</v>
      </c>
      <c r="L171" s="73">
        <v>0.98780487804878</v>
      </c>
      <c r="M171" s="72">
        <v>0.94170403587444</v>
      </c>
      <c r="N171" s="74">
        <v>0.9</v>
      </c>
      <c r="O171" s="72">
        <v>0.950989486703772</v>
      </c>
      <c r="P171" s="72">
        <v>0.941936539090612</v>
      </c>
      <c r="Q171" s="72">
        <v>0.963196635120925</v>
      </c>
      <c r="R171" s="72">
        <v>0.93691938867246</v>
      </c>
      <c r="S171" s="74">
        <v>0.9</v>
      </c>
      <c r="T171" s="72">
        <v>0.88961038961039</v>
      </c>
      <c r="U171" s="72">
        <v>0.90399084069349</v>
      </c>
      <c r="V171" s="72">
        <v>0.920835211056031</v>
      </c>
      <c r="W171" s="72">
        <v>0.876502513901375</v>
      </c>
      <c r="X171" s="74">
        <v>0.92</v>
      </c>
      <c r="Y171" s="74">
        <v>0.901242787394585</v>
      </c>
      <c r="Z171" s="74">
        <v>0.911757691390413</v>
      </c>
      <c r="AA171" s="74">
        <v>0.945933348869727</v>
      </c>
      <c r="AB171" s="74">
        <v>0.921975944114712</v>
      </c>
      <c r="AC171" s="74">
        <v>0.92</v>
      </c>
      <c r="AD171" s="72">
        <v>0.996927129060579</v>
      </c>
      <c r="AE171" s="72">
        <v>0.993491124260355</v>
      </c>
      <c r="AF171" s="72">
        <v>0.996206203972328</v>
      </c>
      <c r="AG171" s="72">
        <v>0.991085405003847</v>
      </c>
      <c r="AH171" s="74">
        <v>0.92</v>
      </c>
      <c r="AI171" s="72">
        <v>0.938582103152907</v>
      </c>
      <c r="AJ171" s="72">
        <v>0.940537394509652</v>
      </c>
      <c r="AK171" s="72">
        <v>0.96675799086758</v>
      </c>
      <c r="AL171" s="72">
        <v>0.950666843268907</v>
      </c>
      <c r="AM171" s="71">
        <v>0.99</v>
      </c>
      <c r="AN171" s="76">
        <v>1</v>
      </c>
      <c r="AO171" s="76">
        <v>1</v>
      </c>
      <c r="AP171" s="76">
        <v>1</v>
      </c>
      <c r="AQ171" s="76">
        <v>1</v>
      </c>
      <c r="AR171" s="78">
        <v>0.105261498981944</v>
      </c>
      <c r="AS171" s="80">
        <v>0.078125</v>
      </c>
      <c r="AT171" s="80">
        <v>0.0851063829787234</v>
      </c>
      <c r="AU171" s="80">
        <v>0.0769230769230769</v>
      </c>
      <c r="AV171" s="80">
        <v>0.0853391684901532</v>
      </c>
      <c r="AW171" s="36"/>
      <c r="AX171" s="34"/>
    </row>
    <row r="172" ht="14.5" spans="1:50">
      <c r="A172" s="32"/>
      <c r="B172" s="36"/>
      <c r="C172" s="91" t="s">
        <v>132</v>
      </c>
      <c r="D172" s="69" t="s">
        <v>11</v>
      </c>
      <c r="E172" s="92" t="s">
        <v>225</v>
      </c>
      <c r="F172" s="92" t="s">
        <v>225</v>
      </c>
      <c r="G172" s="92" t="s">
        <v>225</v>
      </c>
      <c r="H172" s="92" t="s">
        <v>225</v>
      </c>
      <c r="I172" s="71">
        <v>0.9</v>
      </c>
      <c r="J172" s="72">
        <v>0.959183673469388</v>
      </c>
      <c r="K172" s="72">
        <v>0.944444444444444</v>
      </c>
      <c r="L172" s="73">
        <v>0.966101694915254</v>
      </c>
      <c r="M172" s="72">
        <v>0.9625</v>
      </c>
      <c r="N172" s="74">
        <v>0.9</v>
      </c>
      <c r="O172" s="72">
        <v>0.935298935298935</v>
      </c>
      <c r="P172" s="72">
        <v>0.958645489961043</v>
      </c>
      <c r="Q172" s="72">
        <v>0.966273187183811</v>
      </c>
      <c r="R172" s="72">
        <v>0.958379035365962</v>
      </c>
      <c r="S172" s="74">
        <v>0.9</v>
      </c>
      <c r="T172" s="72">
        <v>0.894348894348894</v>
      </c>
      <c r="U172" s="72">
        <v>0.936170212765957</v>
      </c>
      <c r="V172" s="72">
        <v>0.940697020798201</v>
      </c>
      <c r="W172" s="72">
        <v>0.918625678119349</v>
      </c>
      <c r="X172" s="74">
        <v>0.92</v>
      </c>
      <c r="Y172" s="74">
        <v>0.936859368593686</v>
      </c>
      <c r="Z172" s="74">
        <v>0.948268303375712</v>
      </c>
      <c r="AA172" s="74">
        <v>0.962306993642144</v>
      </c>
      <c r="AB172" s="74">
        <v>0.956572885011273</v>
      </c>
      <c r="AC172" s="74">
        <v>0.92</v>
      </c>
      <c r="AD172" s="72">
        <v>0.98873153647023</v>
      </c>
      <c r="AE172" s="72">
        <v>0.992919100725792</v>
      </c>
      <c r="AF172" s="72">
        <v>0.994304698623635</v>
      </c>
      <c r="AG172" s="72">
        <v>0.99247057784451</v>
      </c>
      <c r="AH172" s="74">
        <v>0.92</v>
      </c>
      <c r="AI172" s="72">
        <v>0.952310717797443</v>
      </c>
      <c r="AJ172" s="72">
        <v>0.970808116767533</v>
      </c>
      <c r="AK172" s="72">
        <v>0.978645833333333</v>
      </c>
      <c r="AL172" s="72">
        <v>0.972736340463261</v>
      </c>
      <c r="AM172" s="71">
        <v>0.99</v>
      </c>
      <c r="AN172" s="76">
        <v>1</v>
      </c>
      <c r="AO172" s="76">
        <v>1</v>
      </c>
      <c r="AP172" s="76">
        <v>1</v>
      </c>
      <c r="AQ172" s="76">
        <v>1</v>
      </c>
      <c r="AR172" s="78">
        <v>0.105261498981944</v>
      </c>
      <c r="AS172" s="80">
        <v>0.0909090909090909</v>
      </c>
      <c r="AT172" s="80">
        <v>0.105263157894737</v>
      </c>
      <c r="AU172" s="80">
        <v>0.037037037037037</v>
      </c>
      <c r="AV172" s="80">
        <v>0.0772727272727273</v>
      </c>
      <c r="AW172" s="36"/>
      <c r="AX172" s="34"/>
    </row>
    <row r="173" ht="14.5" spans="1:50">
      <c r="A173" s="32"/>
      <c r="B173" s="36"/>
      <c r="C173" s="91" t="s">
        <v>132</v>
      </c>
      <c r="D173" s="69" t="s">
        <v>11</v>
      </c>
      <c r="E173" s="92" t="s">
        <v>226</v>
      </c>
      <c r="F173" s="92" t="s">
        <v>226</v>
      </c>
      <c r="G173" s="92" t="s">
        <v>226</v>
      </c>
      <c r="H173" s="92" t="s">
        <v>226</v>
      </c>
      <c r="I173" s="71">
        <v>0.9</v>
      </c>
      <c r="J173" s="72">
        <v>0.971428571428571</v>
      </c>
      <c r="K173" s="72">
        <v>0.972972972972973</v>
      </c>
      <c r="L173" s="73">
        <v>0.96</v>
      </c>
      <c r="M173" s="72">
        <v>0.938325991189427</v>
      </c>
      <c r="N173" s="74">
        <v>0.9</v>
      </c>
      <c r="O173" s="72">
        <v>0.957879597287857</v>
      </c>
      <c r="P173" s="72">
        <v>0.967440801457195</v>
      </c>
      <c r="Q173" s="72">
        <v>0.973694620253165</v>
      </c>
      <c r="R173" s="72">
        <v>0.966655012673717</v>
      </c>
      <c r="S173" s="74">
        <v>0.9</v>
      </c>
      <c r="T173" s="72">
        <v>0.886583110745839</v>
      </c>
      <c r="U173" s="72">
        <v>0.912795992714025</v>
      </c>
      <c r="V173" s="72">
        <v>0.907634493670886</v>
      </c>
      <c r="W173" s="72">
        <v>0.902805698802552</v>
      </c>
      <c r="X173" s="74">
        <v>0.92</v>
      </c>
      <c r="Y173" s="74">
        <v>0.894844159627148</v>
      </c>
      <c r="Z173" s="74">
        <v>0.938223938223938</v>
      </c>
      <c r="AA173" s="74">
        <v>0.938967136150235</v>
      </c>
      <c r="AB173" s="74">
        <v>0.933354214519385</v>
      </c>
      <c r="AC173" s="74">
        <v>0.92</v>
      </c>
      <c r="AD173" s="72">
        <v>0.988752556237219</v>
      </c>
      <c r="AE173" s="72">
        <v>0.980031411263181</v>
      </c>
      <c r="AF173" s="72">
        <v>0.430893000804505</v>
      </c>
      <c r="AG173" s="72">
        <v>0.674291895356756</v>
      </c>
      <c r="AH173" s="74">
        <v>0.92</v>
      </c>
      <c r="AI173" s="72">
        <v>0.928528456262784</v>
      </c>
      <c r="AJ173" s="72">
        <v>0.957761492338441</v>
      </c>
      <c r="AK173" s="72">
        <v>0.963433829761472</v>
      </c>
      <c r="AL173" s="72">
        <v>0.959010344688787</v>
      </c>
      <c r="AM173" s="71">
        <v>0.99</v>
      </c>
      <c r="AN173" s="76">
        <v>1</v>
      </c>
      <c r="AO173" s="76">
        <v>1</v>
      </c>
      <c r="AP173" s="76">
        <v>1</v>
      </c>
      <c r="AQ173" s="76">
        <v>1</v>
      </c>
      <c r="AR173" s="78">
        <v>0.105261498981944</v>
      </c>
      <c r="AS173" s="80">
        <v>0.032258064516129</v>
      </c>
      <c r="AT173" s="80">
        <v>0.0454545454545455</v>
      </c>
      <c r="AU173" s="80">
        <v>0</v>
      </c>
      <c r="AV173" s="80">
        <v>0.0811808118081181</v>
      </c>
      <c r="AW173" s="36"/>
      <c r="AX173" s="34"/>
    </row>
    <row r="174" ht="14.5" spans="1:50">
      <c r="A174" s="32"/>
      <c r="B174" s="36"/>
      <c r="C174" s="91" t="s">
        <v>132</v>
      </c>
      <c r="D174" s="69" t="s">
        <v>11</v>
      </c>
      <c r="E174" s="92" t="s">
        <v>227</v>
      </c>
      <c r="F174" s="92" t="s">
        <v>227</v>
      </c>
      <c r="G174" s="92" t="s">
        <v>227</v>
      </c>
      <c r="H174" s="92" t="s">
        <v>227</v>
      </c>
      <c r="I174" s="71">
        <v>0.9</v>
      </c>
      <c r="J174" s="72">
        <v>0.901639344262295</v>
      </c>
      <c r="K174" s="72">
        <v>0.942028985507246</v>
      </c>
      <c r="L174" s="73">
        <v>0.928571428571429</v>
      </c>
      <c r="M174" s="72">
        <v>0.914516129032258</v>
      </c>
      <c r="N174" s="74">
        <v>0.9</v>
      </c>
      <c r="O174" s="72">
        <v>0.87574159525379</v>
      </c>
      <c r="P174" s="72">
        <v>0.946894524072032</v>
      </c>
      <c r="Q174" s="72">
        <v>0.926978723404255</v>
      </c>
      <c r="R174" s="72">
        <v>0.906748466257669</v>
      </c>
      <c r="S174" s="74">
        <v>0.9</v>
      </c>
      <c r="T174" s="72">
        <v>0.846736980883322</v>
      </c>
      <c r="U174" s="72">
        <v>0.89268651231165</v>
      </c>
      <c r="V174" s="72">
        <v>0.893106382978723</v>
      </c>
      <c r="W174" s="72">
        <v>0.870637092968381</v>
      </c>
      <c r="X174" s="74">
        <v>0.92</v>
      </c>
      <c r="Y174" s="74">
        <v>0.863486842105263</v>
      </c>
      <c r="Z174" s="74">
        <v>0.906028368794326</v>
      </c>
      <c r="AA174" s="74">
        <v>0.912978912978913</v>
      </c>
      <c r="AB174" s="74">
        <v>0.908644239903043</v>
      </c>
      <c r="AC174" s="74">
        <v>0.92</v>
      </c>
      <c r="AD174" s="72">
        <v>0.998183775057177</v>
      </c>
      <c r="AE174" s="72">
        <v>0.980658423396767</v>
      </c>
      <c r="AF174" s="72">
        <v>0.986392706490679</v>
      </c>
      <c r="AG174" s="72">
        <v>0.984274881669189</v>
      </c>
      <c r="AH174" s="74">
        <v>0.92</v>
      </c>
      <c r="AI174" s="72">
        <v>0.89368052696583</v>
      </c>
      <c r="AJ174" s="72">
        <v>0.945860233322007</v>
      </c>
      <c r="AK174" s="72">
        <v>0.948290783210731</v>
      </c>
      <c r="AL174" s="72">
        <v>0.941746294034533</v>
      </c>
      <c r="AM174" s="71">
        <v>0.99</v>
      </c>
      <c r="AN174" s="76">
        <v>1</v>
      </c>
      <c r="AO174" s="76">
        <v>1</v>
      </c>
      <c r="AP174" s="76">
        <v>1</v>
      </c>
      <c r="AQ174" s="76">
        <v>1</v>
      </c>
      <c r="AR174" s="78">
        <v>0.105261498981944</v>
      </c>
      <c r="AS174" s="80">
        <v>0</v>
      </c>
      <c r="AT174" s="80">
        <v>0.115384615384615</v>
      </c>
      <c r="AU174" s="80">
        <v>0.0540540540540541</v>
      </c>
      <c r="AV174" s="80">
        <v>0.0581818181818182</v>
      </c>
      <c r="AW174" s="36"/>
      <c r="AX174" s="34"/>
    </row>
    <row r="175" ht="14.5" spans="1:50">
      <c r="A175" s="32"/>
      <c r="B175" s="36"/>
      <c r="C175" s="91" t="s">
        <v>132</v>
      </c>
      <c r="D175" s="69" t="s">
        <v>11</v>
      </c>
      <c r="E175" s="92" t="s">
        <v>228</v>
      </c>
      <c r="F175" s="92" t="s">
        <v>228</v>
      </c>
      <c r="G175" s="92" t="s">
        <v>228</v>
      </c>
      <c r="H175" s="92" t="s">
        <v>228</v>
      </c>
      <c r="I175" s="71">
        <v>0.9</v>
      </c>
      <c r="J175" s="72">
        <v>0.945945945945946</v>
      </c>
      <c r="K175" s="72">
        <v>0.962025316455696</v>
      </c>
      <c r="L175" s="73">
        <v>0.951807228915663</v>
      </c>
      <c r="M175" s="72">
        <v>0.934782608695652</v>
      </c>
      <c r="N175" s="74">
        <v>0.9</v>
      </c>
      <c r="O175" s="72">
        <v>0.907916528651871</v>
      </c>
      <c r="P175" s="72">
        <v>0.927599346761023</v>
      </c>
      <c r="Q175" s="72">
        <v>0.923449948042951</v>
      </c>
      <c r="R175" s="72">
        <v>0.927131957332733</v>
      </c>
      <c r="S175" s="74">
        <v>0.9</v>
      </c>
      <c r="T175" s="72">
        <v>0.884067572043723</v>
      </c>
      <c r="U175" s="72">
        <v>0.891308292505897</v>
      </c>
      <c r="V175" s="72">
        <v>0.9028403186699</v>
      </c>
      <c r="W175" s="72">
        <v>0.891925838441782</v>
      </c>
      <c r="X175" s="74">
        <v>0.92</v>
      </c>
      <c r="Y175" s="74">
        <v>0.904228507420891</v>
      </c>
      <c r="Z175" s="74">
        <v>0.936887608069164</v>
      </c>
      <c r="AA175" s="74">
        <v>0.941524105754277</v>
      </c>
      <c r="AB175" s="74">
        <v>0.943783068783069</v>
      </c>
      <c r="AC175" s="74">
        <v>0.92</v>
      </c>
      <c r="AD175" s="72">
        <v>0.988158330573037</v>
      </c>
      <c r="AE175" s="72">
        <v>0.911008187908362</v>
      </c>
      <c r="AF175" s="72">
        <v>0.965055277275557</v>
      </c>
      <c r="AG175" s="72">
        <v>0.938809806926984</v>
      </c>
      <c r="AH175" s="74">
        <v>0.92</v>
      </c>
      <c r="AI175" s="72">
        <v>0.941733430444283</v>
      </c>
      <c r="AJ175" s="72">
        <v>0.964715048975957</v>
      </c>
      <c r="AK175" s="72">
        <v>0.970408276782734</v>
      </c>
      <c r="AL175" s="72">
        <v>0.967930238399981</v>
      </c>
      <c r="AM175" s="71">
        <v>0.99</v>
      </c>
      <c r="AN175" s="76">
        <v>1</v>
      </c>
      <c r="AO175" s="76">
        <v>1</v>
      </c>
      <c r="AP175" s="76">
        <v>1</v>
      </c>
      <c r="AQ175" s="76">
        <v>1</v>
      </c>
      <c r="AR175" s="78">
        <v>0.105261498981944</v>
      </c>
      <c r="AS175" s="80">
        <v>0</v>
      </c>
      <c r="AT175" s="80">
        <v>0.0344827586206897</v>
      </c>
      <c r="AU175" s="80">
        <v>0.0909090909090909</v>
      </c>
      <c r="AV175" s="80">
        <v>0.0895522388059701</v>
      </c>
      <c r="AW175" s="36"/>
      <c r="AX175" s="34"/>
    </row>
    <row r="176" ht="14.5" spans="1:50">
      <c r="A176" s="32"/>
      <c r="B176" s="36"/>
      <c r="C176" s="91" t="s">
        <v>132</v>
      </c>
      <c r="D176" s="69" t="s">
        <v>11</v>
      </c>
      <c r="E176" s="92" t="s">
        <v>229</v>
      </c>
      <c r="F176" s="92" t="s">
        <v>229</v>
      </c>
      <c r="G176" s="92" t="s">
        <v>229</v>
      </c>
      <c r="H176" s="92" t="s">
        <v>229</v>
      </c>
      <c r="I176" s="71">
        <v>0.9</v>
      </c>
      <c r="J176" s="72">
        <v>1</v>
      </c>
      <c r="K176" s="72">
        <v>0.977777777777778</v>
      </c>
      <c r="L176" s="73">
        <v>0.9</v>
      </c>
      <c r="M176" s="72">
        <v>0.946987951807229</v>
      </c>
      <c r="N176" s="74">
        <v>0.9</v>
      </c>
      <c r="O176" s="72">
        <v>0.943138500635324</v>
      </c>
      <c r="P176" s="72">
        <v>0.968485780169101</v>
      </c>
      <c r="Q176" s="72">
        <v>0.968707015130674</v>
      </c>
      <c r="R176" s="72">
        <v>0.957519923959933</v>
      </c>
      <c r="S176" s="74">
        <v>0.9</v>
      </c>
      <c r="T176" s="72">
        <v>0.892312579415502</v>
      </c>
      <c r="U176" s="72">
        <v>0.944657955418909</v>
      </c>
      <c r="V176" s="72">
        <v>0.951169188445667</v>
      </c>
      <c r="W176" s="72">
        <v>0.908057322512247</v>
      </c>
      <c r="X176" s="74">
        <v>0.92</v>
      </c>
      <c r="Y176" s="74">
        <v>0.936757013789824</v>
      </c>
      <c r="Z176" s="74">
        <v>0.954997383568812</v>
      </c>
      <c r="AA176" s="74">
        <v>0.970338983050847</v>
      </c>
      <c r="AB176" s="74">
        <v>0.956829971181556</v>
      </c>
      <c r="AC176" s="74">
        <v>0.92</v>
      </c>
      <c r="AD176" s="72">
        <v>0.981695568400771</v>
      </c>
      <c r="AE176" s="72">
        <v>0.993995633187773</v>
      </c>
      <c r="AF176" s="72">
        <v>0.990963855421687</v>
      </c>
      <c r="AG176" s="72">
        <v>0.975611243216877</v>
      </c>
      <c r="AH176" s="74">
        <v>0.92</v>
      </c>
      <c r="AI176" s="72">
        <v>0.946105503713578</v>
      </c>
      <c r="AJ176" s="72">
        <v>0.974750830564784</v>
      </c>
      <c r="AK176" s="72">
        <v>0.981651376146789</v>
      </c>
      <c r="AL176" s="72">
        <v>0.973338701380035</v>
      </c>
      <c r="AM176" s="71">
        <v>0.99</v>
      </c>
      <c r="AN176" s="76">
        <v>1</v>
      </c>
      <c r="AO176" s="76">
        <v>1</v>
      </c>
      <c r="AP176" s="76">
        <v>1</v>
      </c>
      <c r="AQ176" s="76">
        <v>1</v>
      </c>
      <c r="AR176" s="78">
        <v>0.105261498981944</v>
      </c>
      <c r="AS176" s="80">
        <v>0.157894736842105</v>
      </c>
      <c r="AT176" s="80">
        <v>0.230769230769231</v>
      </c>
      <c r="AU176" s="80">
        <v>0.0476190476190476</v>
      </c>
      <c r="AV176" s="80">
        <v>0.0943396226415094</v>
      </c>
      <c r="AW176" s="36"/>
      <c r="AX176" s="34"/>
    </row>
    <row r="177" ht="14.5" spans="1:50">
      <c r="A177" s="32"/>
      <c r="B177" s="36"/>
      <c r="C177" s="91" t="s">
        <v>132</v>
      </c>
      <c r="D177" s="69" t="s">
        <v>11</v>
      </c>
      <c r="E177" s="92" t="s">
        <v>230</v>
      </c>
      <c r="F177" s="92" t="s">
        <v>230</v>
      </c>
      <c r="G177" s="92" t="s">
        <v>230</v>
      </c>
      <c r="H177" s="92" t="s">
        <v>230</v>
      </c>
      <c r="I177" s="71">
        <v>0.9</v>
      </c>
      <c r="J177" s="72">
        <v>0.943661971830986</v>
      </c>
      <c r="K177" s="72">
        <v>0.972972972972973</v>
      </c>
      <c r="L177" s="73">
        <v>0.972972972972973</v>
      </c>
      <c r="M177" s="72">
        <v>0.974739970282318</v>
      </c>
      <c r="N177" s="74">
        <v>0.9</v>
      </c>
      <c r="O177" s="72">
        <v>0.838653326981102</v>
      </c>
      <c r="P177" s="72">
        <v>0.944206773618538</v>
      </c>
      <c r="Q177" s="72">
        <v>0.93351610692255</v>
      </c>
      <c r="R177" s="72">
        <v>0.910498067447015</v>
      </c>
      <c r="S177" s="74">
        <v>0.9</v>
      </c>
      <c r="T177" s="72">
        <v>0.87247895823408</v>
      </c>
      <c r="U177" s="72">
        <v>0.941354723707665</v>
      </c>
      <c r="V177" s="72">
        <v>0.920836189170665</v>
      </c>
      <c r="W177" s="72">
        <v>0.922166657507648</v>
      </c>
      <c r="X177" s="74">
        <v>0.92</v>
      </c>
      <c r="Y177" s="74">
        <v>0.949156569256355</v>
      </c>
      <c r="Z177" s="74">
        <v>0.983410388903998</v>
      </c>
      <c r="AA177" s="74">
        <v>0.986297289246351</v>
      </c>
      <c r="AB177" s="74">
        <v>0.982771019356385</v>
      </c>
      <c r="AC177" s="74">
        <v>0.92</v>
      </c>
      <c r="AD177" s="72">
        <v>0.996211164435464</v>
      </c>
      <c r="AE177" s="72">
        <v>0.861156676196279</v>
      </c>
      <c r="AF177" s="72">
        <v>0.854349900698976</v>
      </c>
      <c r="AG177" s="72">
        <v>0.92132478700788</v>
      </c>
      <c r="AH177" s="74">
        <v>0.92</v>
      </c>
      <c r="AI177" s="72">
        <v>0.95270720334951</v>
      </c>
      <c r="AJ177" s="72">
        <v>0.98955978904316</v>
      </c>
      <c r="AK177" s="72">
        <v>0.992494289133036</v>
      </c>
      <c r="AL177" s="72">
        <v>0.988317783560803</v>
      </c>
      <c r="AM177" s="71">
        <v>0.99</v>
      </c>
      <c r="AN177" s="76">
        <v>1</v>
      </c>
      <c r="AO177" s="76">
        <v>1</v>
      </c>
      <c r="AP177" s="76">
        <v>1</v>
      </c>
      <c r="AQ177" s="76">
        <v>1</v>
      </c>
      <c r="AR177" s="78">
        <v>0.105261498981944</v>
      </c>
      <c r="AS177" s="80">
        <v>0.179487179487179</v>
      </c>
      <c r="AT177" s="80">
        <v>0.25</v>
      </c>
      <c r="AU177" s="80">
        <v>0.115384615384615</v>
      </c>
      <c r="AV177" s="80">
        <v>0.152173913043478</v>
      </c>
      <c r="AW177" s="36"/>
      <c r="AX177" s="34"/>
    </row>
    <row r="178" ht="14.5" spans="1:50">
      <c r="A178" s="32"/>
      <c r="B178" s="36"/>
      <c r="C178" s="91" t="s">
        <v>132</v>
      </c>
      <c r="D178" s="69" t="s">
        <v>11</v>
      </c>
      <c r="E178" s="92" t="s">
        <v>231</v>
      </c>
      <c r="F178" s="92" t="s">
        <v>231</v>
      </c>
      <c r="G178" s="92" t="s">
        <v>231</v>
      </c>
      <c r="H178" s="92" t="s">
        <v>231</v>
      </c>
      <c r="I178" s="71">
        <v>0.9</v>
      </c>
      <c r="J178" s="72">
        <v>0.888888888888889</v>
      </c>
      <c r="K178" s="72">
        <v>0.945454545454545</v>
      </c>
      <c r="L178" s="73">
        <v>0.934426229508197</v>
      </c>
      <c r="M178" s="72">
        <v>0.946745562130177</v>
      </c>
      <c r="N178" s="74">
        <v>0.9</v>
      </c>
      <c r="O178" s="72">
        <v>0.927674962773878</v>
      </c>
      <c r="P178" s="72">
        <v>0.949144486692015</v>
      </c>
      <c r="Q178" s="72">
        <v>0.964866623292127</v>
      </c>
      <c r="R178" s="72">
        <v>0.938659093115837</v>
      </c>
      <c r="S178" s="74">
        <v>0.9</v>
      </c>
      <c r="T178" s="72">
        <v>0.895341416719847</v>
      </c>
      <c r="U178" s="72">
        <v>0.936074144486692</v>
      </c>
      <c r="V178" s="72">
        <v>0.947083062242464</v>
      </c>
      <c r="W178" s="72">
        <v>0.926521992426449</v>
      </c>
      <c r="X178" s="74">
        <v>0.92</v>
      </c>
      <c r="Y178" s="74">
        <v>0.940318752119362</v>
      </c>
      <c r="Z178" s="74">
        <v>0.960811275352355</v>
      </c>
      <c r="AA178" s="74">
        <v>0.962426614481409</v>
      </c>
      <c r="AB178" s="74">
        <v>0.956496591613303</v>
      </c>
      <c r="AC178" s="74">
        <v>0.92</v>
      </c>
      <c r="AD178" s="72">
        <v>0.956521739130435</v>
      </c>
      <c r="AE178" s="72">
        <v>0.992135511191773</v>
      </c>
      <c r="AF178" s="72">
        <v>0.981673071238546</v>
      </c>
      <c r="AG178" s="72">
        <v>0.972483197860586</v>
      </c>
      <c r="AH178" s="74">
        <v>0.92</v>
      </c>
      <c r="AI178" s="72">
        <v>0.950326797385621</v>
      </c>
      <c r="AJ178" s="72">
        <v>0.974438202247191</v>
      </c>
      <c r="AK178" s="72">
        <v>0.979765559586938</v>
      </c>
      <c r="AL178" s="72">
        <v>0.973184938313128</v>
      </c>
      <c r="AM178" s="71">
        <v>0.99</v>
      </c>
      <c r="AN178" s="76">
        <v>1</v>
      </c>
      <c r="AO178" s="76">
        <v>1</v>
      </c>
      <c r="AP178" s="76">
        <v>1</v>
      </c>
      <c r="AQ178" s="76">
        <v>1</v>
      </c>
      <c r="AR178" s="78">
        <v>0.105261498981944</v>
      </c>
      <c r="AS178" s="80">
        <v>0.363636363636364</v>
      </c>
      <c r="AT178" s="80">
        <v>0.1875</v>
      </c>
      <c r="AU178" s="80">
        <v>0</v>
      </c>
      <c r="AV178" s="80">
        <v>0.11864406779661</v>
      </c>
      <c r="AW178" s="36"/>
      <c r="AX178" s="34"/>
    </row>
    <row r="179" ht="14.5" spans="1:50">
      <c r="A179" s="32"/>
      <c r="B179" s="36"/>
      <c r="C179" s="91" t="s">
        <v>132</v>
      </c>
      <c r="D179" s="69" t="s">
        <v>11</v>
      </c>
      <c r="E179" s="92" t="s">
        <v>232</v>
      </c>
      <c r="F179" s="92" t="s">
        <v>232</v>
      </c>
      <c r="G179" s="92" t="s">
        <v>232</v>
      </c>
      <c r="H179" s="92" t="s">
        <v>232</v>
      </c>
      <c r="I179" s="71">
        <v>0.9</v>
      </c>
      <c r="J179" s="72">
        <v>0.944444444444444</v>
      </c>
      <c r="K179" s="72">
        <v>0.960526315789474</v>
      </c>
      <c r="L179" s="73">
        <v>0.8875</v>
      </c>
      <c r="M179" s="72">
        <v>0.92781954887218</v>
      </c>
      <c r="N179" s="74">
        <v>0.9</v>
      </c>
      <c r="O179" s="72">
        <v>0.924547727607001</v>
      </c>
      <c r="P179" s="72">
        <v>0.941590314136126</v>
      </c>
      <c r="Q179" s="72">
        <v>0.960499609679938</v>
      </c>
      <c r="R179" s="72">
        <v>0.920275063579173</v>
      </c>
      <c r="S179" s="74">
        <v>0.9</v>
      </c>
      <c r="T179" s="72">
        <v>0.886012648918959</v>
      </c>
      <c r="U179" s="72">
        <v>0.912140052356021</v>
      </c>
      <c r="V179" s="72">
        <v>0.926619828259173</v>
      </c>
      <c r="W179" s="72">
        <v>0.902372507027172</v>
      </c>
      <c r="X179" s="74">
        <v>0.92</v>
      </c>
      <c r="Y179" s="74">
        <v>0.874691052891745</v>
      </c>
      <c r="Z179" s="74">
        <v>0.919597989949749</v>
      </c>
      <c r="AA179" s="74">
        <v>0.9276260208392</v>
      </c>
      <c r="AB179" s="74">
        <v>0.916833078820627</v>
      </c>
      <c r="AC179" s="74">
        <v>0.92</v>
      </c>
      <c r="AD179" s="72">
        <v>0.998142558625493</v>
      </c>
      <c r="AE179" s="72">
        <v>0.995893114299429</v>
      </c>
      <c r="AF179" s="72">
        <v>0.989322116162433</v>
      </c>
      <c r="AG179" s="72">
        <v>0.989714615018416</v>
      </c>
      <c r="AH179" s="74">
        <v>0.92</v>
      </c>
      <c r="AI179" s="72">
        <v>0.921722293933247</v>
      </c>
      <c r="AJ179" s="72">
        <v>0.953732700272755</v>
      </c>
      <c r="AK179" s="72">
        <v>0.962032944957814</v>
      </c>
      <c r="AL179" s="72">
        <v>0.954432591992668</v>
      </c>
      <c r="AM179" s="71">
        <v>0.99</v>
      </c>
      <c r="AN179" s="76">
        <v>1</v>
      </c>
      <c r="AO179" s="76">
        <v>1</v>
      </c>
      <c r="AP179" s="76">
        <v>1</v>
      </c>
      <c r="AQ179" s="76">
        <v>1</v>
      </c>
      <c r="AR179" s="78">
        <v>0.105261498981944</v>
      </c>
      <c r="AS179" s="80">
        <v>0.153846153846154</v>
      </c>
      <c r="AT179" s="80">
        <v>0.214285714285714</v>
      </c>
      <c r="AU179" s="80">
        <v>0</v>
      </c>
      <c r="AV179" s="80">
        <v>0.153284671532847</v>
      </c>
      <c r="AW179" s="36"/>
      <c r="AX179" s="34"/>
    </row>
    <row r="180" ht="14.5" spans="1:50">
      <c r="A180" s="32"/>
      <c r="B180" s="36"/>
      <c r="C180" s="91" t="s">
        <v>132</v>
      </c>
      <c r="D180" s="69" t="s">
        <v>11</v>
      </c>
      <c r="E180" s="92" t="s">
        <v>233</v>
      </c>
      <c r="F180" s="92" t="s">
        <v>233</v>
      </c>
      <c r="G180" s="92" t="s">
        <v>233</v>
      </c>
      <c r="H180" s="92" t="s">
        <v>233</v>
      </c>
      <c r="I180" s="71">
        <v>0.9</v>
      </c>
      <c r="J180" s="72">
        <v>0</v>
      </c>
      <c r="K180" s="72">
        <v>0.846153846153846</v>
      </c>
      <c r="L180" s="73">
        <v>0.827586206896552</v>
      </c>
      <c r="M180" s="72">
        <v>0.833040421792619</v>
      </c>
      <c r="N180" s="74">
        <v>0.9</v>
      </c>
      <c r="O180" s="72">
        <v>0.99009900990099</v>
      </c>
      <c r="P180" s="72">
        <v>0.717877094972067</v>
      </c>
      <c r="Q180" s="72">
        <v>0.364178708736577</v>
      </c>
      <c r="R180" s="72">
        <v>0.767326164325896</v>
      </c>
      <c r="S180" s="74">
        <v>0.9</v>
      </c>
      <c r="T180" s="72">
        <v>1</v>
      </c>
      <c r="U180" s="72">
        <v>0.856145251396648</v>
      </c>
      <c r="V180" s="72">
        <v>0.878960625745725</v>
      </c>
      <c r="W180" s="72">
        <v>0.836343806207187</v>
      </c>
      <c r="X180" s="74">
        <v>0.92</v>
      </c>
      <c r="Y180" s="74">
        <v>0.972972972972973</v>
      </c>
      <c r="Z180" s="74">
        <v>0.995238095238095</v>
      </c>
      <c r="AA180" s="74">
        <v>0.992414100847836</v>
      </c>
      <c r="AB180" s="74">
        <v>0.948200654307525</v>
      </c>
      <c r="AC180" s="74">
        <v>0.92</v>
      </c>
      <c r="AD180" s="72">
        <v>0.166666666666667</v>
      </c>
      <c r="AE180" s="72">
        <v>0.970427163198248</v>
      </c>
      <c r="AF180" s="72">
        <v>0.779352226720648</v>
      </c>
      <c r="AG180" s="72">
        <v>0.912991397146902</v>
      </c>
      <c r="AH180" s="74">
        <v>0.92</v>
      </c>
      <c r="AI180" s="72">
        <v>0.985611510791367</v>
      </c>
      <c r="AJ180" s="72">
        <v>0.996760259179266</v>
      </c>
      <c r="AK180" s="72">
        <v>0.994384342224791</v>
      </c>
      <c r="AL180" s="72">
        <v>0.963911872004578</v>
      </c>
      <c r="AM180" s="71">
        <v>0.99</v>
      </c>
      <c r="AN180" s="76">
        <v>1</v>
      </c>
      <c r="AO180" s="76">
        <v>1</v>
      </c>
      <c r="AP180" s="76">
        <v>1</v>
      </c>
      <c r="AQ180" s="76">
        <v>1</v>
      </c>
      <c r="AR180" s="78">
        <v>0.105261498981944</v>
      </c>
      <c r="AS180" s="80">
        <v>0</v>
      </c>
      <c r="AT180" s="80">
        <v>0</v>
      </c>
      <c r="AU180" s="80">
        <v>0.0277777777777778</v>
      </c>
      <c r="AV180" s="80">
        <v>0.0877862595419847</v>
      </c>
      <c r="AW180" s="36"/>
      <c r="AX180" s="34"/>
    </row>
    <row r="181" ht="14.5" spans="1:50">
      <c r="A181" s="32"/>
      <c r="B181" s="36"/>
      <c r="C181" s="91" t="s">
        <v>132</v>
      </c>
      <c r="D181" s="69" t="s">
        <v>11</v>
      </c>
      <c r="E181" s="92" t="s">
        <v>234</v>
      </c>
      <c r="F181" s="92" t="s">
        <v>234</v>
      </c>
      <c r="G181" s="92" t="s">
        <v>234</v>
      </c>
      <c r="H181" s="92" t="s">
        <v>234</v>
      </c>
      <c r="I181" s="71">
        <v>0.9</v>
      </c>
      <c r="J181" s="72">
        <v>0.944444444444444</v>
      </c>
      <c r="K181" s="72">
        <v>0.964912280701754</v>
      </c>
      <c r="L181" s="73">
        <v>0.966101694915254</v>
      </c>
      <c r="M181" s="72">
        <v>0.939759036144578</v>
      </c>
      <c r="N181" s="74">
        <v>0.9</v>
      </c>
      <c r="O181" s="72">
        <v>0.909155028918042</v>
      </c>
      <c r="P181" s="72">
        <v>0.864046579330422</v>
      </c>
      <c r="Q181" s="72">
        <v>0.932148626817447</v>
      </c>
      <c r="R181" s="72">
        <v>0.834804313424801</v>
      </c>
      <c r="S181" s="74">
        <v>0.9</v>
      </c>
      <c r="T181" s="72">
        <v>0.881647623078008</v>
      </c>
      <c r="U181" s="72">
        <v>0.905676855895197</v>
      </c>
      <c r="V181" s="72">
        <v>0.929798795711558</v>
      </c>
      <c r="W181" s="72">
        <v>0.89311059268806</v>
      </c>
      <c r="X181" s="74">
        <v>0.92</v>
      </c>
      <c r="Y181" s="74">
        <v>0.860679611650485</v>
      </c>
      <c r="Z181" s="74">
        <v>0.930675469781615</v>
      </c>
      <c r="AA181" s="74">
        <v>0.94245182012848</v>
      </c>
      <c r="AB181" s="74">
        <v>0.93440093172223</v>
      </c>
      <c r="AC181" s="74">
        <v>0.92</v>
      </c>
      <c r="AD181" s="72">
        <v>0.997733082525443</v>
      </c>
      <c r="AE181" s="72">
        <v>0.992266435517512</v>
      </c>
      <c r="AF181" s="72">
        <v>0.993572040758023</v>
      </c>
      <c r="AG181" s="72">
        <v>0.964613413188425</v>
      </c>
      <c r="AH181" s="74">
        <v>0.92</v>
      </c>
      <c r="AI181" s="72">
        <v>0.910891089108911</v>
      </c>
      <c r="AJ181" s="72">
        <v>0.959963014331946</v>
      </c>
      <c r="AK181" s="72">
        <v>0.967411898446381</v>
      </c>
      <c r="AL181" s="72">
        <v>0.959150190193538</v>
      </c>
      <c r="AM181" s="71">
        <v>0.99</v>
      </c>
      <c r="AN181" s="76">
        <v>1</v>
      </c>
      <c r="AO181" s="76">
        <v>1</v>
      </c>
      <c r="AP181" s="76">
        <v>1</v>
      </c>
      <c r="AQ181" s="76">
        <v>1</v>
      </c>
      <c r="AR181" s="78">
        <v>0.105261498981944</v>
      </c>
      <c r="AS181" s="80">
        <v>0.166666666666667</v>
      </c>
      <c r="AT181" s="80">
        <v>0.0222222222222222</v>
      </c>
      <c r="AU181" s="80">
        <v>0.0357142857142857</v>
      </c>
      <c r="AV181" s="80">
        <v>0.0696969696969697</v>
      </c>
      <c r="AW181" s="36"/>
      <c r="AX181" s="34"/>
    </row>
    <row r="182" ht="14.5" spans="1:50">
      <c r="A182" s="32"/>
      <c r="B182" s="36"/>
      <c r="C182" s="91" t="s">
        <v>132</v>
      </c>
      <c r="D182" s="69" t="s">
        <v>11</v>
      </c>
      <c r="E182" s="92" t="s">
        <v>235</v>
      </c>
      <c r="F182" s="92" t="s">
        <v>235</v>
      </c>
      <c r="G182" s="92" t="s">
        <v>235</v>
      </c>
      <c r="H182" s="92" t="s">
        <v>235</v>
      </c>
      <c r="I182" s="71">
        <v>0.9</v>
      </c>
      <c r="J182" s="72">
        <v>0.851063829787234</v>
      </c>
      <c r="K182" s="72">
        <v>0.943396226415094</v>
      </c>
      <c r="L182" s="73">
        <v>0.980392156862745</v>
      </c>
      <c r="M182" s="72">
        <v>0.930803571428571</v>
      </c>
      <c r="N182" s="74">
        <v>0.9</v>
      </c>
      <c r="O182" s="72">
        <v>0.757761912668106</v>
      </c>
      <c r="P182" s="72">
        <v>0.952648766328012</v>
      </c>
      <c r="Q182" s="72">
        <v>0.937489025460931</v>
      </c>
      <c r="R182" s="72">
        <v>0.917210370228642</v>
      </c>
      <c r="S182" s="74">
        <v>0.9</v>
      </c>
      <c r="T182" s="72">
        <v>0.858874315125353</v>
      </c>
      <c r="U182" s="72">
        <v>0.935957910014514</v>
      </c>
      <c r="V182" s="72">
        <v>0.93801580333626</v>
      </c>
      <c r="W182" s="72">
        <v>0.914761312541854</v>
      </c>
      <c r="X182" s="74">
        <v>0.92</v>
      </c>
      <c r="Y182" s="74">
        <v>0.899868593955322</v>
      </c>
      <c r="Z182" s="74">
        <v>0.9457928802589</v>
      </c>
      <c r="AA182" s="74">
        <v>0.954693514954101</v>
      </c>
      <c r="AB182" s="74">
        <v>0.948613035213763</v>
      </c>
      <c r="AC182" s="74">
        <v>0.92</v>
      </c>
      <c r="AD182" s="72">
        <v>0.95926882575005</v>
      </c>
      <c r="AE182" s="72">
        <v>0.900691746422818</v>
      </c>
      <c r="AF182" s="72">
        <v>0.947487239890067</v>
      </c>
      <c r="AG182" s="72">
        <v>0.970868388477435</v>
      </c>
      <c r="AH182" s="74">
        <v>0.92</v>
      </c>
      <c r="AI182" s="72">
        <v>0.924000406958999</v>
      </c>
      <c r="AJ182" s="72">
        <v>0.96681487908036</v>
      </c>
      <c r="AK182" s="72">
        <v>0.973217237958779</v>
      </c>
      <c r="AL182" s="72">
        <v>0.966860311592289</v>
      </c>
      <c r="AM182" s="71">
        <v>0.99</v>
      </c>
      <c r="AN182" s="76">
        <v>1</v>
      </c>
      <c r="AO182" s="76">
        <v>1</v>
      </c>
      <c r="AP182" s="76">
        <v>1</v>
      </c>
      <c r="AQ182" s="76">
        <v>1</v>
      </c>
      <c r="AR182" s="78">
        <v>0.105261498981944</v>
      </c>
      <c r="AS182" s="80">
        <v>0.0833333333333333</v>
      </c>
      <c r="AT182" s="80">
        <v>0.0869565217391304</v>
      </c>
      <c r="AU182" s="80">
        <v>0</v>
      </c>
      <c r="AV182" s="80">
        <v>0.0523560209424084</v>
      </c>
      <c r="AW182" s="36"/>
      <c r="AX182" s="34"/>
    </row>
    <row r="183" ht="14.5" spans="1:50">
      <c r="A183" s="32"/>
      <c r="B183" s="36"/>
      <c r="C183" s="91" t="s">
        <v>132</v>
      </c>
      <c r="D183" s="69" t="s">
        <v>11</v>
      </c>
      <c r="E183" s="92" t="s">
        <v>236</v>
      </c>
      <c r="F183" s="92" t="s">
        <v>236</v>
      </c>
      <c r="G183" s="92" t="s">
        <v>236</v>
      </c>
      <c r="H183" s="92" t="s">
        <v>236</v>
      </c>
      <c r="I183" s="71">
        <v>0.9</v>
      </c>
      <c r="J183" s="72">
        <v>0.976190476190476</v>
      </c>
      <c r="K183" s="72">
        <v>0.955555555555556</v>
      </c>
      <c r="L183" s="73">
        <v>0.955555555555556</v>
      </c>
      <c r="M183" s="72">
        <v>0.976683937823834</v>
      </c>
      <c r="N183" s="74">
        <v>0.9</v>
      </c>
      <c r="O183" s="72">
        <v>0.872963537626067</v>
      </c>
      <c r="P183" s="72">
        <v>0.922886597938144</v>
      </c>
      <c r="Q183" s="72">
        <v>0.93203109427945</v>
      </c>
      <c r="R183" s="72">
        <v>0.904262997878344</v>
      </c>
      <c r="S183" s="74">
        <v>0.9</v>
      </c>
      <c r="T183" s="72">
        <v>0.878975950349108</v>
      </c>
      <c r="U183" s="72">
        <v>0.91979381443299</v>
      </c>
      <c r="V183" s="72">
        <v>0.934622284233606</v>
      </c>
      <c r="W183" s="72">
        <v>0.910977930400927</v>
      </c>
      <c r="X183" s="74">
        <v>0.92</v>
      </c>
      <c r="Y183" s="74">
        <v>0.909828089523192</v>
      </c>
      <c r="Z183" s="74">
        <v>0.9509035117627</v>
      </c>
      <c r="AA183" s="74">
        <v>0.961552153791385</v>
      </c>
      <c r="AB183" s="74">
        <v>0.952880602254554</v>
      </c>
      <c r="AC183" s="74">
        <v>0.92</v>
      </c>
      <c r="AD183" s="72">
        <v>0.971940009675859</v>
      </c>
      <c r="AE183" s="72">
        <v>0.958836149101636</v>
      </c>
      <c r="AF183" s="72">
        <v>0.950031426775613</v>
      </c>
      <c r="AG183" s="72">
        <v>0.964123935495561</v>
      </c>
      <c r="AH183" s="74">
        <v>0.92</v>
      </c>
      <c r="AI183" s="72">
        <v>0.936294139060794</v>
      </c>
      <c r="AJ183" s="72">
        <v>0.970323741007194</v>
      </c>
      <c r="AK183" s="72">
        <v>0.977388860500766</v>
      </c>
      <c r="AL183" s="72">
        <v>0.969567897775038</v>
      </c>
      <c r="AM183" s="71">
        <v>0.99</v>
      </c>
      <c r="AN183" s="76">
        <v>1</v>
      </c>
      <c r="AO183" s="76">
        <v>1</v>
      </c>
      <c r="AP183" s="76">
        <v>1</v>
      </c>
      <c r="AQ183" s="76">
        <v>1</v>
      </c>
      <c r="AR183" s="78">
        <v>0.105261498981944</v>
      </c>
      <c r="AS183" s="80">
        <v>0.0416666666666667</v>
      </c>
      <c r="AT183" s="80">
        <v>0.0555555555555556</v>
      </c>
      <c r="AU183" s="80">
        <v>0.0434782608695652</v>
      </c>
      <c r="AV183" s="80">
        <v>0.0734463276836158</v>
      </c>
      <c r="AW183" s="36"/>
      <c r="AX183" s="34"/>
    </row>
    <row r="184" ht="14.5" spans="1:50">
      <c r="A184" s="32"/>
      <c r="B184" s="36"/>
      <c r="C184" s="91" t="s">
        <v>132</v>
      </c>
      <c r="D184" s="69" t="s">
        <v>11</v>
      </c>
      <c r="E184" s="92" t="s">
        <v>237</v>
      </c>
      <c r="F184" s="92" t="s">
        <v>237</v>
      </c>
      <c r="G184" s="92" t="s">
        <v>237</v>
      </c>
      <c r="H184" s="92" t="s">
        <v>237</v>
      </c>
      <c r="I184" s="71">
        <v>0.9</v>
      </c>
      <c r="J184" s="72">
        <v>0.915492957746479</v>
      </c>
      <c r="K184" s="72">
        <v>0.946666666666667</v>
      </c>
      <c r="L184" s="73">
        <v>0.921052631578947</v>
      </c>
      <c r="M184" s="72">
        <v>0.93815987933635</v>
      </c>
      <c r="N184" s="74">
        <v>0.9</v>
      </c>
      <c r="O184" s="72">
        <v>0.909128065395095</v>
      </c>
      <c r="P184" s="72">
        <v>0.927258566978193</v>
      </c>
      <c r="Q184" s="72">
        <v>0.941193853427896</v>
      </c>
      <c r="R184" s="72">
        <v>0.894613918017159</v>
      </c>
      <c r="S184" s="74">
        <v>0.9</v>
      </c>
      <c r="T184" s="72">
        <v>0.861716621253406</v>
      </c>
      <c r="U184" s="72">
        <v>0.917133956386293</v>
      </c>
      <c r="V184" s="72">
        <v>0.918144208037825</v>
      </c>
      <c r="W184" s="72">
        <v>0.890816650778519</v>
      </c>
      <c r="X184" s="74">
        <v>0.92</v>
      </c>
      <c r="Y184" s="74">
        <v>0.886528028933092</v>
      </c>
      <c r="Z184" s="74">
        <v>0.935262034621769</v>
      </c>
      <c r="AA184" s="74">
        <v>0.944444444444444</v>
      </c>
      <c r="AB184" s="74">
        <v>0.924879014518258</v>
      </c>
      <c r="AC184" s="74">
        <v>0.92</v>
      </c>
      <c r="AD184" s="72">
        <v>0.991937891908032</v>
      </c>
      <c r="AE184" s="72">
        <v>0.943446088794926</v>
      </c>
      <c r="AF184" s="72">
        <v>0.983746556473829</v>
      </c>
      <c r="AG184" s="72">
        <v>0.962076594683868</v>
      </c>
      <c r="AH184" s="74">
        <v>0.92</v>
      </c>
      <c r="AI184" s="72">
        <v>0.924266893327667</v>
      </c>
      <c r="AJ184" s="72">
        <v>0.957416807670615</v>
      </c>
      <c r="AK184" s="72">
        <v>0.964918898528857</v>
      </c>
      <c r="AL184" s="72">
        <v>0.952214100163112</v>
      </c>
      <c r="AM184" s="71">
        <v>0.99</v>
      </c>
      <c r="AN184" s="76">
        <v>1</v>
      </c>
      <c r="AO184" s="76">
        <v>1</v>
      </c>
      <c r="AP184" s="76">
        <v>1</v>
      </c>
      <c r="AQ184" s="76">
        <v>1</v>
      </c>
      <c r="AR184" s="78">
        <v>0.105261498981944</v>
      </c>
      <c r="AS184" s="80">
        <v>0.172413793103448</v>
      </c>
      <c r="AT184" s="80">
        <v>0.0263157894736842</v>
      </c>
      <c r="AU184" s="80">
        <v>0</v>
      </c>
      <c r="AV184" s="80">
        <v>0.102564102564103</v>
      </c>
      <c r="AW184" s="36"/>
      <c r="AX184" s="34"/>
    </row>
    <row r="185" ht="14.5" spans="1:50">
      <c r="A185" s="32"/>
      <c r="B185" s="36"/>
      <c r="C185" s="91" t="s">
        <v>132</v>
      </c>
      <c r="D185" s="69" t="s">
        <v>11</v>
      </c>
      <c r="E185" s="92" t="s">
        <v>238</v>
      </c>
      <c r="F185" s="92" t="s">
        <v>238</v>
      </c>
      <c r="G185" s="92" t="s">
        <v>238</v>
      </c>
      <c r="H185" s="92" t="s">
        <v>238</v>
      </c>
      <c r="I185" s="71">
        <v>0.9</v>
      </c>
      <c r="J185" s="72">
        <v>0.95049504950495</v>
      </c>
      <c r="K185" s="72">
        <v>0.962264150943396</v>
      </c>
      <c r="L185" s="73">
        <v>0.925925925925926</v>
      </c>
      <c r="M185" s="72">
        <v>0.947826086956522</v>
      </c>
      <c r="N185" s="74">
        <v>0.9</v>
      </c>
      <c r="O185" s="72">
        <v>0.878219584569733</v>
      </c>
      <c r="P185" s="72">
        <v>0.90823158723907</v>
      </c>
      <c r="Q185" s="72">
        <v>0.924805310864292</v>
      </c>
      <c r="R185" s="72">
        <v>0.914610645170046</v>
      </c>
      <c r="S185" s="74">
        <v>0.9</v>
      </c>
      <c r="T185" s="72">
        <v>0.866231454005935</v>
      </c>
      <c r="U185" s="72">
        <v>0.912695286858343</v>
      </c>
      <c r="V185" s="72">
        <v>0.924677645857271</v>
      </c>
      <c r="W185" s="72">
        <v>0.904065901256684</v>
      </c>
      <c r="X185" s="74">
        <v>0.92</v>
      </c>
      <c r="Y185" s="74">
        <v>0.903468815697267</v>
      </c>
      <c r="Z185" s="74">
        <v>0.943729594776263</v>
      </c>
      <c r="AA185" s="74">
        <v>0.945987316859829</v>
      </c>
      <c r="AB185" s="74">
        <v>0.941479464488314</v>
      </c>
      <c r="AC185" s="74">
        <v>0.92</v>
      </c>
      <c r="AD185" s="72">
        <v>0.994786235662148</v>
      </c>
      <c r="AE185" s="72">
        <v>0.992946530147895</v>
      </c>
      <c r="AF185" s="72">
        <v>0.993051843933725</v>
      </c>
      <c r="AG185" s="72">
        <v>0.991959002236756</v>
      </c>
      <c r="AH185" s="74">
        <v>0.92</v>
      </c>
      <c r="AI185" s="72">
        <v>0.92380615493456</v>
      </c>
      <c r="AJ185" s="72">
        <v>0.963358540578467</v>
      </c>
      <c r="AK185" s="72">
        <v>0.968886022892149</v>
      </c>
      <c r="AL185" s="72">
        <v>0.962859496132259</v>
      </c>
      <c r="AM185" s="71">
        <v>0.99</v>
      </c>
      <c r="AN185" s="76">
        <v>1</v>
      </c>
      <c r="AO185" s="76">
        <v>1</v>
      </c>
      <c r="AP185" s="76">
        <v>1</v>
      </c>
      <c r="AQ185" s="76">
        <v>1</v>
      </c>
      <c r="AR185" s="78">
        <v>0.105261498981944</v>
      </c>
      <c r="AS185" s="80">
        <v>0.0454545454545455</v>
      </c>
      <c r="AT185" s="80">
        <v>0.192307692307692</v>
      </c>
      <c r="AU185" s="80">
        <v>0.0285714285714286</v>
      </c>
      <c r="AV185" s="80">
        <v>0.0862745098039216</v>
      </c>
      <c r="AW185" s="36"/>
      <c r="AX185" s="34"/>
    </row>
    <row r="186" ht="14.5" spans="1:50">
      <c r="A186" s="32"/>
      <c r="B186" s="36"/>
      <c r="C186" s="91" t="s">
        <v>132</v>
      </c>
      <c r="D186" s="69" t="s">
        <v>11</v>
      </c>
      <c r="E186" s="92" t="s">
        <v>239</v>
      </c>
      <c r="F186" s="92" t="s">
        <v>239</v>
      </c>
      <c r="G186" s="92" t="s">
        <v>239</v>
      </c>
      <c r="H186" s="92" t="s">
        <v>239</v>
      </c>
      <c r="I186" s="71">
        <v>0.9</v>
      </c>
      <c r="J186" s="72">
        <v>0</v>
      </c>
      <c r="K186" s="72">
        <v>0</v>
      </c>
      <c r="L186" s="73">
        <v>0</v>
      </c>
      <c r="M186" s="72">
        <v>0.862745098039216</v>
      </c>
      <c r="N186" s="74">
        <v>0.9</v>
      </c>
      <c r="O186" s="72">
        <v>0.9375</v>
      </c>
      <c r="P186" s="72">
        <v>0.9</v>
      </c>
      <c r="Q186" s="72">
        <v>0.521739130434783</v>
      </c>
      <c r="R186" s="72">
        <v>0.675113308611454</v>
      </c>
      <c r="S186" s="74">
        <v>0.9</v>
      </c>
      <c r="T186" s="72">
        <v>1</v>
      </c>
      <c r="U186" s="72">
        <v>1</v>
      </c>
      <c r="V186" s="72">
        <v>1</v>
      </c>
      <c r="W186" s="72">
        <v>0.853934899052328</v>
      </c>
      <c r="X186" s="74">
        <v>0.92</v>
      </c>
      <c r="Y186" s="74">
        <v>1</v>
      </c>
      <c r="Z186" s="74">
        <v>1</v>
      </c>
      <c r="AA186" s="74">
        <v>1</v>
      </c>
      <c r="AB186" s="74">
        <v>0.971626045834849</v>
      </c>
      <c r="AC186" s="74">
        <v>0.92</v>
      </c>
      <c r="AD186" s="72">
        <v>0</v>
      </c>
      <c r="AE186" s="72">
        <v>0</v>
      </c>
      <c r="AF186" s="72">
        <v>1</v>
      </c>
      <c r="AG186" s="72">
        <v>0.960739030023095</v>
      </c>
      <c r="AH186" s="74">
        <v>0.92</v>
      </c>
      <c r="AI186" s="72">
        <v>1</v>
      </c>
      <c r="AJ186" s="72">
        <v>1</v>
      </c>
      <c r="AK186" s="72">
        <v>1</v>
      </c>
      <c r="AL186" s="72">
        <v>0.983216237314598</v>
      </c>
      <c r="AM186" s="71">
        <v>0.99</v>
      </c>
      <c r="AN186" s="76">
        <v>0</v>
      </c>
      <c r="AO186" s="76">
        <v>0</v>
      </c>
      <c r="AP186" s="76">
        <v>0</v>
      </c>
      <c r="AQ186" s="76">
        <v>1</v>
      </c>
      <c r="AR186" s="78">
        <v>0.105261498981944</v>
      </c>
      <c r="AS186" s="80">
        <v>0</v>
      </c>
      <c r="AT186" s="80">
        <v>0</v>
      </c>
      <c r="AU186" s="80">
        <v>0</v>
      </c>
      <c r="AV186" s="80">
        <v>0.391304347826087</v>
      </c>
      <c r="AW186" s="36"/>
      <c r="AX186" s="34"/>
    </row>
    <row r="187" ht="14.5" spans="1:50">
      <c r="A187" s="32"/>
      <c r="B187" s="36"/>
      <c r="C187" s="91" t="s">
        <v>132</v>
      </c>
      <c r="D187" s="69" t="s">
        <v>11</v>
      </c>
      <c r="E187" s="92" t="s">
        <v>240</v>
      </c>
      <c r="F187" s="92" t="s">
        <v>240</v>
      </c>
      <c r="G187" s="92" t="s">
        <v>240</v>
      </c>
      <c r="H187" s="92" t="s">
        <v>240</v>
      </c>
      <c r="I187" s="71">
        <v>0.9</v>
      </c>
      <c r="J187" s="72">
        <v>0</v>
      </c>
      <c r="K187" s="72">
        <v>0</v>
      </c>
      <c r="L187" s="73">
        <v>0</v>
      </c>
      <c r="M187" s="72">
        <v>0</v>
      </c>
      <c r="N187" s="74">
        <v>0.9</v>
      </c>
      <c r="O187" s="72">
        <v>0</v>
      </c>
      <c r="P187" s="72">
        <v>0</v>
      </c>
      <c r="Q187" s="72">
        <v>0</v>
      </c>
      <c r="R187" s="72">
        <v>0</v>
      </c>
      <c r="S187" s="74">
        <v>0.9</v>
      </c>
      <c r="T187" s="72">
        <v>0</v>
      </c>
      <c r="U187" s="72">
        <v>0</v>
      </c>
      <c r="V187" s="72">
        <v>0</v>
      </c>
      <c r="W187" s="72">
        <v>0</v>
      </c>
      <c r="X187" s="74">
        <v>0.92</v>
      </c>
      <c r="Y187" s="74">
        <v>0</v>
      </c>
      <c r="Z187" s="74">
        <v>0</v>
      </c>
      <c r="AA187" s="74">
        <v>0</v>
      </c>
      <c r="AB187" s="74">
        <v>0</v>
      </c>
      <c r="AC187" s="74">
        <v>0.92</v>
      </c>
      <c r="AD187" s="72">
        <v>0.923076923076923</v>
      </c>
      <c r="AE187" s="72">
        <v>0.0833333333333333</v>
      </c>
      <c r="AF187" s="72">
        <v>0</v>
      </c>
      <c r="AG187" s="72">
        <v>0.52</v>
      </c>
      <c r="AH187" s="74">
        <v>0.92</v>
      </c>
      <c r="AI187" s="72">
        <v>0</v>
      </c>
      <c r="AJ187" s="72">
        <v>0</v>
      </c>
      <c r="AK187" s="72">
        <v>0</v>
      </c>
      <c r="AL187" s="72">
        <v>0</v>
      </c>
      <c r="AM187" s="71">
        <v>0.99</v>
      </c>
      <c r="AN187" s="76">
        <v>0</v>
      </c>
      <c r="AO187" s="76">
        <v>0</v>
      </c>
      <c r="AP187" s="76">
        <v>0</v>
      </c>
      <c r="AQ187" s="76">
        <v>0</v>
      </c>
      <c r="AR187" s="78">
        <v>0.105261498981944</v>
      </c>
      <c r="AS187" s="80">
        <v>0</v>
      </c>
      <c r="AT187" s="80">
        <v>0</v>
      </c>
      <c r="AU187" s="80">
        <v>0</v>
      </c>
      <c r="AV187" s="80">
        <v>0</v>
      </c>
      <c r="AW187" s="36"/>
      <c r="AX187" s="34"/>
    </row>
    <row r="188" ht="14.5" spans="1:50">
      <c r="A188" s="32"/>
      <c r="B188" s="36"/>
      <c r="C188" s="93"/>
      <c r="D188" s="94"/>
      <c r="E188" s="94"/>
      <c r="F188" s="94"/>
      <c r="G188" s="94"/>
      <c r="H188" s="94"/>
      <c r="I188" s="85"/>
      <c r="J188" s="86"/>
      <c r="K188" s="86"/>
      <c r="L188" s="73"/>
      <c r="M188" s="86"/>
      <c r="N188" s="89"/>
      <c r="O188" s="86"/>
      <c r="P188" s="86"/>
      <c r="Q188" s="72"/>
      <c r="R188" s="86"/>
      <c r="S188" s="89"/>
      <c r="T188" s="86"/>
      <c r="U188" s="86"/>
      <c r="V188" s="72"/>
      <c r="W188" s="86"/>
      <c r="X188" s="89"/>
      <c r="Y188" s="89"/>
      <c r="Z188" s="89"/>
      <c r="AA188" s="74"/>
      <c r="AB188" s="89"/>
      <c r="AC188" s="89"/>
      <c r="AD188" s="86"/>
      <c r="AE188" s="86"/>
      <c r="AF188" s="72"/>
      <c r="AG188" s="86"/>
      <c r="AH188" s="89"/>
      <c r="AI188" s="86"/>
      <c r="AJ188" s="86"/>
      <c r="AK188" s="72"/>
      <c r="AL188" s="86"/>
      <c r="AM188" s="85"/>
      <c r="AN188" s="85"/>
      <c r="AO188" s="85"/>
      <c r="AP188" s="76"/>
      <c r="AQ188" s="85"/>
      <c r="AR188" s="86"/>
      <c r="AS188" s="85"/>
      <c r="AT188" s="85"/>
      <c r="AU188" s="80"/>
      <c r="AV188" s="85"/>
      <c r="AW188" s="36"/>
      <c r="AX188" s="34"/>
    </row>
    <row r="189" ht="14.5" spans="1:50">
      <c r="A189" s="32"/>
      <c r="B189" s="36"/>
      <c r="C189" s="91" t="s">
        <v>241</v>
      </c>
      <c r="D189" s="69" t="s">
        <v>13</v>
      </c>
      <c r="E189" s="95" t="s">
        <v>12</v>
      </c>
      <c r="F189" s="95" t="s">
        <v>12</v>
      </c>
      <c r="G189" s="95" t="s">
        <v>12</v>
      </c>
      <c r="H189" s="95" t="s">
        <v>12</v>
      </c>
      <c r="I189" s="71">
        <v>0.9</v>
      </c>
      <c r="J189" s="72">
        <v>0</v>
      </c>
      <c r="K189" s="72">
        <v>0</v>
      </c>
      <c r="L189" s="73">
        <v>0</v>
      </c>
      <c r="M189" s="72">
        <v>0</v>
      </c>
      <c r="N189" s="74">
        <v>0.9</v>
      </c>
      <c r="O189" s="72">
        <v>0</v>
      </c>
      <c r="P189" s="72">
        <v>0</v>
      </c>
      <c r="Q189" s="72">
        <v>0</v>
      </c>
      <c r="R189" s="72">
        <v>0</v>
      </c>
      <c r="S189" s="74">
        <v>0.9</v>
      </c>
      <c r="T189" s="72">
        <v>0</v>
      </c>
      <c r="U189" s="72">
        <v>0</v>
      </c>
      <c r="V189" s="72">
        <v>0</v>
      </c>
      <c r="W189" s="72">
        <v>0</v>
      </c>
      <c r="X189" s="74">
        <v>0.92</v>
      </c>
      <c r="Y189" s="74">
        <v>0</v>
      </c>
      <c r="Z189" s="74">
        <v>0</v>
      </c>
      <c r="AA189" s="74">
        <v>0</v>
      </c>
      <c r="AB189" s="74">
        <v>1</v>
      </c>
      <c r="AC189" s="74">
        <v>0.92</v>
      </c>
      <c r="AD189" s="72">
        <v>0.994579945799458</v>
      </c>
      <c r="AE189" s="72">
        <v>0.998516320474777</v>
      </c>
      <c r="AF189" s="72">
        <v>0.998544395924309</v>
      </c>
      <c r="AG189" s="72">
        <v>0.99429721569943</v>
      </c>
      <c r="AH189" s="74">
        <v>0.92</v>
      </c>
      <c r="AI189" s="72">
        <v>0</v>
      </c>
      <c r="AJ189" s="72">
        <v>0</v>
      </c>
      <c r="AK189" s="72">
        <v>0</v>
      </c>
      <c r="AL189" s="72">
        <v>1</v>
      </c>
      <c r="AM189" s="71">
        <v>0.99</v>
      </c>
      <c r="AN189" s="76">
        <v>1</v>
      </c>
      <c r="AO189" s="76">
        <v>1</v>
      </c>
      <c r="AP189" s="76">
        <v>1</v>
      </c>
      <c r="AQ189" s="76">
        <v>1</v>
      </c>
      <c r="AR189" s="96">
        <v>0.0719793575775068</v>
      </c>
      <c r="AS189" s="80">
        <v>0</v>
      </c>
      <c r="AT189" s="80">
        <v>0</v>
      </c>
      <c r="AU189" s="80">
        <v>0</v>
      </c>
      <c r="AV189" s="80">
        <v>0</v>
      </c>
      <c r="AW189" s="36"/>
      <c r="AX189" s="34"/>
    </row>
    <row r="190" ht="14.5" spans="1:50">
      <c r="A190" s="32"/>
      <c r="B190" s="36"/>
      <c r="C190" s="91" t="s">
        <v>241</v>
      </c>
      <c r="D190" s="69" t="s">
        <v>13</v>
      </c>
      <c r="E190" s="95" t="s">
        <v>242</v>
      </c>
      <c r="F190" s="95" t="s">
        <v>242</v>
      </c>
      <c r="G190" s="95" t="s">
        <v>242</v>
      </c>
      <c r="H190" s="95" t="s">
        <v>242</v>
      </c>
      <c r="I190" s="71">
        <v>0.9</v>
      </c>
      <c r="J190" s="72">
        <v>0.947368421052632</v>
      </c>
      <c r="K190" s="72">
        <v>0.950819672131147</v>
      </c>
      <c r="L190" s="73">
        <v>0.9375</v>
      </c>
      <c r="M190" s="72">
        <v>0.967032967032967</v>
      </c>
      <c r="N190" s="74">
        <v>0.9</v>
      </c>
      <c r="O190" s="72">
        <v>0.956346381969158</v>
      </c>
      <c r="P190" s="72">
        <v>0.959896507115136</v>
      </c>
      <c r="Q190" s="72">
        <v>0.965970429476649</v>
      </c>
      <c r="R190" s="72">
        <v>0.956543196337016</v>
      </c>
      <c r="S190" s="74">
        <v>0.9</v>
      </c>
      <c r="T190" s="72">
        <v>0.881376037959668</v>
      </c>
      <c r="U190" s="72">
        <v>0.906856403622251</v>
      </c>
      <c r="V190" s="72">
        <v>0.925604318235156</v>
      </c>
      <c r="W190" s="72">
        <v>0.904998217859787</v>
      </c>
      <c r="X190" s="74">
        <v>0.92</v>
      </c>
      <c r="Y190" s="74">
        <v>0.910162472124881</v>
      </c>
      <c r="Z190" s="74">
        <v>0.942247332077841</v>
      </c>
      <c r="AA190" s="74">
        <v>0.955097906819716</v>
      </c>
      <c r="AB190" s="74">
        <v>0.94445652173913</v>
      </c>
      <c r="AC190" s="74">
        <v>0.92</v>
      </c>
      <c r="AD190" s="72">
        <v>0.997396449704142</v>
      </c>
      <c r="AE190" s="72">
        <v>0.995565410199557</v>
      </c>
      <c r="AF190" s="72">
        <v>0.993321844032744</v>
      </c>
      <c r="AG190" s="72">
        <v>0.99609938299331</v>
      </c>
      <c r="AH190" s="74">
        <v>0.92</v>
      </c>
      <c r="AI190" s="72">
        <v>0.939641109298532</v>
      </c>
      <c r="AJ190" s="72">
        <v>0.962138400453772</v>
      </c>
      <c r="AK190" s="72">
        <v>0.970233974802714</v>
      </c>
      <c r="AL190" s="72">
        <v>0.962889558201595</v>
      </c>
      <c r="AM190" s="71">
        <v>0.99</v>
      </c>
      <c r="AN190" s="76">
        <v>1</v>
      </c>
      <c r="AO190" s="76">
        <v>1</v>
      </c>
      <c r="AP190" s="76">
        <v>1</v>
      </c>
      <c r="AQ190" s="76">
        <v>1</v>
      </c>
      <c r="AR190" s="96">
        <v>0.0719793575775068</v>
      </c>
      <c r="AS190" s="80">
        <v>0.111111111111111</v>
      </c>
      <c r="AT190" s="80">
        <v>0.0930232558139535</v>
      </c>
      <c r="AU190" s="80">
        <v>0.0625</v>
      </c>
      <c r="AV190" s="80">
        <v>0.103626943005181</v>
      </c>
      <c r="AW190" s="36"/>
      <c r="AX190" s="34"/>
    </row>
    <row r="191" ht="14.5" spans="1:50">
      <c r="A191" s="32"/>
      <c r="B191" s="36"/>
      <c r="C191" s="91" t="s">
        <v>241</v>
      </c>
      <c r="D191" s="69" t="s">
        <v>13</v>
      </c>
      <c r="E191" s="95" t="s">
        <v>243</v>
      </c>
      <c r="F191" s="95" t="s">
        <v>243</v>
      </c>
      <c r="G191" s="95" t="s">
        <v>243</v>
      </c>
      <c r="H191" s="95" t="s">
        <v>243</v>
      </c>
      <c r="I191" s="71">
        <v>0.9</v>
      </c>
      <c r="J191" s="72">
        <v>1</v>
      </c>
      <c r="K191" s="72">
        <v>0.986301369863014</v>
      </c>
      <c r="L191" s="73">
        <v>0.973333333333333</v>
      </c>
      <c r="M191" s="72">
        <v>0.987654320987654</v>
      </c>
      <c r="N191" s="74">
        <v>0.9</v>
      </c>
      <c r="O191" s="72">
        <v>0.956669498725573</v>
      </c>
      <c r="P191" s="72">
        <v>0.956010230179028</v>
      </c>
      <c r="Q191" s="72">
        <v>0.958</v>
      </c>
      <c r="R191" s="72">
        <v>0.957477352606307</v>
      </c>
      <c r="S191" s="74">
        <v>0.9</v>
      </c>
      <c r="T191" s="72">
        <v>0.924171622769754</v>
      </c>
      <c r="U191" s="72">
        <v>0.919181585677749</v>
      </c>
      <c r="V191" s="72">
        <v>0.936</v>
      </c>
      <c r="W191" s="72">
        <v>0.930721251423197</v>
      </c>
      <c r="X191" s="74">
        <v>0.92</v>
      </c>
      <c r="Y191" s="74">
        <v>0.938135086670651</v>
      </c>
      <c r="Z191" s="74">
        <v>0.952996474735605</v>
      </c>
      <c r="AA191" s="74">
        <v>0.968540012217471</v>
      </c>
      <c r="AB191" s="74">
        <v>0.959784548278369</v>
      </c>
      <c r="AC191" s="74">
        <v>0.92</v>
      </c>
      <c r="AD191" s="72">
        <v>0.998057309373482</v>
      </c>
      <c r="AE191" s="72">
        <v>0.99813258636788</v>
      </c>
      <c r="AF191" s="72">
        <v>0.998973832734736</v>
      </c>
      <c r="AG191" s="72">
        <v>0.998888024018681</v>
      </c>
      <c r="AH191" s="74">
        <v>0.92</v>
      </c>
      <c r="AI191" s="72">
        <v>0.957050645481629</v>
      </c>
      <c r="AJ191" s="72">
        <v>0.969518862766539</v>
      </c>
      <c r="AK191" s="72">
        <v>0.982634422433754</v>
      </c>
      <c r="AL191" s="72">
        <v>0.974870887866997</v>
      </c>
      <c r="AM191" s="71">
        <v>0.99</v>
      </c>
      <c r="AN191" s="76">
        <v>1</v>
      </c>
      <c r="AO191" s="76">
        <v>1</v>
      </c>
      <c r="AP191" s="76">
        <v>1</v>
      </c>
      <c r="AQ191" s="76">
        <v>1</v>
      </c>
      <c r="AR191" s="96">
        <v>0.0719793575775068</v>
      </c>
      <c r="AS191" s="80">
        <v>0.0677966101694915</v>
      </c>
      <c r="AT191" s="80">
        <v>0.0649350649350649</v>
      </c>
      <c r="AU191" s="80">
        <v>0.0571428571428571</v>
      </c>
      <c r="AV191" s="80">
        <v>0.0545144804088586</v>
      </c>
      <c r="AW191" s="36"/>
      <c r="AX191" s="34"/>
    </row>
    <row r="192" ht="14.5" spans="1:50">
      <c r="A192" s="32"/>
      <c r="B192" s="36"/>
      <c r="C192" s="91" t="s">
        <v>241</v>
      </c>
      <c r="D192" s="69" t="s">
        <v>13</v>
      </c>
      <c r="E192" s="95" t="s">
        <v>244</v>
      </c>
      <c r="F192" s="95" t="s">
        <v>244</v>
      </c>
      <c r="G192" s="95" t="s">
        <v>244</v>
      </c>
      <c r="H192" s="95" t="s">
        <v>244</v>
      </c>
      <c r="I192" s="71">
        <v>0.9</v>
      </c>
      <c r="J192" s="72">
        <v>0</v>
      </c>
      <c r="K192" s="72">
        <v>0</v>
      </c>
      <c r="L192" s="73">
        <v>0</v>
      </c>
      <c r="M192" s="72">
        <v>0</v>
      </c>
      <c r="N192" s="74">
        <v>0.9</v>
      </c>
      <c r="O192" s="72">
        <v>0</v>
      </c>
      <c r="P192" s="72">
        <v>0</v>
      </c>
      <c r="Q192" s="72">
        <v>0</v>
      </c>
      <c r="R192" s="72">
        <v>0</v>
      </c>
      <c r="S192" s="74">
        <v>0.9</v>
      </c>
      <c r="T192" s="72">
        <v>0.5</v>
      </c>
      <c r="U192" s="72">
        <v>0.615384615384615</v>
      </c>
      <c r="V192" s="72">
        <v>0.8</v>
      </c>
      <c r="W192" s="72">
        <v>0.760869565217391</v>
      </c>
      <c r="X192" s="74">
        <v>0.92</v>
      </c>
      <c r="Y192" s="74">
        <v>0</v>
      </c>
      <c r="Z192" s="74">
        <v>1</v>
      </c>
      <c r="AA192" s="74">
        <v>0</v>
      </c>
      <c r="AB192" s="74">
        <v>0.684210526315789</v>
      </c>
      <c r="AC192" s="74">
        <v>0.92</v>
      </c>
      <c r="AD192" s="72">
        <v>0.99777134089887</v>
      </c>
      <c r="AE192" s="72">
        <v>0.99711091951415</v>
      </c>
      <c r="AF192" s="72">
        <v>0.998523135730342</v>
      </c>
      <c r="AG192" s="72">
        <v>0.994766728005581</v>
      </c>
      <c r="AH192" s="74">
        <v>0.92</v>
      </c>
      <c r="AI192" s="72">
        <v>0.444444444444444</v>
      </c>
      <c r="AJ192" s="72">
        <v>0.789473684210526</v>
      </c>
      <c r="AK192" s="72">
        <v>0.636363636363636</v>
      </c>
      <c r="AL192" s="72">
        <v>0.832116788321168</v>
      </c>
      <c r="AM192" s="71">
        <v>0.99</v>
      </c>
      <c r="AN192" s="76">
        <v>1</v>
      </c>
      <c r="AO192" s="76">
        <v>1</v>
      </c>
      <c r="AP192" s="76">
        <v>1</v>
      </c>
      <c r="AQ192" s="76">
        <v>1</v>
      </c>
      <c r="AR192" s="96">
        <v>0.0719793575775068</v>
      </c>
      <c r="AS192" s="80">
        <v>0</v>
      </c>
      <c r="AT192" s="80">
        <v>0</v>
      </c>
      <c r="AU192" s="80">
        <v>0</v>
      </c>
      <c r="AV192" s="80">
        <v>0</v>
      </c>
      <c r="AW192" s="36"/>
      <c r="AX192" s="34"/>
    </row>
    <row r="193" s="26" customFormat="1" ht="14.5" spans="1:50">
      <c r="A193" s="32"/>
      <c r="C193" s="91" t="s">
        <v>241</v>
      </c>
      <c r="D193" s="69" t="s">
        <v>13</v>
      </c>
      <c r="E193" s="95" t="s">
        <v>245</v>
      </c>
      <c r="F193" s="95" t="s">
        <v>245</v>
      </c>
      <c r="G193" s="95" t="s">
        <v>245</v>
      </c>
      <c r="H193" s="95" t="s">
        <v>245</v>
      </c>
      <c r="I193" s="71">
        <v>0.9</v>
      </c>
      <c r="J193" s="72">
        <v>0.934579439252336</v>
      </c>
      <c r="K193" s="72">
        <v>0.947368421052632</v>
      </c>
      <c r="L193" s="73">
        <v>0.932203389830508</v>
      </c>
      <c r="M193" s="72">
        <v>0.937924345295829</v>
      </c>
      <c r="N193" s="74">
        <v>0.9</v>
      </c>
      <c r="O193" s="72">
        <v>0.986735725113694</v>
      </c>
      <c r="P193" s="72">
        <v>0.991790733268401</v>
      </c>
      <c r="Q193" s="72">
        <v>0.990123456790123</v>
      </c>
      <c r="R193" s="72">
        <v>0.98927914463095</v>
      </c>
      <c r="S193" s="74">
        <v>0.9</v>
      </c>
      <c r="T193" s="72">
        <v>0.913087417887822</v>
      </c>
      <c r="U193" s="72">
        <v>0.931960484207597</v>
      </c>
      <c r="V193" s="72">
        <v>0.935802469135802</v>
      </c>
      <c r="W193" s="72">
        <v>0.927540813980225</v>
      </c>
      <c r="X193" s="74">
        <v>0.92</v>
      </c>
      <c r="Y193" s="74">
        <v>0.947277032359905</v>
      </c>
      <c r="Z193" s="74">
        <v>0.966051417270929</v>
      </c>
      <c r="AA193" s="74">
        <v>0.970336764962485</v>
      </c>
      <c r="AB193" s="74">
        <v>0.964607276187688</v>
      </c>
      <c r="AC193" s="74">
        <v>0.92</v>
      </c>
      <c r="AD193" s="72">
        <v>0.990365709791585</v>
      </c>
      <c r="AE193" s="72">
        <v>0.995994659546061</v>
      </c>
      <c r="AF193" s="72">
        <v>0.978141499472017</v>
      </c>
      <c r="AG193" s="72">
        <v>0.967319082825873</v>
      </c>
      <c r="AH193" s="74">
        <v>0.92</v>
      </c>
      <c r="AI193" s="72">
        <v>0.964002526138517</v>
      </c>
      <c r="AJ193" s="72">
        <v>0.976021716181571</v>
      </c>
      <c r="AK193" s="72">
        <v>0.98242347508751</v>
      </c>
      <c r="AL193" s="72">
        <v>0.977640951346131</v>
      </c>
      <c r="AM193" s="71">
        <v>0.99</v>
      </c>
      <c r="AN193" s="76">
        <v>1</v>
      </c>
      <c r="AO193" s="76">
        <v>1</v>
      </c>
      <c r="AP193" s="76">
        <v>1</v>
      </c>
      <c r="AQ193" s="76">
        <v>1</v>
      </c>
      <c r="AR193" s="96">
        <v>0.0719793575775068</v>
      </c>
      <c r="AS193" s="80">
        <v>0.0983606557377049</v>
      </c>
      <c r="AT193" s="80">
        <v>0.0588235294117647</v>
      </c>
      <c r="AU193" s="80">
        <v>0.0681818181818182</v>
      </c>
      <c r="AV193" s="80">
        <v>0.0601851851851852</v>
      </c>
      <c r="AW193" s="29"/>
      <c r="AX193" s="34"/>
    </row>
    <row r="194" ht="14.5" spans="1:50">
      <c r="A194" s="32"/>
      <c r="B194" s="36"/>
      <c r="C194" s="91" t="s">
        <v>241</v>
      </c>
      <c r="D194" s="69" t="s">
        <v>13</v>
      </c>
      <c r="E194" s="95" t="s">
        <v>246</v>
      </c>
      <c r="F194" s="95" t="s">
        <v>246</v>
      </c>
      <c r="G194" s="95" t="s">
        <v>246</v>
      </c>
      <c r="H194" s="95" t="s">
        <v>246</v>
      </c>
      <c r="I194" s="71">
        <v>0.9</v>
      </c>
      <c r="J194" s="72">
        <v>0.915492957746479</v>
      </c>
      <c r="K194" s="72">
        <v>0.72</v>
      </c>
      <c r="L194" s="73">
        <v>0.901234567901235</v>
      </c>
      <c r="M194" s="72">
        <v>0.878518518518518</v>
      </c>
      <c r="N194" s="74">
        <v>0.9</v>
      </c>
      <c r="O194" s="72">
        <v>0.896069031639501</v>
      </c>
      <c r="P194" s="72">
        <v>0.960693895476504</v>
      </c>
      <c r="Q194" s="72">
        <v>0.929380275890467</v>
      </c>
      <c r="R194" s="72">
        <v>0.937693111343277</v>
      </c>
      <c r="S194" s="74">
        <v>0.9</v>
      </c>
      <c r="T194" s="72">
        <v>0.914285714285714</v>
      </c>
      <c r="U194" s="72">
        <v>0.92314448836188</v>
      </c>
      <c r="V194" s="72">
        <v>0.942557134033354</v>
      </c>
      <c r="W194" s="72">
        <v>0.913197145842132</v>
      </c>
      <c r="X194" s="74">
        <v>0.92</v>
      </c>
      <c r="Y194" s="74">
        <v>0.9064039408867</v>
      </c>
      <c r="Z194" s="74">
        <v>0.904255319148936</v>
      </c>
      <c r="AA194" s="74">
        <v>0.944829665360265</v>
      </c>
      <c r="AB194" s="74">
        <v>0.924624205795754</v>
      </c>
      <c r="AC194" s="74">
        <v>0.92</v>
      </c>
      <c r="AD194" s="72">
        <v>0.9851150202977</v>
      </c>
      <c r="AE194" s="72">
        <v>0.986206896551724</v>
      </c>
      <c r="AF194" s="72">
        <v>0.992324561403509</v>
      </c>
      <c r="AG194" s="72">
        <v>0.982186358099878</v>
      </c>
      <c r="AH194" s="74">
        <v>0.92</v>
      </c>
      <c r="AI194" s="72">
        <v>0.937655016910936</v>
      </c>
      <c r="AJ194" s="72">
        <v>0.938785327720986</v>
      </c>
      <c r="AK194" s="72">
        <v>0.966723758257891</v>
      </c>
      <c r="AL194" s="72">
        <v>0.951629604701131</v>
      </c>
      <c r="AM194" s="71">
        <v>0.99</v>
      </c>
      <c r="AN194" s="76">
        <v>1</v>
      </c>
      <c r="AO194" s="76">
        <v>1</v>
      </c>
      <c r="AP194" s="76">
        <v>1</v>
      </c>
      <c r="AQ194" s="76">
        <v>1</v>
      </c>
      <c r="AR194" s="96">
        <v>0.0719793575775068</v>
      </c>
      <c r="AS194" s="80">
        <v>0.107142857142857</v>
      </c>
      <c r="AT194" s="80">
        <v>0.0555555555555556</v>
      </c>
      <c r="AU194" s="80">
        <v>0.0192307692307692</v>
      </c>
      <c r="AV194" s="80">
        <v>0.0745967741935484</v>
      </c>
      <c r="AW194" s="36"/>
      <c r="AX194" s="34"/>
    </row>
    <row r="195" ht="14.5" spans="1:50">
      <c r="A195" s="32"/>
      <c r="B195" s="36"/>
      <c r="C195" s="91" t="s">
        <v>241</v>
      </c>
      <c r="D195" s="69" t="s">
        <v>13</v>
      </c>
      <c r="E195" s="95" t="s">
        <v>247</v>
      </c>
      <c r="F195" s="95" t="s">
        <v>247</v>
      </c>
      <c r="G195" s="95" t="s">
        <v>247</v>
      </c>
      <c r="H195" s="95" t="s">
        <v>247</v>
      </c>
      <c r="I195" s="71">
        <v>0.9</v>
      </c>
      <c r="J195" s="72">
        <v>1</v>
      </c>
      <c r="K195" s="72">
        <v>0.926829268292683</v>
      </c>
      <c r="L195" s="73">
        <v>0.975609756097561</v>
      </c>
      <c r="M195" s="72">
        <v>0.939306358381503</v>
      </c>
      <c r="N195" s="74">
        <v>0.9</v>
      </c>
      <c r="O195" s="72">
        <v>0.935436537050624</v>
      </c>
      <c r="P195" s="72">
        <v>0.964325948178746</v>
      </c>
      <c r="Q195" s="72">
        <v>0.96636925188744</v>
      </c>
      <c r="R195" s="72">
        <v>0.950007720815318</v>
      </c>
      <c r="S195" s="74">
        <v>0.9</v>
      </c>
      <c r="T195" s="72">
        <v>0.90498899486427</v>
      </c>
      <c r="U195" s="72">
        <v>0.940292902741269</v>
      </c>
      <c r="V195" s="72">
        <v>0.948181194234729</v>
      </c>
      <c r="W195" s="72">
        <v>0.924297405806053</v>
      </c>
      <c r="X195" s="74">
        <v>0.92</v>
      </c>
      <c r="Y195" s="74">
        <v>0.897556390977444</v>
      </c>
      <c r="Z195" s="74">
        <v>0.949826130153999</v>
      </c>
      <c r="AA195" s="74">
        <v>0.971593897948448</v>
      </c>
      <c r="AB195" s="74">
        <v>0.942182593091072</v>
      </c>
      <c r="AC195" s="74">
        <v>0.92</v>
      </c>
      <c r="AD195" s="72">
        <v>1</v>
      </c>
      <c r="AE195" s="72">
        <v>0.836144578313253</v>
      </c>
      <c r="AF195" s="72">
        <v>0.79620253164557</v>
      </c>
      <c r="AG195" s="72">
        <v>0.872358410819949</v>
      </c>
      <c r="AH195" s="74">
        <v>0.92</v>
      </c>
      <c r="AI195" s="72">
        <v>0.92480428512567</v>
      </c>
      <c r="AJ195" s="72">
        <v>0.967072909985033</v>
      </c>
      <c r="AK195" s="72">
        <v>0.980481727574751</v>
      </c>
      <c r="AL195" s="72">
        <v>0.963877457704618</v>
      </c>
      <c r="AM195" s="71">
        <v>0.99</v>
      </c>
      <c r="AN195" s="76">
        <v>1</v>
      </c>
      <c r="AO195" s="76">
        <v>1</v>
      </c>
      <c r="AP195" s="76">
        <v>1</v>
      </c>
      <c r="AQ195" s="76">
        <v>1</v>
      </c>
      <c r="AR195" s="96">
        <v>0.0719793575775068</v>
      </c>
      <c r="AS195" s="80">
        <v>0.1</v>
      </c>
      <c r="AT195" s="80">
        <v>0.16</v>
      </c>
      <c r="AU195" s="80">
        <v>0.0967741935483871</v>
      </c>
      <c r="AV195" s="80">
        <v>0.0738007380073801</v>
      </c>
      <c r="AW195" s="36"/>
      <c r="AX195" s="34"/>
    </row>
    <row r="196" ht="14.5" spans="1:50">
      <c r="A196" s="32"/>
      <c r="B196" s="36"/>
      <c r="C196" s="91" t="s">
        <v>241</v>
      </c>
      <c r="D196" s="69" t="s">
        <v>13</v>
      </c>
      <c r="E196" s="95" t="s">
        <v>248</v>
      </c>
      <c r="F196" s="95" t="s">
        <v>248</v>
      </c>
      <c r="G196" s="95" t="s">
        <v>248</v>
      </c>
      <c r="H196" s="95" t="s">
        <v>248</v>
      </c>
      <c r="I196" s="71">
        <v>0.9</v>
      </c>
      <c r="J196" s="72">
        <v>0</v>
      </c>
      <c r="K196" s="72">
        <v>0</v>
      </c>
      <c r="L196" s="73">
        <v>0</v>
      </c>
      <c r="M196" s="72">
        <v>0</v>
      </c>
      <c r="N196" s="74">
        <v>0.9</v>
      </c>
      <c r="O196" s="72">
        <v>0</v>
      </c>
      <c r="P196" s="72">
        <v>0</v>
      </c>
      <c r="Q196" s="72">
        <v>0</v>
      </c>
      <c r="R196" s="72">
        <v>0</v>
      </c>
      <c r="S196" s="74">
        <v>0.9</v>
      </c>
      <c r="T196" s="72">
        <v>0.923076923076923</v>
      </c>
      <c r="U196" s="72">
        <v>1</v>
      </c>
      <c r="V196" s="72">
        <v>1</v>
      </c>
      <c r="W196" s="72">
        <v>0.982905982905983</v>
      </c>
      <c r="X196" s="74">
        <v>0.92</v>
      </c>
      <c r="Y196" s="74">
        <v>0.75</v>
      </c>
      <c r="Z196" s="74">
        <v>1</v>
      </c>
      <c r="AA196" s="74">
        <v>1</v>
      </c>
      <c r="AB196" s="74">
        <v>0.985507246376812</v>
      </c>
      <c r="AC196" s="74">
        <v>0.92</v>
      </c>
      <c r="AD196" s="72">
        <v>0.999091905432911</v>
      </c>
      <c r="AE196" s="72">
        <v>0.996642567303137</v>
      </c>
      <c r="AF196" s="72">
        <v>0.998848447460415</v>
      </c>
      <c r="AG196" s="72">
        <v>0.967835245494156</v>
      </c>
      <c r="AH196" s="74">
        <v>0.92</v>
      </c>
      <c r="AI196" s="72">
        <v>0.882352941176471</v>
      </c>
      <c r="AJ196" s="72">
        <v>1</v>
      </c>
      <c r="AK196" s="72">
        <v>1</v>
      </c>
      <c r="AL196" s="72">
        <v>0.978609625668449</v>
      </c>
      <c r="AM196" s="71">
        <v>0.99</v>
      </c>
      <c r="AN196" s="76">
        <v>1</v>
      </c>
      <c r="AO196" s="76">
        <v>1</v>
      </c>
      <c r="AP196" s="76">
        <v>1</v>
      </c>
      <c r="AQ196" s="76">
        <v>1</v>
      </c>
      <c r="AR196" s="96">
        <v>0.0719793575775068</v>
      </c>
      <c r="AS196" s="80">
        <v>0</v>
      </c>
      <c r="AT196" s="80">
        <v>0</v>
      </c>
      <c r="AU196" s="80">
        <v>0</v>
      </c>
      <c r="AV196" s="80">
        <v>0</v>
      </c>
      <c r="AW196" s="36"/>
      <c r="AX196" s="34"/>
    </row>
    <row r="197" ht="14.5" spans="1:50">
      <c r="A197" s="32"/>
      <c r="B197" s="36"/>
      <c r="C197" s="91" t="s">
        <v>241</v>
      </c>
      <c r="D197" s="69" t="s">
        <v>13</v>
      </c>
      <c r="E197" s="95" t="s">
        <v>249</v>
      </c>
      <c r="F197" s="95" t="s">
        <v>249</v>
      </c>
      <c r="G197" s="95" t="s">
        <v>249</v>
      </c>
      <c r="H197" s="95" t="s">
        <v>249</v>
      </c>
      <c r="I197" s="71">
        <v>0.9</v>
      </c>
      <c r="J197" s="72">
        <v>0.955223880597015</v>
      </c>
      <c r="K197" s="72">
        <v>0.931506849315068</v>
      </c>
      <c r="L197" s="73">
        <v>0.938271604938272</v>
      </c>
      <c r="M197" s="72">
        <v>0.933333333333333</v>
      </c>
      <c r="N197" s="74">
        <v>0.9</v>
      </c>
      <c r="O197" s="72">
        <v>0.922200392927308</v>
      </c>
      <c r="P197" s="72">
        <v>0.956330868761553</v>
      </c>
      <c r="Q197" s="72">
        <v>0.95227679459137</v>
      </c>
      <c r="R197" s="72">
        <v>0.928003031451307</v>
      </c>
      <c r="S197" s="74">
        <v>0.9</v>
      </c>
      <c r="T197" s="72">
        <v>0.880746561886051</v>
      </c>
      <c r="U197" s="72">
        <v>0.90873382624769</v>
      </c>
      <c r="V197" s="72">
        <v>0.936170212765957</v>
      </c>
      <c r="W197" s="72">
        <v>0.90386287140851</v>
      </c>
      <c r="X197" s="74">
        <v>0.92</v>
      </c>
      <c r="Y197" s="74">
        <v>0.899415798831598</v>
      </c>
      <c r="Z197" s="74">
        <v>0.908788111708942</v>
      </c>
      <c r="AA197" s="74">
        <v>0.949662542182227</v>
      </c>
      <c r="AB197" s="74">
        <v>0.93025483253033</v>
      </c>
      <c r="AC197" s="74">
        <v>0.92</v>
      </c>
      <c r="AD197" s="72">
        <v>0.997276346113555</v>
      </c>
      <c r="AE197" s="72">
        <v>0.988079272835643</v>
      </c>
      <c r="AF197" s="72">
        <v>0.973044397463002</v>
      </c>
      <c r="AG197" s="72">
        <v>0.985056863263687</v>
      </c>
      <c r="AH197" s="74">
        <v>0.92</v>
      </c>
      <c r="AI197" s="72">
        <v>0.919131494405672</v>
      </c>
      <c r="AJ197" s="72">
        <v>0.935260536863841</v>
      </c>
      <c r="AK197" s="72">
        <v>0.964947012926517</v>
      </c>
      <c r="AL197" s="72">
        <v>0.951442725863177</v>
      </c>
      <c r="AM197" s="71">
        <v>0.99</v>
      </c>
      <c r="AN197" s="76">
        <v>1</v>
      </c>
      <c r="AO197" s="76">
        <v>1</v>
      </c>
      <c r="AP197" s="76">
        <v>1</v>
      </c>
      <c r="AQ197" s="76">
        <v>1</v>
      </c>
      <c r="AR197" s="96">
        <v>0.0719793575775068</v>
      </c>
      <c r="AS197" s="80">
        <v>0.0795454545454545</v>
      </c>
      <c r="AT197" s="80">
        <v>0.0253164556962025</v>
      </c>
      <c r="AU197" s="80">
        <v>0.0416666666666667</v>
      </c>
      <c r="AV197" s="80">
        <v>0.0441176470588235</v>
      </c>
      <c r="AW197" s="36"/>
      <c r="AX197" s="34"/>
    </row>
    <row r="198" s="27" customFormat="1" ht="14.5" spans="1:50">
      <c r="A198" s="32"/>
      <c r="C198" s="91" t="s">
        <v>241</v>
      </c>
      <c r="D198" s="69" t="s">
        <v>13</v>
      </c>
      <c r="E198" s="95" t="s">
        <v>250</v>
      </c>
      <c r="F198" s="95" t="s">
        <v>250</v>
      </c>
      <c r="G198" s="95" t="s">
        <v>250</v>
      </c>
      <c r="H198" s="95" t="s">
        <v>250</v>
      </c>
      <c r="I198" s="71">
        <v>0.9</v>
      </c>
      <c r="J198" s="72">
        <v>0.973684210526316</v>
      </c>
      <c r="K198" s="72">
        <v>0.976190476190476</v>
      </c>
      <c r="L198" s="73">
        <v>0.956521739130435</v>
      </c>
      <c r="M198" s="72">
        <v>0.963687150837989</v>
      </c>
      <c r="N198" s="74">
        <v>0.9</v>
      </c>
      <c r="O198" s="72">
        <v>0.968205904617714</v>
      </c>
      <c r="P198" s="72">
        <v>0.979039301310044</v>
      </c>
      <c r="Q198" s="72">
        <v>0.983646770237122</v>
      </c>
      <c r="R198" s="72">
        <v>0.974420743725636</v>
      </c>
      <c r="S198" s="74">
        <v>0.9</v>
      </c>
      <c r="T198" s="72">
        <v>0.889099167297502</v>
      </c>
      <c r="U198" s="72">
        <v>0.926200873362445</v>
      </c>
      <c r="V198" s="72">
        <v>0.936222403924775</v>
      </c>
      <c r="W198" s="72">
        <v>0.915903814988393</v>
      </c>
      <c r="X198" s="74">
        <v>0.92</v>
      </c>
      <c r="Y198" s="74">
        <v>0.909815645241654</v>
      </c>
      <c r="Z198" s="74">
        <v>0.912209889001009</v>
      </c>
      <c r="AA198" s="74">
        <v>0.94146880176698</v>
      </c>
      <c r="AB198" s="74">
        <v>0.92860406671236</v>
      </c>
      <c r="AC198" s="74">
        <v>0.92</v>
      </c>
      <c r="AD198" s="72">
        <v>1</v>
      </c>
      <c r="AE198" s="72">
        <v>0.971428571428571</v>
      </c>
      <c r="AF198" s="72">
        <v>0.862068965517241</v>
      </c>
      <c r="AG198" s="72">
        <v>0.855932203389831</v>
      </c>
      <c r="AH198" s="74">
        <v>0.92</v>
      </c>
      <c r="AI198" s="72">
        <v>0.926236559139785</v>
      </c>
      <c r="AJ198" s="72">
        <v>0.941961151415867</v>
      </c>
      <c r="AK198" s="72">
        <v>0.963119567770731</v>
      </c>
      <c r="AL198" s="72">
        <v>0.952232220321757</v>
      </c>
      <c r="AM198" s="71">
        <v>0.99</v>
      </c>
      <c r="AN198" s="76">
        <v>1</v>
      </c>
      <c r="AO198" s="76">
        <v>1</v>
      </c>
      <c r="AP198" s="76">
        <v>1</v>
      </c>
      <c r="AQ198" s="76">
        <v>1</v>
      </c>
      <c r="AR198" s="96">
        <v>0.0719793575775068</v>
      </c>
      <c r="AS198" s="80">
        <v>0.037037037037037</v>
      </c>
      <c r="AT198" s="80">
        <v>0.12</v>
      </c>
      <c r="AU198" s="80">
        <v>0</v>
      </c>
      <c r="AV198" s="80">
        <v>0.0592592592592593</v>
      </c>
      <c r="AW198" s="29"/>
      <c r="AX198" s="34"/>
    </row>
    <row r="199" ht="14.5" spans="1:50">
      <c r="A199" s="32"/>
      <c r="B199" s="36"/>
      <c r="C199" s="91" t="s">
        <v>241</v>
      </c>
      <c r="D199" s="69" t="s">
        <v>13</v>
      </c>
      <c r="E199" s="95" t="s">
        <v>251</v>
      </c>
      <c r="F199" s="95" t="s">
        <v>251</v>
      </c>
      <c r="G199" s="95" t="s">
        <v>251</v>
      </c>
      <c r="H199" s="95" t="s">
        <v>251</v>
      </c>
      <c r="I199" s="71">
        <v>0.9</v>
      </c>
      <c r="J199" s="72">
        <v>0.985074626865672</v>
      </c>
      <c r="K199" s="72">
        <v>0.986301369863014</v>
      </c>
      <c r="L199" s="73">
        <v>0.962025316455696</v>
      </c>
      <c r="M199" s="72">
        <v>0.966767371601209</v>
      </c>
      <c r="N199" s="74">
        <v>0.9</v>
      </c>
      <c r="O199" s="72">
        <v>0.952357483160835</v>
      </c>
      <c r="P199" s="72">
        <v>0.937764684220217</v>
      </c>
      <c r="Q199" s="72">
        <v>0.965493203206692</v>
      </c>
      <c r="R199" s="72">
        <v>0.955958016052686</v>
      </c>
      <c r="S199" s="74">
        <v>0.9</v>
      </c>
      <c r="T199" s="72">
        <v>0.877443732544767</v>
      </c>
      <c r="U199" s="72">
        <v>0.929663045479654</v>
      </c>
      <c r="V199" s="72">
        <v>0.949111188567445</v>
      </c>
      <c r="W199" s="72">
        <v>0.913375367172445</v>
      </c>
      <c r="X199" s="74">
        <v>0.92</v>
      </c>
      <c r="Y199" s="74">
        <v>0.927056277056277</v>
      </c>
      <c r="Z199" s="74">
        <v>0.948905109489051</v>
      </c>
      <c r="AA199" s="74">
        <v>0.963459759481961</v>
      </c>
      <c r="AB199" s="74">
        <v>0.948680099392329</v>
      </c>
      <c r="AC199" s="74">
        <v>0.92</v>
      </c>
      <c r="AD199" s="72">
        <v>0.997687683058425</v>
      </c>
      <c r="AE199" s="72">
        <v>0.9923273657289</v>
      </c>
      <c r="AF199" s="72">
        <v>0.995133819951338</v>
      </c>
      <c r="AG199" s="72">
        <v>0.98937512451026</v>
      </c>
      <c r="AH199" s="74">
        <v>0.92</v>
      </c>
      <c r="AI199" s="72">
        <v>0.955169515270384</v>
      </c>
      <c r="AJ199" s="72">
        <v>0.965308752106254</v>
      </c>
      <c r="AK199" s="72">
        <v>0.97714626391097</v>
      </c>
      <c r="AL199" s="72">
        <v>0.967420064394785</v>
      </c>
      <c r="AM199" s="71">
        <v>0.99</v>
      </c>
      <c r="AN199" s="76">
        <v>1</v>
      </c>
      <c r="AO199" s="76">
        <v>1</v>
      </c>
      <c r="AP199" s="76">
        <v>1</v>
      </c>
      <c r="AQ199" s="76">
        <v>1</v>
      </c>
      <c r="AR199" s="96">
        <v>0.0719793575775068</v>
      </c>
      <c r="AS199" s="80">
        <v>0.111111111111111</v>
      </c>
      <c r="AT199" s="80">
        <v>0</v>
      </c>
      <c r="AU199" s="80">
        <v>0</v>
      </c>
      <c r="AV199" s="80">
        <v>0.0452674897119342</v>
      </c>
      <c r="AW199" s="36"/>
      <c r="AX199" s="34"/>
    </row>
    <row r="200" ht="14.5" spans="1:50">
      <c r="A200" s="32"/>
      <c r="B200" s="36"/>
      <c r="C200" s="91" t="s">
        <v>241</v>
      </c>
      <c r="D200" s="69" t="s">
        <v>13</v>
      </c>
      <c r="E200" s="95" t="s">
        <v>252</v>
      </c>
      <c r="F200" s="95" t="s">
        <v>252</v>
      </c>
      <c r="G200" s="95" t="s">
        <v>252</v>
      </c>
      <c r="H200" s="95" t="s">
        <v>252</v>
      </c>
      <c r="I200" s="71">
        <v>0.9</v>
      </c>
      <c r="J200" s="72">
        <v>1</v>
      </c>
      <c r="K200" s="72">
        <v>1</v>
      </c>
      <c r="L200" s="73">
        <v>0.964705882352941</v>
      </c>
      <c r="M200" s="72">
        <v>0.973618090452261</v>
      </c>
      <c r="N200" s="74">
        <v>0.9</v>
      </c>
      <c r="O200" s="72">
        <v>0.975019669551534</v>
      </c>
      <c r="P200" s="72">
        <v>0.98078141499472</v>
      </c>
      <c r="Q200" s="72">
        <v>0.977890823713559</v>
      </c>
      <c r="R200" s="72">
        <v>0.982404756180193</v>
      </c>
      <c r="S200" s="74">
        <v>0.9</v>
      </c>
      <c r="T200" s="72">
        <v>0.952596380802518</v>
      </c>
      <c r="U200" s="72">
        <v>0.96325237592397</v>
      </c>
      <c r="V200" s="72">
        <v>0.962238309528468</v>
      </c>
      <c r="W200" s="72">
        <v>0.965246661275163</v>
      </c>
      <c r="X200" s="74">
        <v>0.92</v>
      </c>
      <c r="Y200" s="74">
        <v>0.961144718473709</v>
      </c>
      <c r="Z200" s="74">
        <v>0.966907190843493</v>
      </c>
      <c r="AA200" s="74">
        <v>0.977969106102811</v>
      </c>
      <c r="AB200" s="74">
        <v>0.972054603481106</v>
      </c>
      <c r="AC200" s="74">
        <v>0.92</v>
      </c>
      <c r="AD200" s="72">
        <v>0.991261886404523</v>
      </c>
      <c r="AE200" s="72">
        <v>0.991822827938671</v>
      </c>
      <c r="AF200" s="72">
        <v>0.996496145760336</v>
      </c>
      <c r="AG200" s="72">
        <v>0.993643212977068</v>
      </c>
      <c r="AH200" s="74">
        <v>0.92</v>
      </c>
      <c r="AI200" s="72">
        <v>0.970158797825855</v>
      </c>
      <c r="AJ200" s="72">
        <v>0.978074683110654</v>
      </c>
      <c r="AK200" s="72">
        <v>0.984216335540839</v>
      </c>
      <c r="AL200" s="72">
        <v>0.982275950921723</v>
      </c>
      <c r="AM200" s="71">
        <v>0.99</v>
      </c>
      <c r="AN200" s="76">
        <v>1</v>
      </c>
      <c r="AO200" s="76">
        <v>1</v>
      </c>
      <c r="AP200" s="76">
        <v>1</v>
      </c>
      <c r="AQ200" s="76">
        <v>1</v>
      </c>
      <c r="AR200" s="96">
        <v>0.0719793575775068</v>
      </c>
      <c r="AS200" s="80">
        <v>0.119047619047619</v>
      </c>
      <c r="AT200" s="80">
        <v>0.0526315789473684</v>
      </c>
      <c r="AU200" s="80">
        <v>0.027027027027027</v>
      </c>
      <c r="AV200" s="80">
        <v>0.0575</v>
      </c>
      <c r="AW200" s="36"/>
      <c r="AX200" s="34"/>
    </row>
    <row r="201" ht="14.5" spans="1:50">
      <c r="A201" s="32"/>
      <c r="B201" s="36"/>
      <c r="C201" s="91" t="s">
        <v>241</v>
      </c>
      <c r="D201" s="69" t="s">
        <v>13</v>
      </c>
      <c r="E201" s="95" t="s">
        <v>253</v>
      </c>
      <c r="F201" s="95" t="s">
        <v>253</v>
      </c>
      <c r="G201" s="95" t="s">
        <v>253</v>
      </c>
      <c r="H201" s="95" t="s">
        <v>253</v>
      </c>
      <c r="I201" s="71">
        <v>0.9</v>
      </c>
      <c r="J201" s="72">
        <v>0</v>
      </c>
      <c r="K201" s="72">
        <v>0</v>
      </c>
      <c r="L201" s="73">
        <v>0</v>
      </c>
      <c r="M201" s="72">
        <v>0</v>
      </c>
      <c r="N201" s="74">
        <v>0.9</v>
      </c>
      <c r="O201" s="72">
        <v>0</v>
      </c>
      <c r="P201" s="72">
        <v>0</v>
      </c>
      <c r="Q201" s="72">
        <v>0</v>
      </c>
      <c r="R201" s="72">
        <v>0</v>
      </c>
      <c r="S201" s="74">
        <v>0.9</v>
      </c>
      <c r="T201" s="72">
        <v>0</v>
      </c>
      <c r="U201" s="72">
        <v>0</v>
      </c>
      <c r="V201" s="72">
        <v>0</v>
      </c>
      <c r="W201" s="72">
        <v>0</v>
      </c>
      <c r="X201" s="74">
        <v>0.92</v>
      </c>
      <c r="Y201" s="74">
        <v>0</v>
      </c>
      <c r="Z201" s="74">
        <v>0</v>
      </c>
      <c r="AA201" s="74">
        <v>0</v>
      </c>
      <c r="AB201" s="74">
        <v>0</v>
      </c>
      <c r="AC201" s="74">
        <v>0.92</v>
      </c>
      <c r="AD201" s="72">
        <v>0.995145631067961</v>
      </c>
      <c r="AE201" s="72">
        <v>0.997512437810945</v>
      </c>
      <c r="AF201" s="72">
        <v>1</v>
      </c>
      <c r="AG201" s="72">
        <v>0.998371777476255</v>
      </c>
      <c r="AH201" s="74">
        <v>0.92</v>
      </c>
      <c r="AI201" s="72">
        <v>0</v>
      </c>
      <c r="AJ201" s="72">
        <v>0</v>
      </c>
      <c r="AK201" s="72">
        <v>0</v>
      </c>
      <c r="AL201" s="72">
        <v>0</v>
      </c>
      <c r="AM201" s="71">
        <v>0.99</v>
      </c>
      <c r="AN201" s="76">
        <v>1</v>
      </c>
      <c r="AO201" s="76">
        <v>1</v>
      </c>
      <c r="AP201" s="76">
        <v>1</v>
      </c>
      <c r="AQ201" s="76">
        <v>1</v>
      </c>
      <c r="AR201" s="96">
        <v>0.0719793575775068</v>
      </c>
      <c r="AS201" s="80">
        <v>0</v>
      </c>
      <c r="AT201" s="80">
        <v>0</v>
      </c>
      <c r="AU201" s="80">
        <v>0</v>
      </c>
      <c r="AV201" s="80">
        <v>0</v>
      </c>
      <c r="AW201" s="36"/>
      <c r="AX201" s="34"/>
    </row>
    <row r="202" ht="14.5" spans="1:50">
      <c r="A202" s="32"/>
      <c r="B202" s="36"/>
      <c r="C202" s="91" t="s">
        <v>241</v>
      </c>
      <c r="D202" s="69" t="s">
        <v>13</v>
      </c>
      <c r="E202" s="95" t="s">
        <v>254</v>
      </c>
      <c r="F202" s="95" t="s">
        <v>254</v>
      </c>
      <c r="G202" s="95" t="s">
        <v>254</v>
      </c>
      <c r="H202" s="95" t="s">
        <v>254</v>
      </c>
      <c r="I202" s="71">
        <v>0.9</v>
      </c>
      <c r="J202" s="72">
        <v>0.943548387096774</v>
      </c>
      <c r="K202" s="72">
        <v>0.969230769230769</v>
      </c>
      <c r="L202" s="73">
        <v>0.964285714285714</v>
      </c>
      <c r="M202" s="72">
        <v>0.9748045178106</v>
      </c>
      <c r="N202" s="74">
        <v>0.9</v>
      </c>
      <c r="O202" s="72">
        <v>0.937613019891501</v>
      </c>
      <c r="P202" s="72">
        <v>0.96389935577975</v>
      </c>
      <c r="Q202" s="72">
        <v>0.958696390177662</v>
      </c>
      <c r="R202" s="72">
        <v>0.9523455701782</v>
      </c>
      <c r="S202" s="74">
        <v>0.9</v>
      </c>
      <c r="T202" s="72">
        <v>0.832278481012658</v>
      </c>
      <c r="U202" s="72">
        <v>0.848182812689923</v>
      </c>
      <c r="V202" s="72">
        <v>0.869073214891932</v>
      </c>
      <c r="W202" s="72">
        <v>0.849165669668157</v>
      </c>
      <c r="X202" s="74">
        <v>0.92</v>
      </c>
      <c r="Y202" s="74">
        <v>0.910752979414951</v>
      </c>
      <c r="Z202" s="74">
        <v>0.921233337821462</v>
      </c>
      <c r="AA202" s="74">
        <v>0.933421907292589</v>
      </c>
      <c r="AB202" s="74">
        <v>0.930054215447474</v>
      </c>
      <c r="AC202" s="74">
        <v>0.92</v>
      </c>
      <c r="AD202" s="72">
        <v>0.988388969521045</v>
      </c>
      <c r="AE202" s="72">
        <v>0.995415318230852</v>
      </c>
      <c r="AF202" s="72">
        <v>0.977097522640521</v>
      </c>
      <c r="AG202" s="72">
        <v>0.989810613533241</v>
      </c>
      <c r="AH202" s="74">
        <v>0.92</v>
      </c>
      <c r="AI202" s="72">
        <v>0.932561433762395</v>
      </c>
      <c r="AJ202" s="72">
        <v>0.944362823379112</v>
      </c>
      <c r="AK202" s="72">
        <v>0.956248798923836</v>
      </c>
      <c r="AL202" s="72">
        <v>0.951547515866581</v>
      </c>
      <c r="AM202" s="71">
        <v>0.99</v>
      </c>
      <c r="AN202" s="76">
        <v>1</v>
      </c>
      <c r="AO202" s="76">
        <v>1</v>
      </c>
      <c r="AP202" s="76">
        <v>1</v>
      </c>
      <c r="AQ202" s="76">
        <v>1</v>
      </c>
      <c r="AR202" s="96">
        <v>0.0719793575775068</v>
      </c>
      <c r="AS202" s="80">
        <v>0.0526315789473684</v>
      </c>
      <c r="AT202" s="80">
        <v>0.0483870967741935</v>
      </c>
      <c r="AU202" s="80">
        <v>0.0384615384615385</v>
      </c>
      <c r="AV202" s="80">
        <v>0.037037037037037</v>
      </c>
      <c r="AW202" s="36"/>
      <c r="AX202" s="34"/>
    </row>
    <row r="203" ht="14.5" spans="1:50">
      <c r="A203" s="32"/>
      <c r="B203" s="36"/>
      <c r="C203" s="91" t="s">
        <v>241</v>
      </c>
      <c r="D203" s="69" t="s">
        <v>13</v>
      </c>
      <c r="E203" s="95" t="s">
        <v>255</v>
      </c>
      <c r="F203" s="95" t="s">
        <v>255</v>
      </c>
      <c r="G203" s="95" t="s">
        <v>255</v>
      </c>
      <c r="H203" s="95" t="s">
        <v>255</v>
      </c>
      <c r="I203" s="71">
        <v>0.9</v>
      </c>
      <c r="J203" s="72">
        <v>0</v>
      </c>
      <c r="K203" s="72">
        <v>0</v>
      </c>
      <c r="L203" s="73">
        <v>0</v>
      </c>
      <c r="M203" s="72">
        <v>0</v>
      </c>
      <c r="N203" s="74">
        <v>0.9</v>
      </c>
      <c r="O203" s="72">
        <v>0</v>
      </c>
      <c r="P203" s="72">
        <v>0</v>
      </c>
      <c r="Q203" s="72">
        <v>0</v>
      </c>
      <c r="R203" s="72">
        <v>0</v>
      </c>
      <c r="S203" s="74">
        <v>0.9</v>
      </c>
      <c r="T203" s="72">
        <v>0</v>
      </c>
      <c r="U203" s="72">
        <v>0</v>
      </c>
      <c r="V203" s="72">
        <v>0</v>
      </c>
      <c r="W203" s="72">
        <v>0.7</v>
      </c>
      <c r="X203" s="74">
        <v>0.92</v>
      </c>
      <c r="Y203" s="74">
        <v>0</v>
      </c>
      <c r="Z203" s="74">
        <v>0</v>
      </c>
      <c r="AA203" s="74">
        <v>0</v>
      </c>
      <c r="AB203" s="74">
        <v>0</v>
      </c>
      <c r="AC203" s="74">
        <v>0.92</v>
      </c>
      <c r="AD203" s="72">
        <v>0.999955857685177</v>
      </c>
      <c r="AE203" s="72">
        <v>0.999715322752829</v>
      </c>
      <c r="AF203" s="72">
        <v>0.999643338353016</v>
      </c>
      <c r="AG203" s="72">
        <v>0.999639023920681</v>
      </c>
      <c r="AH203" s="74">
        <v>0.92</v>
      </c>
      <c r="AI203" s="72">
        <v>0</v>
      </c>
      <c r="AJ203" s="72">
        <v>0</v>
      </c>
      <c r="AK203" s="72">
        <v>0</v>
      </c>
      <c r="AL203" s="72">
        <v>0.615384615384615</v>
      </c>
      <c r="AM203" s="71">
        <v>0.99</v>
      </c>
      <c r="AN203" s="76">
        <v>1</v>
      </c>
      <c r="AO203" s="76">
        <v>1</v>
      </c>
      <c r="AP203" s="76">
        <v>1</v>
      </c>
      <c r="AQ203" s="76">
        <v>1</v>
      </c>
      <c r="AR203" s="96">
        <v>0.0719793575775068</v>
      </c>
      <c r="AS203" s="80">
        <v>0</v>
      </c>
      <c r="AT203" s="80">
        <v>0</v>
      </c>
      <c r="AU203" s="80">
        <v>0</v>
      </c>
      <c r="AV203" s="80">
        <v>0</v>
      </c>
      <c r="AW203" s="36"/>
      <c r="AX203" s="34"/>
    </row>
    <row r="204" ht="14.5" spans="1:50">
      <c r="A204" s="32"/>
      <c r="B204" s="36"/>
      <c r="C204" s="91" t="s">
        <v>241</v>
      </c>
      <c r="D204" s="69" t="s">
        <v>13</v>
      </c>
      <c r="E204" s="95" t="s">
        <v>256</v>
      </c>
      <c r="F204" s="95" t="s">
        <v>256</v>
      </c>
      <c r="G204" s="95" t="s">
        <v>256</v>
      </c>
      <c r="H204" s="95" t="s">
        <v>256</v>
      </c>
      <c r="I204" s="71">
        <v>0.9</v>
      </c>
      <c r="J204" s="72">
        <v>0.905405405405405</v>
      </c>
      <c r="K204" s="72">
        <v>0.8875</v>
      </c>
      <c r="L204" s="73">
        <v>0.878048780487805</v>
      </c>
      <c r="M204" s="72">
        <v>0.913818722139673</v>
      </c>
      <c r="N204" s="74">
        <v>0.9</v>
      </c>
      <c r="O204" s="72">
        <v>0.932530620718289</v>
      </c>
      <c r="P204" s="72">
        <v>0.947703501591633</v>
      </c>
      <c r="Q204" s="72">
        <v>0.953986429177269</v>
      </c>
      <c r="R204" s="72">
        <v>0.948715542521994</v>
      </c>
      <c r="S204" s="74">
        <v>0.9</v>
      </c>
      <c r="T204" s="72">
        <v>0.904712476645215</v>
      </c>
      <c r="U204" s="72">
        <v>0.929058663028649</v>
      </c>
      <c r="V204" s="72">
        <v>0.933418150975403</v>
      </c>
      <c r="W204" s="72">
        <v>0.916551319648094</v>
      </c>
      <c r="X204" s="74">
        <v>0.92</v>
      </c>
      <c r="Y204" s="74">
        <v>0.937388648511072</v>
      </c>
      <c r="Z204" s="74">
        <v>0.95189685097942</v>
      </c>
      <c r="AA204" s="74">
        <v>0.957463465553236</v>
      </c>
      <c r="AB204" s="74">
        <v>0.950697081244022</v>
      </c>
      <c r="AC204" s="74">
        <v>0.92</v>
      </c>
      <c r="AD204" s="72">
        <v>0.998487712665406</v>
      </c>
      <c r="AE204" s="72">
        <v>0.997139281244413</v>
      </c>
      <c r="AF204" s="72">
        <v>0.997219647822057</v>
      </c>
      <c r="AG204" s="72">
        <v>0.997213673034547</v>
      </c>
      <c r="AH204" s="74">
        <v>0.92</v>
      </c>
      <c r="AI204" s="72">
        <v>0.956094214498056</v>
      </c>
      <c r="AJ204" s="72">
        <v>0.970950912971307</v>
      </c>
      <c r="AK204" s="72">
        <v>0.973210107627515</v>
      </c>
      <c r="AL204" s="72">
        <v>0.969274250006482</v>
      </c>
      <c r="AM204" s="71">
        <v>0.99</v>
      </c>
      <c r="AN204" s="76">
        <v>1</v>
      </c>
      <c r="AO204" s="76">
        <v>1</v>
      </c>
      <c r="AP204" s="76">
        <v>1</v>
      </c>
      <c r="AQ204" s="76">
        <v>1</v>
      </c>
      <c r="AR204" s="96">
        <v>0.0719793575775068</v>
      </c>
      <c r="AS204" s="80">
        <v>0</v>
      </c>
      <c r="AT204" s="80">
        <v>0.0869565217391304</v>
      </c>
      <c r="AU204" s="80">
        <v>0</v>
      </c>
      <c r="AV204" s="80">
        <v>0.0714285714285714</v>
      </c>
      <c r="AW204" s="36"/>
      <c r="AX204" s="34"/>
    </row>
    <row r="205" ht="14.5" spans="1:50">
      <c r="A205" s="32"/>
      <c r="B205" s="36"/>
      <c r="C205" s="91" t="s">
        <v>241</v>
      </c>
      <c r="D205" s="69" t="s">
        <v>13</v>
      </c>
      <c r="E205" s="95" t="s">
        <v>257</v>
      </c>
      <c r="F205" s="95" t="s">
        <v>257</v>
      </c>
      <c r="G205" s="95" t="s">
        <v>257</v>
      </c>
      <c r="H205" s="95" t="s">
        <v>257</v>
      </c>
      <c r="I205" s="71">
        <v>0.9</v>
      </c>
      <c r="J205" s="72">
        <v>0</v>
      </c>
      <c r="K205" s="72">
        <v>0</v>
      </c>
      <c r="L205" s="73">
        <v>0</v>
      </c>
      <c r="M205" s="72">
        <v>0</v>
      </c>
      <c r="N205" s="74">
        <v>0.9</v>
      </c>
      <c r="O205" s="72">
        <v>0</v>
      </c>
      <c r="P205" s="72">
        <v>0</v>
      </c>
      <c r="Q205" s="72">
        <v>0</v>
      </c>
      <c r="R205" s="72">
        <v>0</v>
      </c>
      <c r="S205" s="74">
        <v>0.9</v>
      </c>
      <c r="T205" s="72">
        <v>0.25</v>
      </c>
      <c r="U205" s="72">
        <v>0.333333333333333</v>
      </c>
      <c r="V205" s="72">
        <v>0</v>
      </c>
      <c r="W205" s="72">
        <v>0.861538461538462</v>
      </c>
      <c r="X205" s="74">
        <v>0.92</v>
      </c>
      <c r="Y205" s="74">
        <v>0</v>
      </c>
      <c r="Z205" s="74">
        <v>1</v>
      </c>
      <c r="AA205" s="74">
        <v>0</v>
      </c>
      <c r="AB205" s="74">
        <v>0.545454545454545</v>
      </c>
      <c r="AC205" s="74">
        <v>0.92</v>
      </c>
      <c r="AD205" s="72">
        <v>0.997560856627153</v>
      </c>
      <c r="AE205" s="72">
        <v>0.76879555044112</v>
      </c>
      <c r="AF205" s="72">
        <v>0.837110093538413</v>
      </c>
      <c r="AG205" s="72">
        <v>0.937258945278191</v>
      </c>
      <c r="AH205" s="74">
        <v>0.92</v>
      </c>
      <c r="AI205" s="72">
        <v>0.2</v>
      </c>
      <c r="AJ205" s="72">
        <v>0.4</v>
      </c>
      <c r="AK205" s="72">
        <v>0</v>
      </c>
      <c r="AL205" s="72">
        <v>0.840909090909091</v>
      </c>
      <c r="AM205" s="71">
        <v>0.99</v>
      </c>
      <c r="AN205" s="76">
        <v>1</v>
      </c>
      <c r="AO205" s="76">
        <v>1</v>
      </c>
      <c r="AP205" s="76">
        <v>1</v>
      </c>
      <c r="AQ205" s="76">
        <v>1</v>
      </c>
      <c r="AR205" s="96">
        <v>0.0719793575775068</v>
      </c>
      <c r="AS205" s="80">
        <v>0</v>
      </c>
      <c r="AT205" s="80">
        <v>0</v>
      </c>
      <c r="AU205" s="80">
        <v>0</v>
      </c>
      <c r="AV205" s="80">
        <v>0</v>
      </c>
      <c r="AW205" s="36"/>
      <c r="AX205" s="34"/>
    </row>
    <row r="206" ht="14.5" spans="1:50">
      <c r="A206" s="32"/>
      <c r="B206" s="36"/>
      <c r="C206" s="91" t="s">
        <v>241</v>
      </c>
      <c r="D206" s="69" t="s">
        <v>13</v>
      </c>
      <c r="E206" s="95" t="s">
        <v>258</v>
      </c>
      <c r="F206" s="95" t="s">
        <v>258</v>
      </c>
      <c r="G206" s="95" t="s">
        <v>258</v>
      </c>
      <c r="H206" s="95" t="s">
        <v>258</v>
      </c>
      <c r="I206" s="71">
        <v>0.9</v>
      </c>
      <c r="J206" s="72">
        <v>0.862745098039216</v>
      </c>
      <c r="K206" s="72">
        <v>0.913793103448276</v>
      </c>
      <c r="L206" s="73">
        <v>0.913793103448276</v>
      </c>
      <c r="M206" s="72">
        <v>0.91170431211499</v>
      </c>
      <c r="N206" s="74">
        <v>0.9</v>
      </c>
      <c r="O206" s="72">
        <v>0.993823694553622</v>
      </c>
      <c r="P206" s="72">
        <v>0.993599512343798</v>
      </c>
      <c r="Q206" s="72">
        <v>0.993882901252549</v>
      </c>
      <c r="R206" s="72">
        <v>0.991538917855693</v>
      </c>
      <c r="S206" s="74">
        <v>0.9</v>
      </c>
      <c r="T206" s="72">
        <v>0.917181358787198</v>
      </c>
      <c r="U206" s="72">
        <v>0.927156354769887</v>
      </c>
      <c r="V206" s="72">
        <v>0.922516749198951</v>
      </c>
      <c r="W206" s="72">
        <v>0.916200942895501</v>
      </c>
      <c r="X206" s="74">
        <v>0.92</v>
      </c>
      <c r="Y206" s="74">
        <v>0.927492447129909</v>
      </c>
      <c r="Z206" s="74">
        <v>0.948099173553719</v>
      </c>
      <c r="AA206" s="74">
        <v>0.95230998509687</v>
      </c>
      <c r="AB206" s="74">
        <v>0.950256312891589</v>
      </c>
      <c r="AC206" s="74">
        <v>0.92</v>
      </c>
      <c r="AD206" s="72">
        <v>0.999167707032876</v>
      </c>
      <c r="AE206" s="72">
        <v>0.998552821997106</v>
      </c>
      <c r="AF206" s="72">
        <v>0.999275887038378</v>
      </c>
      <c r="AG206" s="72">
        <v>0.998842500199569</v>
      </c>
      <c r="AH206" s="74">
        <v>0.92</v>
      </c>
      <c r="AI206" s="72">
        <v>0.951995107781685</v>
      </c>
      <c r="AJ206" s="72">
        <v>0.965599239061509</v>
      </c>
      <c r="AK206" s="72">
        <v>0.969102501226091</v>
      </c>
      <c r="AL206" s="72">
        <v>0.968149264983038</v>
      </c>
      <c r="AM206" s="71">
        <v>0.99</v>
      </c>
      <c r="AN206" s="76">
        <v>1</v>
      </c>
      <c r="AO206" s="76">
        <v>1</v>
      </c>
      <c r="AP206" s="76">
        <v>1</v>
      </c>
      <c r="AQ206" s="76">
        <v>1</v>
      </c>
      <c r="AR206" s="96">
        <v>0.0719793575775068</v>
      </c>
      <c r="AS206" s="80">
        <v>0.0416666666666667</v>
      </c>
      <c r="AT206" s="80">
        <v>0.115384615384615</v>
      </c>
      <c r="AU206" s="80">
        <v>0</v>
      </c>
      <c r="AV206" s="80">
        <v>0.0810810810810811</v>
      </c>
      <c r="AW206" s="36"/>
      <c r="AX206" s="34"/>
    </row>
    <row r="207" ht="14.5" spans="1:50">
      <c r="A207" s="32"/>
      <c r="B207" s="36"/>
      <c r="C207" s="91" t="s">
        <v>241</v>
      </c>
      <c r="D207" s="69" t="s">
        <v>13</v>
      </c>
      <c r="E207" s="95" t="s">
        <v>259</v>
      </c>
      <c r="F207" s="95" t="s">
        <v>259</v>
      </c>
      <c r="G207" s="95" t="s">
        <v>259</v>
      </c>
      <c r="H207" s="95" t="s">
        <v>259</v>
      </c>
      <c r="I207" s="71">
        <v>0.9</v>
      </c>
      <c r="J207" s="72">
        <v>0.919191919191919</v>
      </c>
      <c r="K207" s="72">
        <v>0.930693069306931</v>
      </c>
      <c r="L207" s="73">
        <v>0.913461538461538</v>
      </c>
      <c r="M207" s="72">
        <v>0.926775956284153</v>
      </c>
      <c r="N207" s="74">
        <v>0.9</v>
      </c>
      <c r="O207" s="72">
        <v>0.957057013044116</v>
      </c>
      <c r="P207" s="72">
        <v>0.946601196869725</v>
      </c>
      <c r="Q207" s="72">
        <v>0.947830101569714</v>
      </c>
      <c r="R207" s="72">
        <v>0.95551633706642</v>
      </c>
      <c r="S207" s="74">
        <v>0.9</v>
      </c>
      <c r="T207" s="72">
        <v>0.890663930822219</v>
      </c>
      <c r="U207" s="72">
        <v>0.915451895043732</v>
      </c>
      <c r="V207" s="72">
        <v>0.921360418590335</v>
      </c>
      <c r="W207" s="72">
        <v>0.904995959029507</v>
      </c>
      <c r="X207" s="74">
        <v>0.92</v>
      </c>
      <c r="Y207" s="74">
        <v>0.891851575610666</v>
      </c>
      <c r="Z207" s="74">
        <v>0.923702422145329</v>
      </c>
      <c r="AA207" s="74">
        <v>0.926435406698565</v>
      </c>
      <c r="AB207" s="74">
        <v>0.920844712209969</v>
      </c>
      <c r="AC207" s="74">
        <v>0.92</v>
      </c>
      <c r="AD207" s="72">
        <v>0.991999044662049</v>
      </c>
      <c r="AE207" s="72">
        <v>0.988000513347023</v>
      </c>
      <c r="AF207" s="72">
        <v>0.931050594046189</v>
      </c>
      <c r="AG207" s="72">
        <v>0.94829571168825</v>
      </c>
      <c r="AH207" s="74">
        <v>0.92</v>
      </c>
      <c r="AI207" s="72">
        <v>0.933010823220728</v>
      </c>
      <c r="AJ207" s="72">
        <v>0.949426782665257</v>
      </c>
      <c r="AK207" s="72">
        <v>0.956227201667535</v>
      </c>
      <c r="AL207" s="72">
        <v>0.95037837638784</v>
      </c>
      <c r="AM207" s="71">
        <v>0.99</v>
      </c>
      <c r="AN207" s="76">
        <v>1</v>
      </c>
      <c r="AO207" s="76">
        <v>1</v>
      </c>
      <c r="AP207" s="76">
        <v>1</v>
      </c>
      <c r="AQ207" s="76">
        <v>1</v>
      </c>
      <c r="AR207" s="96">
        <v>0.0719793575775068</v>
      </c>
      <c r="AS207" s="80">
        <v>0.0714285714285714</v>
      </c>
      <c r="AT207" s="80">
        <v>0.0476190476190476</v>
      </c>
      <c r="AU207" s="80">
        <v>0.0714285714285714</v>
      </c>
      <c r="AV207" s="80">
        <v>0.0538461538461538</v>
      </c>
      <c r="AW207" s="36"/>
      <c r="AX207" s="34"/>
    </row>
    <row r="208" ht="14.5" spans="1:50">
      <c r="A208" s="32"/>
      <c r="B208" s="36"/>
      <c r="C208" s="91" t="s">
        <v>241</v>
      </c>
      <c r="D208" s="69" t="s">
        <v>13</v>
      </c>
      <c r="E208" s="95" t="s">
        <v>260</v>
      </c>
      <c r="F208" s="95" t="s">
        <v>260</v>
      </c>
      <c r="G208" s="95" t="s">
        <v>260</v>
      </c>
      <c r="H208" s="95" t="s">
        <v>260</v>
      </c>
      <c r="I208" s="71">
        <v>0.9</v>
      </c>
      <c r="J208" s="72">
        <v>0</v>
      </c>
      <c r="K208" s="72">
        <v>0</v>
      </c>
      <c r="L208" s="73">
        <v>0</v>
      </c>
      <c r="M208" s="72">
        <v>0</v>
      </c>
      <c r="N208" s="74">
        <v>0.9</v>
      </c>
      <c r="O208" s="72">
        <v>0</v>
      </c>
      <c r="P208" s="72">
        <v>0</v>
      </c>
      <c r="Q208" s="72">
        <v>0</v>
      </c>
      <c r="R208" s="72">
        <v>0</v>
      </c>
      <c r="S208" s="74">
        <v>0.9</v>
      </c>
      <c r="T208" s="72">
        <v>0.352941176470588</v>
      </c>
      <c r="U208" s="72">
        <v>0.833333333333333</v>
      </c>
      <c r="V208" s="72">
        <v>1</v>
      </c>
      <c r="W208" s="72">
        <v>0.782258064516129</v>
      </c>
      <c r="X208" s="74">
        <v>0.92</v>
      </c>
      <c r="Y208" s="74">
        <v>0</v>
      </c>
      <c r="Z208" s="74">
        <v>0.5</v>
      </c>
      <c r="AA208" s="74">
        <v>0</v>
      </c>
      <c r="AB208" s="74">
        <v>0.473684210526316</v>
      </c>
      <c r="AC208" s="74">
        <v>0.92</v>
      </c>
      <c r="AD208" s="72">
        <v>0.975964032509078</v>
      </c>
      <c r="AE208" s="72">
        <v>0.984510440558816</v>
      </c>
      <c r="AF208" s="72">
        <v>0.947070929592162</v>
      </c>
      <c r="AG208" s="72">
        <v>0.889258066377283</v>
      </c>
      <c r="AH208" s="74">
        <v>0.92</v>
      </c>
      <c r="AI208" s="72">
        <v>0.5</v>
      </c>
      <c r="AJ208" s="72">
        <v>0.807692307692308</v>
      </c>
      <c r="AK208" s="72">
        <v>0.869565217391304</v>
      </c>
      <c r="AL208" s="72">
        <v>0.767045454545455</v>
      </c>
      <c r="AM208" s="71">
        <v>0.99</v>
      </c>
      <c r="AN208" s="76">
        <v>1</v>
      </c>
      <c r="AO208" s="76">
        <v>1</v>
      </c>
      <c r="AP208" s="76">
        <v>1</v>
      </c>
      <c r="AQ208" s="76">
        <v>1</v>
      </c>
      <c r="AR208" s="96">
        <v>0.0719793575775068</v>
      </c>
      <c r="AS208" s="80">
        <v>0</v>
      </c>
      <c r="AT208" s="80">
        <v>0</v>
      </c>
      <c r="AU208" s="80">
        <v>0</v>
      </c>
      <c r="AV208" s="80">
        <v>0</v>
      </c>
      <c r="AW208" s="36"/>
      <c r="AX208" s="34"/>
    </row>
    <row r="209" ht="14.5" spans="1:50">
      <c r="A209" s="32"/>
      <c r="C209" s="91" t="s">
        <v>241</v>
      </c>
      <c r="D209" s="69" t="s">
        <v>13</v>
      </c>
      <c r="E209" s="95" t="s">
        <v>261</v>
      </c>
      <c r="F209" s="95" t="s">
        <v>261</v>
      </c>
      <c r="G209" s="95" t="s">
        <v>261</v>
      </c>
      <c r="H209" s="95" t="s">
        <v>261</v>
      </c>
      <c r="I209" s="71">
        <v>0.9</v>
      </c>
      <c r="J209" s="72">
        <v>0.958823529411765</v>
      </c>
      <c r="K209" s="72">
        <v>0.950819672131147</v>
      </c>
      <c r="L209" s="73">
        <v>0.935135135135135</v>
      </c>
      <c r="M209" s="72">
        <v>0.937614678899083</v>
      </c>
      <c r="N209" s="74">
        <v>0.9</v>
      </c>
      <c r="O209" s="72">
        <v>0.938084229570811</v>
      </c>
      <c r="P209" s="72">
        <v>0.959939367691641</v>
      </c>
      <c r="Q209" s="72">
        <v>0.956729272595206</v>
      </c>
      <c r="R209" s="72">
        <v>0.951985620401056</v>
      </c>
      <c r="S209" s="74">
        <v>0.9</v>
      </c>
      <c r="T209" s="72">
        <v>0.893758166649915</v>
      </c>
      <c r="U209" s="72">
        <v>0.919878735383283</v>
      </c>
      <c r="V209" s="72">
        <v>0.922486250907959</v>
      </c>
      <c r="W209" s="72">
        <v>0.92057518395776</v>
      </c>
      <c r="X209" s="74">
        <v>0.92</v>
      </c>
      <c r="Y209" s="74">
        <v>0.915062809726864</v>
      </c>
      <c r="Z209" s="74">
        <v>0.93325315694528</v>
      </c>
      <c r="AA209" s="74">
        <v>0.953242835595777</v>
      </c>
      <c r="AB209" s="74">
        <v>0.940498471730378</v>
      </c>
      <c r="AC209" s="74">
        <v>0.92</v>
      </c>
      <c r="AD209" s="72">
        <v>0.995207941126134</v>
      </c>
      <c r="AE209" s="72">
        <v>0.997851772287862</v>
      </c>
      <c r="AF209" s="72">
        <v>0.998196898665705</v>
      </c>
      <c r="AG209" s="72">
        <v>0.99619426971388</v>
      </c>
      <c r="AH209" s="74">
        <v>0.92</v>
      </c>
      <c r="AI209" s="72">
        <v>0.935963499731616</v>
      </c>
      <c r="AJ209" s="72">
        <v>0.954206299481688</v>
      </c>
      <c r="AK209" s="72">
        <v>0.967034216210072</v>
      </c>
      <c r="AL209" s="72">
        <v>0.960435751726841</v>
      </c>
      <c r="AM209" s="71">
        <v>0.99</v>
      </c>
      <c r="AN209" s="76">
        <v>1</v>
      </c>
      <c r="AO209" s="76">
        <v>1</v>
      </c>
      <c r="AP209" s="76">
        <v>1</v>
      </c>
      <c r="AQ209" s="76">
        <v>1</v>
      </c>
      <c r="AR209" s="96">
        <v>0.0719793575775068</v>
      </c>
      <c r="AS209" s="80">
        <v>0.0576923076923077</v>
      </c>
      <c r="AT209" s="80">
        <v>0.0632911392405063</v>
      </c>
      <c r="AU209" s="80">
        <v>0.0123456790123457</v>
      </c>
      <c r="AV209" s="80">
        <v>0.051487414187643</v>
      </c>
      <c r="AW209" s="36"/>
      <c r="AX209" s="34"/>
    </row>
    <row r="210" ht="14.5" spans="1:50">
      <c r="A210" s="32"/>
      <c r="C210" s="91" t="s">
        <v>241</v>
      </c>
      <c r="D210" s="69" t="s">
        <v>13</v>
      </c>
      <c r="E210" s="95" t="s">
        <v>262</v>
      </c>
      <c r="F210" s="95" t="s">
        <v>262</v>
      </c>
      <c r="G210" s="95" t="s">
        <v>262</v>
      </c>
      <c r="H210" s="95" t="s">
        <v>262</v>
      </c>
      <c r="I210" s="71">
        <v>0.9</v>
      </c>
      <c r="J210" s="72">
        <v>0.887931034482759</v>
      </c>
      <c r="K210" s="72">
        <v>0.933884297520661</v>
      </c>
      <c r="L210" s="73">
        <v>0.9375</v>
      </c>
      <c r="M210" s="72">
        <v>0.934595524956971</v>
      </c>
      <c r="N210" s="74">
        <v>0.9</v>
      </c>
      <c r="O210" s="72">
        <v>0.912189054726368</v>
      </c>
      <c r="P210" s="72">
        <v>0.941641011912729</v>
      </c>
      <c r="Q210" s="72">
        <v>0.968091584459871</v>
      </c>
      <c r="R210" s="72">
        <v>0.950860959785376</v>
      </c>
      <c r="S210" s="74">
        <v>0.9</v>
      </c>
      <c r="T210" s="72">
        <v>0.844402985074627</v>
      </c>
      <c r="U210" s="72">
        <v>0.905635122473564</v>
      </c>
      <c r="V210" s="72">
        <v>0.914383144562173</v>
      </c>
      <c r="W210" s="72">
        <v>0.898327356347012</v>
      </c>
      <c r="X210" s="74">
        <v>0.92</v>
      </c>
      <c r="Y210" s="74">
        <v>0.855712497765063</v>
      </c>
      <c r="Z210" s="74">
        <v>0.909548642330516</v>
      </c>
      <c r="AA210" s="74">
        <v>0.932333577176298</v>
      </c>
      <c r="AB210" s="74">
        <v>0.926299730078629</v>
      </c>
      <c r="AC210" s="74">
        <v>0.92</v>
      </c>
      <c r="AD210" s="72">
        <v>0.955239064089522</v>
      </c>
      <c r="AE210" s="72">
        <v>0.997499305362601</v>
      </c>
      <c r="AF210" s="72">
        <v>0.99649669131958</v>
      </c>
      <c r="AG210" s="72">
        <v>0.989377295410003</v>
      </c>
      <c r="AH210" s="74">
        <v>0.92</v>
      </c>
      <c r="AI210" s="72">
        <v>0.905097176384305</v>
      </c>
      <c r="AJ210" s="72">
        <v>0.940093579811306</v>
      </c>
      <c r="AK210" s="72">
        <v>0.957891658746984</v>
      </c>
      <c r="AL210" s="72">
        <v>0.952744430219732</v>
      </c>
      <c r="AM210" s="71">
        <v>0.99</v>
      </c>
      <c r="AN210" s="76">
        <v>1</v>
      </c>
      <c r="AO210" s="76">
        <v>1</v>
      </c>
      <c r="AP210" s="76">
        <v>1</v>
      </c>
      <c r="AQ210" s="76">
        <v>1</v>
      </c>
      <c r="AR210" s="96">
        <v>0.0719793575775068</v>
      </c>
      <c r="AS210" s="80">
        <v>0.0442477876106195</v>
      </c>
      <c r="AT210" s="80">
        <v>0.0236220472440945</v>
      </c>
      <c r="AU210" s="80">
        <v>0.0161290322580645</v>
      </c>
      <c r="AV210" s="80">
        <v>0.0361944157187177</v>
      </c>
      <c r="AW210" s="36"/>
      <c r="AX210" s="34"/>
    </row>
    <row r="211" ht="14.5" spans="1:50">
      <c r="A211" s="32"/>
      <c r="C211" s="91" t="s">
        <v>241</v>
      </c>
      <c r="D211" s="69" t="s">
        <v>13</v>
      </c>
      <c r="E211" s="95" t="s">
        <v>263</v>
      </c>
      <c r="F211" s="95" t="s">
        <v>263</v>
      </c>
      <c r="G211" s="95" t="s">
        <v>263</v>
      </c>
      <c r="H211" s="95" t="s">
        <v>263</v>
      </c>
      <c r="I211" s="71">
        <v>0.9</v>
      </c>
      <c r="J211" s="72">
        <v>0.886178861788618</v>
      </c>
      <c r="K211" s="72">
        <v>0.931297709923664</v>
      </c>
      <c r="L211" s="73">
        <v>0.957446808510638</v>
      </c>
      <c r="M211" s="72">
        <v>0.922628951747088</v>
      </c>
      <c r="N211" s="74">
        <v>0.9</v>
      </c>
      <c r="O211" s="72">
        <v>0.932454877643672</v>
      </c>
      <c r="P211" s="72">
        <v>0.933771723813997</v>
      </c>
      <c r="Q211" s="72">
        <v>0.952708703374778</v>
      </c>
      <c r="R211" s="72">
        <v>0.939928116943319</v>
      </c>
      <c r="S211" s="74">
        <v>0.9</v>
      </c>
      <c r="T211" s="72">
        <v>0.903665153360647</v>
      </c>
      <c r="U211" s="72">
        <v>0.918271488961954</v>
      </c>
      <c r="V211" s="72">
        <v>0.926065719360568</v>
      </c>
      <c r="W211" s="72">
        <v>0.919493516554693</v>
      </c>
      <c r="X211" s="74">
        <v>0.92</v>
      </c>
      <c r="Y211" s="74">
        <v>0.916530501089325</v>
      </c>
      <c r="Z211" s="74">
        <v>0.934110140102649</v>
      </c>
      <c r="AA211" s="74">
        <v>0.956756756756757</v>
      </c>
      <c r="AB211" s="74">
        <v>0.946028045055992</v>
      </c>
      <c r="AC211" s="74">
        <v>0.92</v>
      </c>
      <c r="AD211" s="72">
        <v>0.982601254991443</v>
      </c>
      <c r="AE211" s="72">
        <v>0.985719143148589</v>
      </c>
      <c r="AF211" s="72">
        <v>0.992274038909057</v>
      </c>
      <c r="AG211" s="72">
        <v>0.989208774762711</v>
      </c>
      <c r="AH211" s="74">
        <v>0.92</v>
      </c>
      <c r="AI211" s="72">
        <v>0.941866145578896</v>
      </c>
      <c r="AJ211" s="72">
        <v>0.95824064069154</v>
      </c>
      <c r="AK211" s="72">
        <v>0.974002493765586</v>
      </c>
      <c r="AL211" s="72">
        <v>0.96528096001833</v>
      </c>
      <c r="AM211" s="71">
        <v>0.99</v>
      </c>
      <c r="AN211" s="76">
        <v>1</v>
      </c>
      <c r="AO211" s="76">
        <v>1</v>
      </c>
      <c r="AP211" s="76">
        <v>1</v>
      </c>
      <c r="AQ211" s="76">
        <v>1</v>
      </c>
      <c r="AR211" s="96">
        <v>0.0719793575775068</v>
      </c>
      <c r="AS211" s="80">
        <v>0.0933333333333333</v>
      </c>
      <c r="AT211" s="80">
        <v>0.0303030303030303</v>
      </c>
      <c r="AU211" s="80">
        <v>0.0307692307692308</v>
      </c>
      <c r="AV211" s="80">
        <v>0.0545774647887324</v>
      </c>
      <c r="AW211" s="36"/>
      <c r="AX211" s="34"/>
    </row>
    <row r="212" ht="14.5" spans="1:50">
      <c r="A212" s="32"/>
      <c r="C212" s="91" t="s">
        <v>241</v>
      </c>
      <c r="D212" s="69" t="s">
        <v>13</v>
      </c>
      <c r="E212" s="95" t="s">
        <v>264</v>
      </c>
      <c r="F212" s="95" t="s">
        <v>264</v>
      </c>
      <c r="G212" s="95" t="s">
        <v>264</v>
      </c>
      <c r="H212" s="95" t="s">
        <v>264</v>
      </c>
      <c r="I212" s="71">
        <v>0.9</v>
      </c>
      <c r="J212" s="72">
        <v>0.952380952380952</v>
      </c>
      <c r="K212" s="72">
        <v>0.940298507462687</v>
      </c>
      <c r="L212" s="73">
        <v>0.932432432432432</v>
      </c>
      <c r="M212" s="72">
        <v>0.938211382113821</v>
      </c>
      <c r="N212" s="74">
        <v>0.9</v>
      </c>
      <c r="O212" s="72">
        <v>0.966818946862226</v>
      </c>
      <c r="P212" s="72">
        <v>0.977659574468085</v>
      </c>
      <c r="Q212" s="72">
        <v>0.890176200820661</v>
      </c>
      <c r="R212" s="72">
        <v>0.960669053599102</v>
      </c>
      <c r="S212" s="74">
        <v>0.9</v>
      </c>
      <c r="T212" s="72">
        <v>0.90839144025006</v>
      </c>
      <c r="U212" s="72">
        <v>0.934042553191489</v>
      </c>
      <c r="V212" s="72">
        <v>0.930243784697079</v>
      </c>
      <c r="W212" s="72">
        <v>0.92815155239673</v>
      </c>
      <c r="X212" s="74">
        <v>0.92</v>
      </c>
      <c r="Y212" s="74">
        <v>0.938170121515368</v>
      </c>
      <c r="Z212" s="74">
        <v>0.956189844009293</v>
      </c>
      <c r="AA212" s="74">
        <v>0.966822935448972</v>
      </c>
      <c r="AB212" s="74">
        <v>0.962197238361126</v>
      </c>
      <c r="AC212" s="74">
        <v>0.92</v>
      </c>
      <c r="AD212" s="72">
        <v>0.997250481165796</v>
      </c>
      <c r="AE212" s="72">
        <v>0.994518589132507</v>
      </c>
      <c r="AF212" s="72">
        <v>0.994157740993184</v>
      </c>
      <c r="AG212" s="72">
        <v>0.992900803113779</v>
      </c>
      <c r="AH212" s="74">
        <v>0.92</v>
      </c>
      <c r="AI212" s="72">
        <v>0.957315320494395</v>
      </c>
      <c r="AJ212" s="72">
        <v>0.970631641086186</v>
      </c>
      <c r="AK212" s="72">
        <v>0.978892583489952</v>
      </c>
      <c r="AL212" s="72">
        <v>0.976071316859556</v>
      </c>
      <c r="AM212" s="71">
        <v>0.99</v>
      </c>
      <c r="AN212" s="76">
        <v>1</v>
      </c>
      <c r="AO212" s="76">
        <v>1</v>
      </c>
      <c r="AP212" s="76">
        <v>1</v>
      </c>
      <c r="AQ212" s="76">
        <v>1</v>
      </c>
      <c r="AR212" s="96">
        <v>0.0719793575775068</v>
      </c>
      <c r="AS212" s="80">
        <v>0.102040816326531</v>
      </c>
      <c r="AT212" s="80">
        <v>0.02</v>
      </c>
      <c r="AU212" s="80">
        <v>0.0192307692307692</v>
      </c>
      <c r="AV212" s="80">
        <v>0.0444444444444444</v>
      </c>
      <c r="AW212" s="36"/>
      <c r="AX212" s="34"/>
    </row>
    <row r="213" ht="14.5" spans="1:50">
      <c r="A213" s="32"/>
      <c r="C213" s="91" t="s">
        <v>241</v>
      </c>
      <c r="D213" s="69" t="s">
        <v>13</v>
      </c>
      <c r="E213" s="95" t="s">
        <v>265</v>
      </c>
      <c r="F213" s="95" t="s">
        <v>265</v>
      </c>
      <c r="G213" s="95" t="s">
        <v>265</v>
      </c>
      <c r="H213" s="95" t="s">
        <v>265</v>
      </c>
      <c r="I213" s="71">
        <v>0.9</v>
      </c>
      <c r="J213" s="72">
        <v>0.981481481481482</v>
      </c>
      <c r="K213" s="72">
        <v>0.96078431372549</v>
      </c>
      <c r="L213" s="73">
        <v>0.945454545454545</v>
      </c>
      <c r="M213" s="72">
        <v>0.962924819773429</v>
      </c>
      <c r="N213" s="74">
        <v>0.9</v>
      </c>
      <c r="O213" s="72">
        <v>0.961526946107784</v>
      </c>
      <c r="P213" s="72">
        <v>0.969134761342553</v>
      </c>
      <c r="Q213" s="72">
        <v>0.961870947823402</v>
      </c>
      <c r="R213" s="72">
        <v>0.967846954186944</v>
      </c>
      <c r="S213" s="74">
        <v>0.9</v>
      </c>
      <c r="T213" s="72">
        <v>0.909730538922156</v>
      </c>
      <c r="U213" s="72">
        <v>0.922246584584247</v>
      </c>
      <c r="V213" s="72">
        <v>0.929453535041679</v>
      </c>
      <c r="W213" s="72">
        <v>0.92213458633999</v>
      </c>
      <c r="X213" s="74">
        <v>0.92</v>
      </c>
      <c r="Y213" s="74">
        <v>0.916176172112848</v>
      </c>
      <c r="Z213" s="74">
        <v>0.939772229522558</v>
      </c>
      <c r="AA213" s="74">
        <v>0.96335912608102</v>
      </c>
      <c r="AB213" s="74">
        <v>0.949051091423007</v>
      </c>
      <c r="AC213" s="74">
        <v>0.92</v>
      </c>
      <c r="AD213" s="72">
        <v>0.998559596687072</v>
      </c>
      <c r="AE213" s="72">
        <v>0.992016870010544</v>
      </c>
      <c r="AF213" s="72">
        <v>0.99131441806601</v>
      </c>
      <c r="AG213" s="72">
        <v>0.993677679020627</v>
      </c>
      <c r="AH213" s="74">
        <v>0.92</v>
      </c>
      <c r="AI213" s="72">
        <v>0.943051606789007</v>
      </c>
      <c r="AJ213" s="72">
        <v>0.960941221301324</v>
      </c>
      <c r="AK213" s="72">
        <v>0.975809418690213</v>
      </c>
      <c r="AL213" s="72">
        <v>0.967727344241661</v>
      </c>
      <c r="AM213" s="71">
        <v>0.99</v>
      </c>
      <c r="AN213" s="76">
        <v>1</v>
      </c>
      <c r="AO213" s="76">
        <v>1</v>
      </c>
      <c r="AP213" s="76">
        <v>1</v>
      </c>
      <c r="AQ213" s="76">
        <v>1</v>
      </c>
      <c r="AR213" s="96">
        <v>0.0719793575775068</v>
      </c>
      <c r="AS213" s="80">
        <v>0.0985915492957746</v>
      </c>
      <c r="AT213" s="80">
        <v>0.102941176470588</v>
      </c>
      <c r="AU213" s="80">
        <v>0.0689655172413793</v>
      </c>
      <c r="AV213" s="80">
        <v>0.0922242314647378</v>
      </c>
      <c r="AW213" s="36"/>
      <c r="AX213" s="34"/>
    </row>
    <row r="214" ht="14.5" spans="1:50">
      <c r="A214" s="32"/>
      <c r="C214" s="91" t="s">
        <v>241</v>
      </c>
      <c r="D214" s="69" t="s">
        <v>13</v>
      </c>
      <c r="E214" s="95" t="s">
        <v>266</v>
      </c>
      <c r="F214" s="95" t="s">
        <v>266</v>
      </c>
      <c r="G214" s="95" t="s">
        <v>266</v>
      </c>
      <c r="H214" s="95" t="s">
        <v>266</v>
      </c>
      <c r="I214" s="71">
        <v>0.9</v>
      </c>
      <c r="J214" s="72">
        <v>0.948051948051948</v>
      </c>
      <c r="K214" s="72">
        <v>0.948051948051948</v>
      </c>
      <c r="L214" s="73">
        <v>0.977011494252874</v>
      </c>
      <c r="M214" s="72">
        <v>0.958041958041958</v>
      </c>
      <c r="N214" s="74">
        <v>0.9</v>
      </c>
      <c r="O214" s="72">
        <v>0.88131445551477</v>
      </c>
      <c r="P214" s="72">
        <v>0.937124005433728</v>
      </c>
      <c r="Q214" s="72">
        <v>0.932776230269266</v>
      </c>
      <c r="R214" s="72">
        <v>0.880828354559565</v>
      </c>
      <c r="S214" s="74">
        <v>0.9</v>
      </c>
      <c r="T214" s="72">
        <v>0.86960321622094</v>
      </c>
      <c r="U214" s="72">
        <v>0.925674364447894</v>
      </c>
      <c r="V214" s="72">
        <v>0.937233054781801</v>
      </c>
      <c r="W214" s="72">
        <v>0.922905194225331</v>
      </c>
      <c r="X214" s="74">
        <v>0.92</v>
      </c>
      <c r="Y214" s="74">
        <v>0.917966101694915</v>
      </c>
      <c r="Z214" s="74">
        <v>0.955611775528979</v>
      </c>
      <c r="AA214" s="74">
        <v>0.983760466886577</v>
      </c>
      <c r="AB214" s="74">
        <v>0.961641195098444</v>
      </c>
      <c r="AC214" s="74">
        <v>0.92</v>
      </c>
      <c r="AD214" s="72">
        <v>0.9944120505345</v>
      </c>
      <c r="AE214" s="72">
        <v>0.995253633936517</v>
      </c>
      <c r="AF214" s="72">
        <v>0.995193751877441</v>
      </c>
      <c r="AG214" s="72">
        <v>0.99621697871249</v>
      </c>
      <c r="AH214" s="74">
        <v>0.92</v>
      </c>
      <c r="AI214" s="72">
        <v>0.930711610486891</v>
      </c>
      <c r="AJ214" s="72">
        <v>0.966217638391918</v>
      </c>
      <c r="AK214" s="72">
        <v>0.984130388162127</v>
      </c>
      <c r="AL214" s="72">
        <v>0.972096259507186</v>
      </c>
      <c r="AM214" s="71">
        <v>0.99</v>
      </c>
      <c r="AN214" s="76">
        <v>1</v>
      </c>
      <c r="AO214" s="76">
        <v>1</v>
      </c>
      <c r="AP214" s="76">
        <v>1</v>
      </c>
      <c r="AQ214" s="76">
        <v>1</v>
      </c>
      <c r="AR214" s="96">
        <v>0.0719793575775068</v>
      </c>
      <c r="AS214" s="80">
        <v>0.0862068965517241</v>
      </c>
      <c r="AT214" s="80">
        <v>0</v>
      </c>
      <c r="AU214" s="80">
        <v>0.152173913043478</v>
      </c>
      <c r="AV214" s="80">
        <v>0.0580645161290323</v>
      </c>
      <c r="AW214" s="36"/>
      <c r="AX214" s="34"/>
    </row>
    <row r="215" s="27" customFormat="1" ht="14.5" spans="1:50">
      <c r="A215" s="32"/>
      <c r="B215" s="29"/>
      <c r="C215" s="91" t="s">
        <v>241</v>
      </c>
      <c r="D215" s="69" t="s">
        <v>13</v>
      </c>
      <c r="E215" s="95" t="s">
        <v>267</v>
      </c>
      <c r="F215" s="95" t="s">
        <v>267</v>
      </c>
      <c r="G215" s="95" t="s">
        <v>267</v>
      </c>
      <c r="H215" s="95" t="s">
        <v>267</v>
      </c>
      <c r="I215" s="71">
        <v>0.9</v>
      </c>
      <c r="J215" s="72">
        <v>0.967391304347826</v>
      </c>
      <c r="K215" s="72">
        <v>0.930693069306931</v>
      </c>
      <c r="L215" s="73">
        <v>0.962264150943396</v>
      </c>
      <c r="M215" s="72">
        <v>0.955106621773288</v>
      </c>
      <c r="N215" s="74">
        <v>0.9</v>
      </c>
      <c r="O215" s="72">
        <v>0.932872371074618</v>
      </c>
      <c r="P215" s="72">
        <v>0.965616045845272</v>
      </c>
      <c r="Q215" s="72">
        <v>0.943777901785714</v>
      </c>
      <c r="R215" s="72">
        <v>0.930577126172579</v>
      </c>
      <c r="S215" s="74">
        <v>0.9</v>
      </c>
      <c r="T215" s="72">
        <v>0.862863728032267</v>
      </c>
      <c r="U215" s="72">
        <v>0.901523148846328</v>
      </c>
      <c r="V215" s="72">
        <v>0.9150390625</v>
      </c>
      <c r="W215" s="72">
        <v>0.888550661613965</v>
      </c>
      <c r="X215" s="74">
        <v>0.92</v>
      </c>
      <c r="Y215" s="74">
        <v>0.899159663865546</v>
      </c>
      <c r="Z215" s="74">
        <v>0.932396660557931</v>
      </c>
      <c r="AA215" s="74">
        <v>0.957007027697396</v>
      </c>
      <c r="AB215" s="74">
        <v>0.940650494941804</v>
      </c>
      <c r="AC215" s="74">
        <v>0.92</v>
      </c>
      <c r="AD215" s="72">
        <v>0.982121159520916</v>
      </c>
      <c r="AE215" s="72">
        <v>0.981381675649192</v>
      </c>
      <c r="AF215" s="72">
        <v>0.978981608907794</v>
      </c>
      <c r="AG215" s="72">
        <v>0.969649346124034</v>
      </c>
      <c r="AH215" s="74">
        <v>0.92</v>
      </c>
      <c r="AI215" s="72">
        <v>0.920577018736528</v>
      </c>
      <c r="AJ215" s="72">
        <v>0.949168687218566</v>
      </c>
      <c r="AK215" s="72">
        <v>0.969184642291996</v>
      </c>
      <c r="AL215" s="72">
        <v>0.957326520072844</v>
      </c>
      <c r="AM215" s="71">
        <v>0.99</v>
      </c>
      <c r="AN215" s="76">
        <v>1</v>
      </c>
      <c r="AO215" s="76">
        <v>1</v>
      </c>
      <c r="AP215" s="76">
        <v>1</v>
      </c>
      <c r="AQ215" s="76">
        <v>1</v>
      </c>
      <c r="AR215" s="96">
        <v>0.0719793575775068</v>
      </c>
      <c r="AS215" s="80">
        <v>0.0326086956521739</v>
      </c>
      <c r="AT215" s="80">
        <v>0.0506329113924051</v>
      </c>
      <c r="AU215" s="80">
        <v>0.0537634408602151</v>
      </c>
      <c r="AV215" s="80">
        <v>0.0477386934673367</v>
      </c>
      <c r="AW215" s="29"/>
      <c r="AX215" s="34"/>
    </row>
    <row r="216" s="27" customFormat="1" ht="14.5" spans="1:50">
      <c r="A216" s="32"/>
      <c r="B216" s="29"/>
      <c r="C216" s="91" t="s">
        <v>241</v>
      </c>
      <c r="D216" s="69" t="s">
        <v>13</v>
      </c>
      <c r="E216" s="95" t="s">
        <v>268</v>
      </c>
      <c r="F216" s="95" t="s">
        <v>268</v>
      </c>
      <c r="G216" s="95" t="s">
        <v>268</v>
      </c>
      <c r="H216" s="95" t="s">
        <v>268</v>
      </c>
      <c r="I216" s="71">
        <v>0.9</v>
      </c>
      <c r="J216" s="72">
        <v>0.942028985507246</v>
      </c>
      <c r="K216" s="72">
        <v>0.942857142857143</v>
      </c>
      <c r="L216" s="73">
        <v>0.927536231884058</v>
      </c>
      <c r="M216" s="72">
        <v>0.951377633711507</v>
      </c>
      <c r="N216" s="74">
        <v>0.9</v>
      </c>
      <c r="O216" s="72">
        <v>0.935547194503517</v>
      </c>
      <c r="P216" s="72">
        <v>0.952593120655855</v>
      </c>
      <c r="Q216" s="72">
        <v>0.951169540720505</v>
      </c>
      <c r="R216" s="72">
        <v>0.940217887187722</v>
      </c>
      <c r="S216" s="74">
        <v>0.9</v>
      </c>
      <c r="T216" s="72">
        <v>0.868477016194994</v>
      </c>
      <c r="U216" s="72">
        <v>0.909641775084655</v>
      </c>
      <c r="V216" s="72">
        <v>0.889533891070514</v>
      </c>
      <c r="W216" s="72">
        <v>0.895782769758572</v>
      </c>
      <c r="X216" s="74">
        <v>0.92</v>
      </c>
      <c r="Y216" s="74">
        <v>0.925432491549016</v>
      </c>
      <c r="Z216" s="74">
        <v>0.934118133002891</v>
      </c>
      <c r="AA216" s="74">
        <v>0.935462842242503</v>
      </c>
      <c r="AB216" s="74">
        <v>0.940643108737643</v>
      </c>
      <c r="AC216" s="74">
        <v>0.92</v>
      </c>
      <c r="AD216" s="72">
        <v>0.999121265377856</v>
      </c>
      <c r="AE216" s="72">
        <v>0.997935779816514</v>
      </c>
      <c r="AF216" s="72">
        <v>0.998633879781421</v>
      </c>
      <c r="AG216" s="72">
        <v>0.996481889378365</v>
      </c>
      <c r="AH216" s="74">
        <v>0.92</v>
      </c>
      <c r="AI216" s="72">
        <v>0.946149703823371</v>
      </c>
      <c r="AJ216" s="72">
        <v>0.951620613825414</v>
      </c>
      <c r="AK216" s="72">
        <v>0.955062625490009</v>
      </c>
      <c r="AL216" s="72">
        <v>0.95853066180935</v>
      </c>
      <c r="AM216" s="71">
        <v>0.99</v>
      </c>
      <c r="AN216" s="76">
        <v>1</v>
      </c>
      <c r="AO216" s="76">
        <v>1</v>
      </c>
      <c r="AP216" s="76">
        <v>1</v>
      </c>
      <c r="AQ216" s="76">
        <v>1</v>
      </c>
      <c r="AR216" s="96">
        <v>0.0719793575775068</v>
      </c>
      <c r="AS216" s="80">
        <v>0.025</v>
      </c>
      <c r="AT216" s="80">
        <v>0.0476190476190476</v>
      </c>
      <c r="AU216" s="80">
        <v>0</v>
      </c>
      <c r="AV216" s="80">
        <v>0.0328767123287671</v>
      </c>
      <c r="AW216" s="29"/>
      <c r="AX216" s="34"/>
    </row>
    <row r="217" s="27" customFormat="1" ht="14.5" spans="1:50">
      <c r="A217" s="32"/>
      <c r="B217" s="29"/>
      <c r="C217" s="91" t="s">
        <v>241</v>
      </c>
      <c r="D217" s="69" t="s">
        <v>13</v>
      </c>
      <c r="E217" s="95" t="s">
        <v>269</v>
      </c>
      <c r="F217" s="95" t="s">
        <v>269</v>
      </c>
      <c r="G217" s="95" t="s">
        <v>269</v>
      </c>
      <c r="H217" s="95" t="s">
        <v>269</v>
      </c>
      <c r="I217" s="71">
        <v>0.9</v>
      </c>
      <c r="J217" s="72">
        <v>0.946428571428571</v>
      </c>
      <c r="K217" s="72">
        <v>0.972972972972973</v>
      </c>
      <c r="L217" s="73">
        <v>0.934959349593496</v>
      </c>
      <c r="M217" s="72">
        <v>0.934803451581975</v>
      </c>
      <c r="N217" s="74">
        <v>0.9</v>
      </c>
      <c r="O217" s="72">
        <v>0.898790003392514</v>
      </c>
      <c r="P217" s="72">
        <v>0.92168815943728</v>
      </c>
      <c r="Q217" s="72">
        <v>0.935012185215272</v>
      </c>
      <c r="R217" s="72">
        <v>0.920894118843084</v>
      </c>
      <c r="S217" s="74">
        <v>0.9</v>
      </c>
      <c r="T217" s="72">
        <v>0.847223792830487</v>
      </c>
      <c r="U217" s="72">
        <v>0.891324736225088</v>
      </c>
      <c r="V217" s="72">
        <v>0.898804688406638</v>
      </c>
      <c r="W217" s="72">
        <v>0.871702333146953</v>
      </c>
      <c r="X217" s="74">
        <v>0.92</v>
      </c>
      <c r="Y217" s="74">
        <v>0.87364722417428</v>
      </c>
      <c r="Z217" s="74">
        <v>0.912191081043766</v>
      </c>
      <c r="AA217" s="74">
        <v>0.930496668685645</v>
      </c>
      <c r="AB217" s="74">
        <v>0.911457830161337</v>
      </c>
      <c r="AC217" s="74">
        <v>0.92</v>
      </c>
      <c r="AD217" s="72">
        <v>0.996902426432628</v>
      </c>
      <c r="AE217" s="72">
        <v>0.991736340657204</v>
      </c>
      <c r="AF217" s="72">
        <v>0.900848835109265</v>
      </c>
      <c r="AG217" s="72">
        <v>0.979845259203234</v>
      </c>
      <c r="AH217" s="74">
        <v>0.92</v>
      </c>
      <c r="AI217" s="72">
        <v>0.909580800802055</v>
      </c>
      <c r="AJ217" s="72">
        <v>0.937575258254642</v>
      </c>
      <c r="AK217" s="72">
        <v>0.954145315990014</v>
      </c>
      <c r="AL217" s="72">
        <v>0.939938788408144</v>
      </c>
      <c r="AM217" s="71">
        <v>0.99</v>
      </c>
      <c r="AN217" s="76">
        <v>1</v>
      </c>
      <c r="AO217" s="76">
        <v>1</v>
      </c>
      <c r="AP217" s="76">
        <v>1</v>
      </c>
      <c r="AQ217" s="76">
        <v>1</v>
      </c>
      <c r="AR217" s="96">
        <v>0.0719793575775068</v>
      </c>
      <c r="AS217" s="80">
        <v>0</v>
      </c>
      <c r="AT217" s="80">
        <v>0</v>
      </c>
      <c r="AU217" s="80">
        <v>0.0579710144927536</v>
      </c>
      <c r="AV217" s="80">
        <v>0.0385259631490787</v>
      </c>
      <c r="AW217" s="29"/>
      <c r="AX217" s="34"/>
    </row>
    <row r="218" s="27" customFormat="1" ht="14.5" spans="1:50">
      <c r="A218" s="32"/>
      <c r="B218" s="29"/>
      <c r="C218" s="91" t="s">
        <v>241</v>
      </c>
      <c r="D218" s="69" t="s">
        <v>13</v>
      </c>
      <c r="E218" s="95" t="s">
        <v>270</v>
      </c>
      <c r="F218" s="95" t="s">
        <v>270</v>
      </c>
      <c r="G218" s="95" t="s">
        <v>270</v>
      </c>
      <c r="H218" s="95" t="s">
        <v>270</v>
      </c>
      <c r="I218" s="71">
        <v>0.9</v>
      </c>
      <c r="J218" s="72">
        <v>0.977777777777778</v>
      </c>
      <c r="K218" s="72">
        <v>0.978947368421053</v>
      </c>
      <c r="L218" s="73">
        <v>0.979591836734694</v>
      </c>
      <c r="M218" s="72">
        <v>0.96140350877193</v>
      </c>
      <c r="N218" s="74">
        <v>0.9</v>
      </c>
      <c r="O218" s="72">
        <v>0.9475304510775</v>
      </c>
      <c r="P218" s="72">
        <v>0.9595797460966</v>
      </c>
      <c r="Q218" s="72">
        <v>0.964659868696745</v>
      </c>
      <c r="R218" s="72">
        <v>0.957839082549349</v>
      </c>
      <c r="S218" s="74">
        <v>0.9</v>
      </c>
      <c r="T218" s="72">
        <v>0.91366617588007</v>
      </c>
      <c r="U218" s="72">
        <v>0.915657376331534</v>
      </c>
      <c r="V218" s="72">
        <v>0.929878474647297</v>
      </c>
      <c r="W218" s="72">
        <v>0.921616749231165</v>
      </c>
      <c r="X218" s="74">
        <v>0.92</v>
      </c>
      <c r="Y218" s="74">
        <v>0.929107981220657</v>
      </c>
      <c r="Z218" s="74">
        <v>0.936829758713137</v>
      </c>
      <c r="AA218" s="74">
        <v>0.955691642651297</v>
      </c>
      <c r="AB218" s="74">
        <v>0.949281006021693</v>
      </c>
      <c r="AC218" s="74">
        <v>0.92</v>
      </c>
      <c r="AD218" s="72">
        <v>0.986995515695067</v>
      </c>
      <c r="AE218" s="72">
        <v>0.990584648493544</v>
      </c>
      <c r="AF218" s="72">
        <v>0.980285690418511</v>
      </c>
      <c r="AG218" s="72">
        <v>0.990047223946868</v>
      </c>
      <c r="AH218" s="74">
        <v>0.92</v>
      </c>
      <c r="AI218" s="72">
        <v>0.948712399913439</v>
      </c>
      <c r="AJ218" s="72">
        <v>0.954297301513024</v>
      </c>
      <c r="AK218" s="72">
        <v>0.969553929667217</v>
      </c>
      <c r="AL218" s="72">
        <v>0.965735185060338</v>
      </c>
      <c r="AM218" s="71">
        <v>0.99</v>
      </c>
      <c r="AN218" s="76">
        <v>1</v>
      </c>
      <c r="AO218" s="76">
        <v>1</v>
      </c>
      <c r="AP218" s="76">
        <v>1</v>
      </c>
      <c r="AQ218" s="76">
        <v>1</v>
      </c>
      <c r="AR218" s="96">
        <v>0.0719793575775068</v>
      </c>
      <c r="AS218" s="80">
        <v>0.1</v>
      </c>
      <c r="AT218" s="80">
        <v>0.0434782608695652</v>
      </c>
      <c r="AU218" s="80">
        <v>0.16</v>
      </c>
      <c r="AV218" s="80">
        <v>0.0728155339805825</v>
      </c>
      <c r="AW218" s="29"/>
      <c r="AX218" s="34"/>
    </row>
    <row r="219" s="27" customFormat="1" ht="14.5" spans="1:50">
      <c r="A219" s="32"/>
      <c r="B219" s="29"/>
      <c r="C219" s="91" t="s">
        <v>241</v>
      </c>
      <c r="D219" s="69" t="s">
        <v>13</v>
      </c>
      <c r="E219" s="95" t="s">
        <v>271</v>
      </c>
      <c r="F219" s="95" t="s">
        <v>271</v>
      </c>
      <c r="G219" s="95" t="s">
        <v>271</v>
      </c>
      <c r="H219" s="95" t="s">
        <v>271</v>
      </c>
      <c r="I219" s="71">
        <v>0.9</v>
      </c>
      <c r="J219" s="72">
        <v>0.944827586206897</v>
      </c>
      <c r="K219" s="72">
        <v>0.915584415584416</v>
      </c>
      <c r="L219" s="73">
        <v>0.957317073170732</v>
      </c>
      <c r="M219" s="72">
        <v>0.933812949640288</v>
      </c>
      <c r="N219" s="74">
        <v>0.9</v>
      </c>
      <c r="O219" s="72">
        <v>0.892014016967908</v>
      </c>
      <c r="P219" s="72">
        <v>0.948977505112474</v>
      </c>
      <c r="Q219" s="72">
        <v>0.918852147472444</v>
      </c>
      <c r="R219" s="72">
        <v>0.905914695443448</v>
      </c>
      <c r="S219" s="74">
        <v>0.9</v>
      </c>
      <c r="T219" s="72">
        <v>0.856326078937661</v>
      </c>
      <c r="U219" s="72">
        <v>0.903885480572597</v>
      </c>
      <c r="V219" s="72">
        <v>0.916001520334474</v>
      </c>
      <c r="W219" s="72">
        <v>0.883962825431344</v>
      </c>
      <c r="X219" s="74">
        <v>0.92</v>
      </c>
      <c r="Y219" s="74">
        <v>0.90031503150315</v>
      </c>
      <c r="Z219" s="74">
        <v>0.930535615681944</v>
      </c>
      <c r="AA219" s="74">
        <v>0.938740713676775</v>
      </c>
      <c r="AB219" s="74">
        <v>0.923933209647495</v>
      </c>
      <c r="AC219" s="74">
        <v>0.92</v>
      </c>
      <c r="AD219" s="72">
        <v>0.997142857142857</v>
      </c>
      <c r="AE219" s="72">
        <v>0.993954758190328</v>
      </c>
      <c r="AF219" s="72">
        <v>0.967590705258867</v>
      </c>
      <c r="AG219" s="72">
        <v>0.937431463517503</v>
      </c>
      <c r="AH219" s="74">
        <v>0.92</v>
      </c>
      <c r="AI219" s="72">
        <v>0.930772349483073</v>
      </c>
      <c r="AJ219" s="72">
        <v>0.953442692573127</v>
      </c>
      <c r="AK219" s="72">
        <v>0.961411187019641</v>
      </c>
      <c r="AL219" s="72">
        <v>0.951440282363657</v>
      </c>
      <c r="AM219" s="71">
        <v>0.99</v>
      </c>
      <c r="AN219" s="76">
        <v>1</v>
      </c>
      <c r="AO219" s="76">
        <v>1</v>
      </c>
      <c r="AP219" s="76">
        <v>1</v>
      </c>
      <c r="AQ219" s="76">
        <v>1</v>
      </c>
      <c r="AR219" s="96">
        <v>0.0719793575775068</v>
      </c>
      <c r="AS219" s="80">
        <v>0.0416666666666667</v>
      </c>
      <c r="AT219" s="80">
        <v>0.0377358490566038</v>
      </c>
      <c r="AU219" s="80">
        <v>0.0454545454545455</v>
      </c>
      <c r="AV219" s="80">
        <v>0.0471698113207547</v>
      </c>
      <c r="AW219" s="29"/>
      <c r="AX219" s="34"/>
    </row>
    <row r="220" s="27" customFormat="1" ht="14.5" spans="1:50">
      <c r="A220" s="32"/>
      <c r="B220" s="29"/>
      <c r="C220" s="91" t="s">
        <v>241</v>
      </c>
      <c r="D220" s="69" t="s">
        <v>13</v>
      </c>
      <c r="E220" s="95" t="s">
        <v>272</v>
      </c>
      <c r="F220" s="95" t="s">
        <v>272</v>
      </c>
      <c r="G220" s="95" t="s">
        <v>272</v>
      </c>
      <c r="H220" s="95" t="s">
        <v>272</v>
      </c>
      <c r="I220" s="71">
        <v>0.9</v>
      </c>
      <c r="J220" s="72">
        <v>0.941176470588235</v>
      </c>
      <c r="K220" s="72">
        <v>0.893805309734513</v>
      </c>
      <c r="L220" s="73">
        <v>0.915254237288136</v>
      </c>
      <c r="M220" s="72">
        <v>0.933333333333333</v>
      </c>
      <c r="N220" s="74">
        <v>0.9</v>
      </c>
      <c r="O220" s="72">
        <v>0.932064813438383</v>
      </c>
      <c r="P220" s="72">
        <v>0.958928864793823</v>
      </c>
      <c r="Q220" s="72">
        <v>0.960737299565413</v>
      </c>
      <c r="R220" s="72">
        <v>0.949319200706631</v>
      </c>
      <c r="S220" s="74">
        <v>0.9</v>
      </c>
      <c r="T220" s="72">
        <v>0.858332094544373</v>
      </c>
      <c r="U220" s="72">
        <v>0.902907836372597</v>
      </c>
      <c r="V220" s="72">
        <v>0.917578300614416</v>
      </c>
      <c r="W220" s="72">
        <v>0.900088328916888</v>
      </c>
      <c r="X220" s="74">
        <v>0.92</v>
      </c>
      <c r="Y220" s="74">
        <v>0.904022301871764</v>
      </c>
      <c r="Z220" s="74">
        <v>0.930093776641091</v>
      </c>
      <c r="AA220" s="74">
        <v>0.94791198922317</v>
      </c>
      <c r="AB220" s="74">
        <v>0.936246088717099</v>
      </c>
      <c r="AC220" s="74">
        <v>0.92</v>
      </c>
      <c r="AD220" s="72">
        <v>0.991242702251877</v>
      </c>
      <c r="AE220" s="72">
        <v>0.993644532106071</v>
      </c>
      <c r="AF220" s="72">
        <v>0.970082749840866</v>
      </c>
      <c r="AG220" s="72">
        <v>0.958400841363236</v>
      </c>
      <c r="AH220" s="74">
        <v>0.92</v>
      </c>
      <c r="AI220" s="72">
        <v>0.92647434260914</v>
      </c>
      <c r="AJ220" s="72">
        <v>0.952606195511037</v>
      </c>
      <c r="AK220" s="72">
        <v>0.966307277628032</v>
      </c>
      <c r="AL220" s="72">
        <v>0.954890269711348</v>
      </c>
      <c r="AM220" s="71">
        <v>0.99</v>
      </c>
      <c r="AN220" s="76">
        <v>1</v>
      </c>
      <c r="AO220" s="76">
        <v>1</v>
      </c>
      <c r="AP220" s="76">
        <v>1</v>
      </c>
      <c r="AQ220" s="76">
        <v>1</v>
      </c>
      <c r="AR220" s="96">
        <v>0.0719793575775068</v>
      </c>
      <c r="AS220" s="80">
        <v>0.114754098360656</v>
      </c>
      <c r="AT220" s="80">
        <v>0.0169491525423729</v>
      </c>
      <c r="AU220" s="80">
        <v>0.0461538461538462</v>
      </c>
      <c r="AV220" s="80">
        <v>0.0498220640569395</v>
      </c>
      <c r="AW220" s="29"/>
      <c r="AX220" s="34"/>
    </row>
    <row r="221" s="27" customFormat="1" ht="14.5" spans="1:50">
      <c r="A221" s="32"/>
      <c r="B221" s="29"/>
      <c r="C221" s="91" t="s">
        <v>241</v>
      </c>
      <c r="D221" s="69" t="s">
        <v>13</v>
      </c>
      <c r="E221" s="95" t="s">
        <v>273</v>
      </c>
      <c r="F221" s="95" t="s">
        <v>273</v>
      </c>
      <c r="G221" s="95" t="s">
        <v>273</v>
      </c>
      <c r="H221" s="95" t="s">
        <v>273</v>
      </c>
      <c r="I221" s="71">
        <v>0.9</v>
      </c>
      <c r="J221" s="72">
        <v>0.953846153846154</v>
      </c>
      <c r="K221" s="72">
        <v>0.957746478873239</v>
      </c>
      <c r="L221" s="73">
        <v>1</v>
      </c>
      <c r="M221" s="72">
        <v>0.973058637083994</v>
      </c>
      <c r="N221" s="74">
        <v>0.9</v>
      </c>
      <c r="O221" s="72">
        <v>0.969249269884899</v>
      </c>
      <c r="P221" s="72">
        <v>0.979405478919759</v>
      </c>
      <c r="Q221" s="72">
        <v>0.980813069908815</v>
      </c>
      <c r="R221" s="72">
        <v>0.958340067884274</v>
      </c>
      <c r="S221" s="74">
        <v>0.9</v>
      </c>
      <c r="T221" s="72">
        <v>0.897096718776842</v>
      </c>
      <c r="U221" s="72">
        <v>0.938605012628716</v>
      </c>
      <c r="V221" s="72">
        <v>0.944718844984802</v>
      </c>
      <c r="W221" s="72">
        <v>0.926640536609019</v>
      </c>
      <c r="X221" s="74">
        <v>0.92</v>
      </c>
      <c r="Y221" s="74">
        <v>0.912768942937325</v>
      </c>
      <c r="Z221" s="74">
        <v>0.920126353790614</v>
      </c>
      <c r="AA221" s="74">
        <v>0.944997380827658</v>
      </c>
      <c r="AB221" s="74">
        <v>0.935866473461064</v>
      </c>
      <c r="AC221" s="74">
        <v>0.92</v>
      </c>
      <c r="AD221" s="72">
        <v>0.98974358974359</v>
      </c>
      <c r="AE221" s="72">
        <v>0.991211550533584</v>
      </c>
      <c r="AF221" s="72">
        <v>0.987228607918263</v>
      </c>
      <c r="AG221" s="72">
        <v>0.987554449284381</v>
      </c>
      <c r="AH221" s="74">
        <v>0.92</v>
      </c>
      <c r="AI221" s="72">
        <v>0.941281314981681</v>
      </c>
      <c r="AJ221" s="72">
        <v>0.949478079331942</v>
      </c>
      <c r="AK221" s="72">
        <v>0.966637304558467</v>
      </c>
      <c r="AL221" s="72">
        <v>0.95769128816255</v>
      </c>
      <c r="AM221" s="71">
        <v>0.99</v>
      </c>
      <c r="AN221" s="76">
        <v>1</v>
      </c>
      <c r="AO221" s="76">
        <v>1</v>
      </c>
      <c r="AP221" s="76">
        <v>1</v>
      </c>
      <c r="AQ221" s="76">
        <v>1</v>
      </c>
      <c r="AR221" s="96">
        <v>0.0719793575775068</v>
      </c>
      <c r="AS221" s="80">
        <v>0</v>
      </c>
      <c r="AT221" s="80">
        <v>0.0416666666666667</v>
      </c>
      <c r="AU221" s="80">
        <v>0</v>
      </c>
      <c r="AV221" s="80">
        <v>0.0416666666666667</v>
      </c>
      <c r="AW221" s="29"/>
      <c r="AX221" s="34"/>
    </row>
    <row r="222" s="27" customFormat="1" ht="14.5" spans="1:50">
      <c r="A222" s="32"/>
      <c r="B222" s="29"/>
      <c r="C222" s="91" t="s">
        <v>241</v>
      </c>
      <c r="D222" s="69" t="s">
        <v>13</v>
      </c>
      <c r="E222" s="95" t="s">
        <v>274</v>
      </c>
      <c r="F222" s="95" t="s">
        <v>274</v>
      </c>
      <c r="G222" s="95" t="s">
        <v>274</v>
      </c>
      <c r="H222" s="95" t="s">
        <v>274</v>
      </c>
      <c r="I222" s="71">
        <v>0.9</v>
      </c>
      <c r="J222" s="72">
        <v>0.974025974025974</v>
      </c>
      <c r="K222" s="72">
        <v>0.955056179775281</v>
      </c>
      <c r="L222" s="73">
        <v>0.92</v>
      </c>
      <c r="M222" s="72">
        <v>0.966789667896679</v>
      </c>
      <c r="N222" s="74">
        <v>0.9</v>
      </c>
      <c r="O222" s="72">
        <v>0.915162454873646</v>
      </c>
      <c r="P222" s="72">
        <v>0.925069637883008</v>
      </c>
      <c r="Q222" s="72">
        <v>0.904427714686742</v>
      </c>
      <c r="R222" s="72">
        <v>0.858028895619285</v>
      </c>
      <c r="S222" s="74">
        <v>0.9</v>
      </c>
      <c r="T222" s="72">
        <v>0.701392470345539</v>
      </c>
      <c r="U222" s="72">
        <v>0.832172701949861</v>
      </c>
      <c r="V222" s="72">
        <v>0.864233762919485</v>
      </c>
      <c r="W222" s="72">
        <v>0.828423203443129</v>
      </c>
      <c r="X222" s="74">
        <v>0.92</v>
      </c>
      <c r="Y222" s="74">
        <v>0.779315115876859</v>
      </c>
      <c r="Z222" s="74">
        <v>0.915785636164783</v>
      </c>
      <c r="AA222" s="74">
        <v>0.93676603432701</v>
      </c>
      <c r="AB222" s="74">
        <v>0.917977076211542</v>
      </c>
      <c r="AC222" s="74">
        <v>0.92</v>
      </c>
      <c r="AD222" s="72">
        <v>0.873925501432665</v>
      </c>
      <c r="AE222" s="72">
        <v>0.997269624573379</v>
      </c>
      <c r="AF222" s="72">
        <v>0.986263736263736</v>
      </c>
      <c r="AG222" s="72">
        <v>0.971387468030691</v>
      </c>
      <c r="AH222" s="74">
        <v>0.92</v>
      </c>
      <c r="AI222" s="72">
        <v>0.829295316885803</v>
      </c>
      <c r="AJ222" s="72">
        <v>0.940178360034725</v>
      </c>
      <c r="AK222" s="72">
        <v>0.955286376551518</v>
      </c>
      <c r="AL222" s="72">
        <v>0.939717237720724</v>
      </c>
      <c r="AM222" s="71">
        <v>0.99</v>
      </c>
      <c r="AN222" s="76">
        <v>1</v>
      </c>
      <c r="AO222" s="76">
        <v>1</v>
      </c>
      <c r="AP222" s="76">
        <v>1</v>
      </c>
      <c r="AQ222" s="76">
        <v>1</v>
      </c>
      <c r="AR222" s="96">
        <v>0.0719793575775068</v>
      </c>
      <c r="AS222" s="80">
        <v>0.08</v>
      </c>
      <c r="AT222" s="80">
        <v>0</v>
      </c>
      <c r="AU222" s="80">
        <v>0.0476190476190476</v>
      </c>
      <c r="AV222" s="80">
        <v>0.050531914893617</v>
      </c>
      <c r="AW222" s="29"/>
      <c r="AX222" s="34"/>
    </row>
    <row r="223" ht="14.5" spans="1:50">
      <c r="A223" s="32"/>
      <c r="C223" s="91" t="s">
        <v>241</v>
      </c>
      <c r="D223" s="69" t="s">
        <v>13</v>
      </c>
      <c r="E223" s="95" t="s">
        <v>275</v>
      </c>
      <c r="F223" s="95" t="s">
        <v>275</v>
      </c>
      <c r="G223" s="95" t="s">
        <v>275</v>
      </c>
      <c r="H223" s="95" t="s">
        <v>275</v>
      </c>
      <c r="I223" s="71">
        <v>0.9</v>
      </c>
      <c r="J223" s="72">
        <v>0.909090909090909</v>
      </c>
      <c r="K223" s="72">
        <v>0.926315789473684</v>
      </c>
      <c r="L223" s="73">
        <v>0.891304347826087</v>
      </c>
      <c r="M223" s="72">
        <v>0.914043583535109</v>
      </c>
      <c r="N223" s="74">
        <v>0.9</v>
      </c>
      <c r="O223" s="72">
        <v>0.970193480913369</v>
      </c>
      <c r="P223" s="72">
        <v>0.966266866566717</v>
      </c>
      <c r="Q223" s="72">
        <v>0.96203007518797</v>
      </c>
      <c r="R223" s="72">
        <v>0.963605129639247</v>
      </c>
      <c r="S223" s="74">
        <v>0.9</v>
      </c>
      <c r="T223" s="72">
        <v>0.932717448143629</v>
      </c>
      <c r="U223" s="72">
        <v>0.945839580209895</v>
      </c>
      <c r="V223" s="72">
        <v>0.943984962406015</v>
      </c>
      <c r="W223" s="72">
        <v>0.942131756621789</v>
      </c>
      <c r="X223" s="74">
        <v>0.92</v>
      </c>
      <c r="Y223" s="74">
        <v>0.92195004803074</v>
      </c>
      <c r="Z223" s="74">
        <v>0.943450408659156</v>
      </c>
      <c r="AA223" s="74">
        <v>0.956510745891277</v>
      </c>
      <c r="AB223" s="74">
        <v>0.945805942676834</v>
      </c>
      <c r="AC223" s="74">
        <v>0.92</v>
      </c>
      <c r="AD223" s="72">
        <v>0.997407087294728</v>
      </c>
      <c r="AE223" s="72">
        <v>0.961125319693095</v>
      </c>
      <c r="AF223" s="72">
        <v>0.995235826584088</v>
      </c>
      <c r="AG223" s="72">
        <v>0.992692842072763</v>
      </c>
      <c r="AH223" s="74">
        <v>0.92</v>
      </c>
      <c r="AI223" s="72">
        <v>0.951524944455665</v>
      </c>
      <c r="AJ223" s="72">
        <v>0.962809079854074</v>
      </c>
      <c r="AK223" s="72">
        <v>0.972617507546356</v>
      </c>
      <c r="AL223" s="72">
        <v>0.967063149770736</v>
      </c>
      <c r="AM223" s="71">
        <v>0.99</v>
      </c>
      <c r="AN223" s="76">
        <v>1</v>
      </c>
      <c r="AO223" s="76">
        <v>1</v>
      </c>
      <c r="AP223" s="76">
        <v>1</v>
      </c>
      <c r="AQ223" s="76">
        <v>1</v>
      </c>
      <c r="AR223" s="96">
        <v>0.0719793575775068</v>
      </c>
      <c r="AS223" s="80">
        <v>0.0434782608695652</v>
      </c>
      <c r="AT223" s="80">
        <v>0.1</v>
      </c>
      <c r="AU223" s="80">
        <v>0.0769230769230769</v>
      </c>
      <c r="AV223" s="80">
        <v>0.0538461538461538</v>
      </c>
      <c r="AW223" s="36"/>
      <c r="AX223" s="34"/>
    </row>
    <row r="224" ht="14.5" spans="1:50">
      <c r="A224" s="32"/>
      <c r="C224" s="91" t="s">
        <v>241</v>
      </c>
      <c r="D224" s="69" t="s">
        <v>13</v>
      </c>
      <c r="E224" s="95" t="s">
        <v>276</v>
      </c>
      <c r="F224" s="95" t="s">
        <v>276</v>
      </c>
      <c r="G224" s="95" t="s">
        <v>276</v>
      </c>
      <c r="H224" s="95" t="s">
        <v>276</v>
      </c>
      <c r="I224" s="71">
        <v>0.9</v>
      </c>
      <c r="J224" s="72">
        <v>0.901098901098901</v>
      </c>
      <c r="K224" s="72">
        <v>0.925531914893617</v>
      </c>
      <c r="L224" s="73">
        <v>0.938775510204082</v>
      </c>
      <c r="M224" s="72">
        <v>0.929256594724221</v>
      </c>
      <c r="N224" s="74">
        <v>0.9</v>
      </c>
      <c r="O224" s="72">
        <v>0.946833681280445</v>
      </c>
      <c r="P224" s="72">
        <v>0.954720331459012</v>
      </c>
      <c r="Q224" s="72">
        <v>0.931914251207729</v>
      </c>
      <c r="R224" s="72">
        <v>0.948910411622276</v>
      </c>
      <c r="S224" s="74">
        <v>0.9</v>
      </c>
      <c r="T224" s="72">
        <v>0.901322199025748</v>
      </c>
      <c r="U224" s="72">
        <v>0.919354838709677</v>
      </c>
      <c r="V224" s="72">
        <v>0.918478260869565</v>
      </c>
      <c r="W224" s="72">
        <v>0.904665052461663</v>
      </c>
      <c r="X224" s="74">
        <v>0.92</v>
      </c>
      <c r="Y224" s="74">
        <v>0.920435353724901</v>
      </c>
      <c r="Z224" s="74">
        <v>0.936971830985916</v>
      </c>
      <c r="AA224" s="74">
        <v>0.936806656101426</v>
      </c>
      <c r="AB224" s="74">
        <v>0.937929128669515</v>
      </c>
      <c r="AC224" s="74">
        <v>0.92</v>
      </c>
      <c r="AD224" s="72">
        <v>0.980519480519481</v>
      </c>
      <c r="AE224" s="72">
        <v>0.968652037617555</v>
      </c>
      <c r="AF224" s="72">
        <v>0.992230854605993</v>
      </c>
      <c r="AG224" s="72">
        <v>0.985060690943044</v>
      </c>
      <c r="AH224" s="74">
        <v>0.92</v>
      </c>
      <c r="AI224" s="72">
        <v>0.944542112833626</v>
      </c>
      <c r="AJ224" s="72">
        <v>0.958279742765273</v>
      </c>
      <c r="AK224" s="72">
        <v>0.963762528912876</v>
      </c>
      <c r="AL224" s="72">
        <v>0.96147741763837</v>
      </c>
      <c r="AM224" s="71">
        <v>0.99</v>
      </c>
      <c r="AN224" s="76">
        <v>1</v>
      </c>
      <c r="AO224" s="76">
        <v>1</v>
      </c>
      <c r="AP224" s="76">
        <v>1</v>
      </c>
      <c r="AQ224" s="76">
        <v>1</v>
      </c>
      <c r="AR224" s="96">
        <v>0.0719793575775068</v>
      </c>
      <c r="AS224" s="80">
        <v>0.0344827586206897</v>
      </c>
      <c r="AT224" s="80">
        <v>0.0625</v>
      </c>
      <c r="AU224" s="80">
        <v>0.0285714285714286</v>
      </c>
      <c r="AV224" s="80">
        <v>0.0348101265822785</v>
      </c>
      <c r="AW224" s="36"/>
      <c r="AX224" s="34"/>
    </row>
    <row r="225" ht="14.5" spans="1:50">
      <c r="A225" s="32"/>
      <c r="C225" s="91" t="s">
        <v>241</v>
      </c>
      <c r="D225" s="69" t="s">
        <v>13</v>
      </c>
      <c r="E225" s="95" t="s">
        <v>277</v>
      </c>
      <c r="F225" s="95" t="s">
        <v>277</v>
      </c>
      <c r="G225" s="95" t="s">
        <v>277</v>
      </c>
      <c r="H225" s="95" t="s">
        <v>277</v>
      </c>
      <c r="I225" s="71">
        <v>0.9</v>
      </c>
      <c r="J225" s="72">
        <v>0.920634920634921</v>
      </c>
      <c r="K225" s="72">
        <v>0.955882352941177</v>
      </c>
      <c r="L225" s="73">
        <v>0.959183673469388</v>
      </c>
      <c r="M225" s="72">
        <v>0.961726384364821</v>
      </c>
      <c r="N225" s="74">
        <v>0.9</v>
      </c>
      <c r="O225" s="72">
        <v>0.926837129351096</v>
      </c>
      <c r="P225" s="72">
        <v>0.944989700714892</v>
      </c>
      <c r="Q225" s="72">
        <v>0.950674679668897</v>
      </c>
      <c r="R225" s="72">
        <v>0.913582384957942</v>
      </c>
      <c r="S225" s="74">
        <v>0.9</v>
      </c>
      <c r="T225" s="72">
        <v>0.887730984099699</v>
      </c>
      <c r="U225" s="72">
        <v>0.90754877014419</v>
      </c>
      <c r="V225" s="72">
        <v>0.915183127338701</v>
      </c>
      <c r="W225" s="72">
        <v>0.898206333498268</v>
      </c>
      <c r="X225" s="74">
        <v>0.92</v>
      </c>
      <c r="Y225" s="74">
        <v>0.909115499053286</v>
      </c>
      <c r="Z225" s="74">
        <v>0.929314202974858</v>
      </c>
      <c r="AA225" s="74">
        <v>0.946188961128787</v>
      </c>
      <c r="AB225" s="74">
        <v>0.93342295823276</v>
      </c>
      <c r="AC225" s="74">
        <v>0.92</v>
      </c>
      <c r="AD225" s="72">
        <v>0.998500749625187</v>
      </c>
      <c r="AE225" s="72">
        <v>0.9979633401222</v>
      </c>
      <c r="AF225" s="72">
        <v>0.997933884297521</v>
      </c>
      <c r="AG225" s="72">
        <v>0.995979899497487</v>
      </c>
      <c r="AH225" s="74">
        <v>0.92</v>
      </c>
      <c r="AI225" s="72">
        <v>0.934626436781609</v>
      </c>
      <c r="AJ225" s="72">
        <v>0.95003785011355</v>
      </c>
      <c r="AK225" s="72">
        <v>0.960812410441717</v>
      </c>
      <c r="AL225" s="72">
        <v>0.953578019274144</v>
      </c>
      <c r="AM225" s="71">
        <v>0.99</v>
      </c>
      <c r="AN225" s="76">
        <v>1</v>
      </c>
      <c r="AO225" s="76">
        <v>1</v>
      </c>
      <c r="AP225" s="76">
        <v>1</v>
      </c>
      <c r="AQ225" s="76">
        <v>1</v>
      </c>
      <c r="AR225" s="96">
        <v>0.0719793575775068</v>
      </c>
      <c r="AS225" s="80">
        <v>0.0232558139534884</v>
      </c>
      <c r="AT225" s="80">
        <v>0.0454545454545455</v>
      </c>
      <c r="AU225" s="80">
        <v>0.0208333333333333</v>
      </c>
      <c r="AV225" s="80">
        <v>0.0325814536340852</v>
      </c>
      <c r="AW225" s="36"/>
      <c r="AX225" s="34"/>
    </row>
    <row r="226" ht="14.5" spans="1:50">
      <c r="A226" s="32"/>
      <c r="C226" s="91" t="s">
        <v>241</v>
      </c>
      <c r="D226" s="69" t="s">
        <v>13</v>
      </c>
      <c r="E226" s="95" t="s">
        <v>278</v>
      </c>
      <c r="F226" s="95" t="s">
        <v>278</v>
      </c>
      <c r="G226" s="95" t="s">
        <v>278</v>
      </c>
      <c r="H226" s="95" t="s">
        <v>278</v>
      </c>
      <c r="I226" s="71">
        <v>0.9</v>
      </c>
      <c r="J226" s="72">
        <v>1</v>
      </c>
      <c r="K226" s="72">
        <v>1</v>
      </c>
      <c r="L226" s="73">
        <v>1</v>
      </c>
      <c r="M226" s="72">
        <v>0.987730061349693</v>
      </c>
      <c r="N226" s="74">
        <v>0.9</v>
      </c>
      <c r="O226" s="72">
        <v>0.987795575896262</v>
      </c>
      <c r="P226" s="72">
        <v>0.988888888888889</v>
      </c>
      <c r="Q226" s="72">
        <v>0.98334655035686</v>
      </c>
      <c r="R226" s="72">
        <v>0.981431005110733</v>
      </c>
      <c r="S226" s="74">
        <v>0.9</v>
      </c>
      <c r="T226" s="72">
        <v>0.93440122044241</v>
      </c>
      <c r="U226" s="72">
        <v>0.946825396825397</v>
      </c>
      <c r="V226" s="72">
        <v>0.94131641554322</v>
      </c>
      <c r="W226" s="72">
        <v>0.936371379897785</v>
      </c>
      <c r="X226" s="74">
        <v>0.92</v>
      </c>
      <c r="Y226" s="74">
        <v>0.962013295346629</v>
      </c>
      <c r="Z226" s="74">
        <v>0.946894689468947</v>
      </c>
      <c r="AA226" s="74">
        <v>0.970528455284553</v>
      </c>
      <c r="AB226" s="74">
        <v>0.954787523095316</v>
      </c>
      <c r="AC226" s="74">
        <v>0.92</v>
      </c>
      <c r="AD226" s="72">
        <v>1</v>
      </c>
      <c r="AE226" s="72">
        <v>1</v>
      </c>
      <c r="AF226" s="72">
        <v>1</v>
      </c>
      <c r="AG226" s="72">
        <v>0.98731884057971</v>
      </c>
      <c r="AH226" s="74">
        <v>0.92</v>
      </c>
      <c r="AI226" s="72">
        <v>0.971670190274841</v>
      </c>
      <c r="AJ226" s="72">
        <v>0.968381112984823</v>
      </c>
      <c r="AK226" s="72">
        <v>0.975055679287305</v>
      </c>
      <c r="AL226" s="72">
        <v>0.972114787757246</v>
      </c>
      <c r="AM226" s="71">
        <v>0.99</v>
      </c>
      <c r="AN226" s="76">
        <v>1</v>
      </c>
      <c r="AO226" s="76">
        <v>1</v>
      </c>
      <c r="AP226" s="76">
        <v>1</v>
      </c>
      <c r="AQ226" s="76">
        <v>1</v>
      </c>
      <c r="AR226" s="96">
        <v>0.0719793575775068</v>
      </c>
      <c r="AS226" s="80">
        <v>0.333333333333333</v>
      </c>
      <c r="AT226" s="80">
        <v>0</v>
      </c>
      <c r="AU226" s="80">
        <v>0.142857142857143</v>
      </c>
      <c r="AV226" s="80">
        <v>0.0754716981132075</v>
      </c>
      <c r="AW226" s="36"/>
      <c r="AX226" s="34"/>
    </row>
    <row r="227" ht="14.5" spans="1:50">
      <c r="A227" s="32"/>
      <c r="C227" s="91" t="s">
        <v>241</v>
      </c>
      <c r="D227" s="69" t="s">
        <v>13</v>
      </c>
      <c r="E227" s="95" t="s">
        <v>279</v>
      </c>
      <c r="F227" s="95" t="s">
        <v>279</v>
      </c>
      <c r="G227" s="95" t="s">
        <v>279</v>
      </c>
      <c r="H227" s="95" t="s">
        <v>279</v>
      </c>
      <c r="I227" s="71">
        <v>0.9</v>
      </c>
      <c r="J227" s="72">
        <v>0.974025974025974</v>
      </c>
      <c r="K227" s="72">
        <v>0.930232558139535</v>
      </c>
      <c r="L227" s="73">
        <v>0.976470588235294</v>
      </c>
      <c r="M227" s="72">
        <v>0.9609375</v>
      </c>
      <c r="N227" s="74">
        <v>0.9</v>
      </c>
      <c r="O227" s="72">
        <v>0.909728718428438</v>
      </c>
      <c r="P227" s="72">
        <v>0.914759139050222</v>
      </c>
      <c r="Q227" s="72">
        <v>0.907886334610473</v>
      </c>
      <c r="R227" s="72">
        <v>0.878900628312682</v>
      </c>
      <c r="S227" s="74">
        <v>0.9</v>
      </c>
      <c r="T227" s="72">
        <v>0.808076083567197</v>
      </c>
      <c r="U227" s="72">
        <v>0.872736590365562</v>
      </c>
      <c r="V227" s="72">
        <v>0.86845466155811</v>
      </c>
      <c r="W227" s="72">
        <v>0.838744778686511</v>
      </c>
      <c r="X227" s="74">
        <v>0.92</v>
      </c>
      <c r="Y227" s="74">
        <v>0.864733230019925</v>
      </c>
      <c r="Z227" s="74">
        <v>0.946734599351552</v>
      </c>
      <c r="AA227" s="74">
        <v>0.951494365507104</v>
      </c>
      <c r="AB227" s="74">
        <v>0.947954815082272</v>
      </c>
      <c r="AC227" s="74">
        <v>0.92</v>
      </c>
      <c r="AD227" s="72">
        <v>0.988198367859385</v>
      </c>
      <c r="AE227" s="72">
        <v>0.997961104140527</v>
      </c>
      <c r="AF227" s="72">
        <v>0.997662381031892</v>
      </c>
      <c r="AG227" s="72">
        <v>0.993707723769073</v>
      </c>
      <c r="AH227" s="74">
        <v>0.92</v>
      </c>
      <c r="AI227" s="72">
        <v>0.89114526161727</v>
      </c>
      <c r="AJ227" s="72">
        <v>0.95960687960688</v>
      </c>
      <c r="AK227" s="72">
        <v>0.967813647786584</v>
      </c>
      <c r="AL227" s="72">
        <v>0.963085566299785</v>
      </c>
      <c r="AM227" s="71">
        <v>0.99</v>
      </c>
      <c r="AN227" s="76">
        <v>1</v>
      </c>
      <c r="AO227" s="76">
        <v>1</v>
      </c>
      <c r="AP227" s="76">
        <v>1</v>
      </c>
      <c r="AQ227" s="76">
        <v>1</v>
      </c>
      <c r="AR227" s="96">
        <v>0.0719793575775068</v>
      </c>
      <c r="AS227" s="80">
        <v>0</v>
      </c>
      <c r="AT227" s="80">
        <v>0.037037037037037</v>
      </c>
      <c r="AU227" s="80">
        <v>0.03125</v>
      </c>
      <c r="AV227" s="80">
        <v>0.0366666666666667</v>
      </c>
      <c r="AW227" s="36"/>
      <c r="AX227" s="34"/>
    </row>
    <row r="228" ht="14.5" spans="1:50">
      <c r="A228" s="32"/>
      <c r="C228" s="91" t="s">
        <v>241</v>
      </c>
      <c r="D228" s="69" t="s">
        <v>13</v>
      </c>
      <c r="E228" s="95" t="s">
        <v>280</v>
      </c>
      <c r="F228" s="95" t="s">
        <v>280</v>
      </c>
      <c r="G228" s="95" t="s">
        <v>280</v>
      </c>
      <c r="H228" s="95" t="s">
        <v>280</v>
      </c>
      <c r="I228" s="71">
        <v>0.9</v>
      </c>
      <c r="J228" s="72">
        <v>0</v>
      </c>
      <c r="K228" s="72">
        <v>0</v>
      </c>
      <c r="L228" s="73">
        <v>0</v>
      </c>
      <c r="M228" s="72">
        <v>0</v>
      </c>
      <c r="N228" s="74">
        <v>0.9</v>
      </c>
      <c r="O228" s="72">
        <v>0</v>
      </c>
      <c r="P228" s="72">
        <v>0</v>
      </c>
      <c r="Q228" s="72">
        <v>0</v>
      </c>
      <c r="R228" s="72">
        <v>0</v>
      </c>
      <c r="S228" s="74">
        <v>0.9</v>
      </c>
      <c r="T228" s="72">
        <v>0</v>
      </c>
      <c r="U228" s="72">
        <v>0</v>
      </c>
      <c r="V228" s="72">
        <v>0</v>
      </c>
      <c r="W228" s="72">
        <v>0</v>
      </c>
      <c r="X228" s="74">
        <v>0.92</v>
      </c>
      <c r="Y228" s="74">
        <v>0</v>
      </c>
      <c r="Z228" s="74">
        <v>0</v>
      </c>
      <c r="AA228" s="74">
        <v>0</v>
      </c>
      <c r="AB228" s="74">
        <v>0</v>
      </c>
      <c r="AC228" s="74">
        <v>0.92</v>
      </c>
      <c r="AD228" s="72">
        <v>1</v>
      </c>
      <c r="AE228" s="72">
        <v>0.992818671454219</v>
      </c>
      <c r="AF228" s="72">
        <v>0.992895204262877</v>
      </c>
      <c r="AG228" s="72">
        <v>0.991242702251877</v>
      </c>
      <c r="AH228" s="74">
        <v>0.92</v>
      </c>
      <c r="AI228" s="72">
        <v>0</v>
      </c>
      <c r="AJ228" s="72">
        <v>0</v>
      </c>
      <c r="AK228" s="72">
        <v>0</v>
      </c>
      <c r="AL228" s="72">
        <v>0</v>
      </c>
      <c r="AM228" s="71">
        <v>0.99</v>
      </c>
      <c r="AN228" s="76">
        <v>0</v>
      </c>
      <c r="AO228" s="76">
        <v>0</v>
      </c>
      <c r="AP228" s="76">
        <v>0</v>
      </c>
      <c r="AQ228" s="76">
        <v>0</v>
      </c>
      <c r="AR228" s="96">
        <v>0.0719793575775068</v>
      </c>
      <c r="AS228" s="80">
        <v>0</v>
      </c>
      <c r="AT228" s="80">
        <v>0</v>
      </c>
      <c r="AU228" s="80">
        <v>0</v>
      </c>
      <c r="AV228" s="80">
        <v>0</v>
      </c>
      <c r="AW228" s="36"/>
      <c r="AX228" s="34"/>
    </row>
    <row r="229" ht="14.5" spans="1:50">
      <c r="A229" s="32"/>
      <c r="C229" s="91" t="s">
        <v>241</v>
      </c>
      <c r="D229" s="69" t="s">
        <v>13</v>
      </c>
      <c r="E229" s="95" t="s">
        <v>281</v>
      </c>
      <c r="F229" s="95" t="s">
        <v>281</v>
      </c>
      <c r="G229" s="95" t="s">
        <v>281</v>
      </c>
      <c r="H229" s="95" t="s">
        <v>281</v>
      </c>
      <c r="I229" s="71">
        <v>0.9</v>
      </c>
      <c r="J229" s="72">
        <v>0.9375</v>
      </c>
      <c r="K229" s="72">
        <v>0.947761194029851</v>
      </c>
      <c r="L229" s="73">
        <v>0.956521739130435</v>
      </c>
      <c r="M229" s="72">
        <v>0.959561920808762</v>
      </c>
      <c r="N229" s="74">
        <v>0.9</v>
      </c>
      <c r="O229" s="72">
        <v>0.939874021759878</v>
      </c>
      <c r="P229" s="72">
        <v>0.957923100839465</v>
      </c>
      <c r="Q229" s="72">
        <v>0.954277727862634</v>
      </c>
      <c r="R229" s="72">
        <v>0.92352934745772</v>
      </c>
      <c r="S229" s="74">
        <v>0.9</v>
      </c>
      <c r="T229" s="72">
        <v>0.913533117007062</v>
      </c>
      <c r="U229" s="72">
        <v>0.927142709089025</v>
      </c>
      <c r="V229" s="72">
        <v>0.930717779774384</v>
      </c>
      <c r="W229" s="72">
        <v>0.90766674319198</v>
      </c>
      <c r="X229" s="74">
        <v>0.92</v>
      </c>
      <c r="Y229" s="74">
        <v>0.931732832618026</v>
      </c>
      <c r="Z229" s="74">
        <v>0.938950097213221</v>
      </c>
      <c r="AA229" s="74">
        <v>0.952513557086326</v>
      </c>
      <c r="AB229" s="74">
        <v>0.94589757088065</v>
      </c>
      <c r="AC229" s="74">
        <v>0.92</v>
      </c>
      <c r="AD229" s="72">
        <v>0.973805516938611</v>
      </c>
      <c r="AE229" s="72">
        <v>0.989359933499584</v>
      </c>
      <c r="AF229" s="72">
        <v>0.99412396990326</v>
      </c>
      <c r="AG229" s="72">
        <v>0.989050412945177</v>
      </c>
      <c r="AH229" s="74">
        <v>0.92</v>
      </c>
      <c r="AI229" s="72">
        <v>0.95137998327293</v>
      </c>
      <c r="AJ229" s="72">
        <v>0.962632427452787</v>
      </c>
      <c r="AK229" s="72">
        <v>0.971739001365552</v>
      </c>
      <c r="AL229" s="72">
        <v>0.965900962774005</v>
      </c>
      <c r="AM229" s="71">
        <v>0.99</v>
      </c>
      <c r="AN229" s="76">
        <v>1</v>
      </c>
      <c r="AO229" s="76">
        <v>1</v>
      </c>
      <c r="AP229" s="76">
        <v>1</v>
      </c>
      <c r="AQ229" s="76">
        <v>1</v>
      </c>
      <c r="AR229" s="96">
        <v>0.0719793575775068</v>
      </c>
      <c r="AS229" s="80">
        <v>0.025</v>
      </c>
      <c r="AT229" s="80">
        <v>0.0238095238095238</v>
      </c>
      <c r="AU229" s="80">
        <v>0.12</v>
      </c>
      <c r="AV229" s="80">
        <v>0.0563380281690141</v>
      </c>
      <c r="AW229" s="36"/>
      <c r="AX229" s="34"/>
    </row>
    <row r="230" ht="14.5" spans="1:50">
      <c r="A230" s="32"/>
      <c r="C230" s="91" t="s">
        <v>241</v>
      </c>
      <c r="D230" s="69" t="s">
        <v>13</v>
      </c>
      <c r="E230" s="95" t="s">
        <v>282</v>
      </c>
      <c r="F230" s="95" t="s">
        <v>282</v>
      </c>
      <c r="G230" s="95" t="s">
        <v>282</v>
      </c>
      <c r="H230" s="95" t="s">
        <v>282</v>
      </c>
      <c r="I230" s="71">
        <v>0.9</v>
      </c>
      <c r="J230" s="72">
        <v>0.92</v>
      </c>
      <c r="K230" s="72">
        <v>0.917431192660551</v>
      </c>
      <c r="L230" s="73">
        <v>0.939655172413793</v>
      </c>
      <c r="M230" s="72">
        <v>0.932790224032587</v>
      </c>
      <c r="N230" s="74">
        <v>0.9</v>
      </c>
      <c r="O230" s="72">
        <v>0.945812807881773</v>
      </c>
      <c r="P230" s="72">
        <v>0.969859343603483</v>
      </c>
      <c r="Q230" s="72">
        <v>0.958276077451593</v>
      </c>
      <c r="R230" s="72">
        <v>0.954561737069797</v>
      </c>
      <c r="S230" s="74">
        <v>0.9</v>
      </c>
      <c r="T230" s="72">
        <v>0.895812807881773</v>
      </c>
      <c r="U230" s="72">
        <v>0.925920964501005</v>
      </c>
      <c r="V230" s="72">
        <v>0.926171143035603</v>
      </c>
      <c r="W230" s="72">
        <v>0.918960623846133</v>
      </c>
      <c r="X230" s="74">
        <v>0.92</v>
      </c>
      <c r="Y230" s="74">
        <v>0.907365223993926</v>
      </c>
      <c r="Z230" s="74">
        <v>0.924789314676419</v>
      </c>
      <c r="AA230" s="74">
        <v>0.943734439834025</v>
      </c>
      <c r="AB230" s="74">
        <v>0.937700355796667</v>
      </c>
      <c r="AC230" s="74">
        <v>0.92</v>
      </c>
      <c r="AD230" s="72">
        <v>0.998506348020911</v>
      </c>
      <c r="AE230" s="72">
        <v>0.994573930201011</v>
      </c>
      <c r="AF230" s="72">
        <v>0.981567414282031</v>
      </c>
      <c r="AG230" s="72">
        <v>0.988749811491479</v>
      </c>
      <c r="AH230" s="74">
        <v>0.92</v>
      </c>
      <c r="AI230" s="72">
        <v>0.934176526587787</v>
      </c>
      <c r="AJ230" s="72">
        <v>0.952529805175923</v>
      </c>
      <c r="AK230" s="72">
        <v>0.965217391304348</v>
      </c>
      <c r="AL230" s="72">
        <v>0.960830080766704</v>
      </c>
      <c r="AM230" s="71">
        <v>0.99</v>
      </c>
      <c r="AN230" s="76">
        <v>1</v>
      </c>
      <c r="AO230" s="76">
        <v>1</v>
      </c>
      <c r="AP230" s="76">
        <v>1</v>
      </c>
      <c r="AQ230" s="76">
        <v>1</v>
      </c>
      <c r="AR230" s="96">
        <v>0.0719793575775068</v>
      </c>
      <c r="AS230" s="80">
        <v>0.0408163265306122</v>
      </c>
      <c r="AT230" s="80">
        <v>0.075</v>
      </c>
      <c r="AU230" s="80">
        <v>0.0232558139534884</v>
      </c>
      <c r="AV230" s="80">
        <v>0.0466321243523316</v>
      </c>
      <c r="AW230" s="36"/>
      <c r="AX230" s="34"/>
    </row>
    <row r="231" s="27" customFormat="1" ht="14.5" spans="1:50">
      <c r="A231" s="32"/>
      <c r="B231" s="29"/>
      <c r="C231" s="91" t="s">
        <v>241</v>
      </c>
      <c r="D231" s="69" t="s">
        <v>13</v>
      </c>
      <c r="E231" s="95" t="s">
        <v>283</v>
      </c>
      <c r="F231" s="95" t="s">
        <v>283</v>
      </c>
      <c r="G231" s="95" t="s">
        <v>283</v>
      </c>
      <c r="H231" s="95" t="s">
        <v>283</v>
      </c>
      <c r="I231" s="71">
        <v>0.9</v>
      </c>
      <c r="J231" s="72">
        <v>0.989130434782609</v>
      </c>
      <c r="K231" s="72">
        <v>0.989690721649485</v>
      </c>
      <c r="L231" s="73">
        <v>1</v>
      </c>
      <c r="M231" s="72">
        <v>0.989595375722543</v>
      </c>
      <c r="N231" s="74">
        <v>0.9</v>
      </c>
      <c r="O231" s="72">
        <v>0.913592392195442</v>
      </c>
      <c r="P231" s="72">
        <v>0.942110177404295</v>
      </c>
      <c r="Q231" s="72">
        <v>0.94165512465374</v>
      </c>
      <c r="R231" s="72">
        <v>0.939441684585156</v>
      </c>
      <c r="S231" s="74">
        <v>0.9</v>
      </c>
      <c r="T231" s="72">
        <v>0.868830955894409</v>
      </c>
      <c r="U231" s="72">
        <v>0.912605042016807</v>
      </c>
      <c r="V231" s="72">
        <v>0.90356648199446</v>
      </c>
      <c r="W231" s="72">
        <v>0.901201156669385</v>
      </c>
      <c r="X231" s="74">
        <v>0.92</v>
      </c>
      <c r="Y231" s="74">
        <v>0.914399330263709</v>
      </c>
      <c r="Z231" s="74">
        <v>0.939919610746774</v>
      </c>
      <c r="AA231" s="74">
        <v>0.944651061036972</v>
      </c>
      <c r="AB231" s="74">
        <v>0.938756834127226</v>
      </c>
      <c r="AC231" s="74">
        <v>0.92</v>
      </c>
      <c r="AD231" s="72">
        <v>0.998338870431894</v>
      </c>
      <c r="AE231" s="72">
        <v>0.995296822742475</v>
      </c>
      <c r="AF231" s="72">
        <v>0.990810359231412</v>
      </c>
      <c r="AG231" s="72">
        <v>0.989829144257857</v>
      </c>
      <c r="AH231" s="74">
        <v>0.92</v>
      </c>
      <c r="AI231" s="72">
        <v>0.935380090081809</v>
      </c>
      <c r="AJ231" s="72">
        <v>0.963510163609321</v>
      </c>
      <c r="AK231" s="72">
        <v>0.959702357943564</v>
      </c>
      <c r="AL231" s="72">
        <v>0.958408399080574</v>
      </c>
      <c r="AM231" s="71">
        <v>0.99</v>
      </c>
      <c r="AN231" s="76">
        <v>1</v>
      </c>
      <c r="AO231" s="76">
        <v>1</v>
      </c>
      <c r="AP231" s="76">
        <v>1</v>
      </c>
      <c r="AQ231" s="76">
        <v>1</v>
      </c>
      <c r="AR231" s="96">
        <v>0.0719793575775068</v>
      </c>
      <c r="AS231" s="80">
        <v>0</v>
      </c>
      <c r="AT231" s="80">
        <v>0.0652173913043478</v>
      </c>
      <c r="AU231" s="80">
        <v>0.0408163265306122</v>
      </c>
      <c r="AV231" s="80">
        <v>0.0482233502538071</v>
      </c>
      <c r="AW231" s="29"/>
      <c r="AX231" s="34"/>
    </row>
    <row r="232" ht="14.5" spans="1:50">
      <c r="A232" s="32"/>
      <c r="C232" s="91" t="s">
        <v>241</v>
      </c>
      <c r="D232" s="69" t="s">
        <v>13</v>
      </c>
      <c r="E232" s="95" t="s">
        <v>284</v>
      </c>
      <c r="F232" s="95" t="s">
        <v>284</v>
      </c>
      <c r="G232" s="95" t="s">
        <v>284</v>
      </c>
      <c r="H232" s="95" t="s">
        <v>284</v>
      </c>
      <c r="I232" s="71">
        <v>0.9</v>
      </c>
      <c r="J232" s="72">
        <v>0.954887218045113</v>
      </c>
      <c r="K232" s="72">
        <v>0.963768115942029</v>
      </c>
      <c r="L232" s="73">
        <v>0.979020979020979</v>
      </c>
      <c r="M232" s="72">
        <v>0.949316170555109</v>
      </c>
      <c r="N232" s="74">
        <v>0.9</v>
      </c>
      <c r="O232" s="72">
        <v>0.849913307325531</v>
      </c>
      <c r="P232" s="72">
        <v>0.953668443767454</v>
      </c>
      <c r="Q232" s="72">
        <v>0.953255017131669</v>
      </c>
      <c r="R232" s="72">
        <v>0.878948994567316</v>
      </c>
      <c r="S232" s="74">
        <v>0.9</v>
      </c>
      <c r="T232" s="72">
        <v>0.83864325964456</v>
      </c>
      <c r="U232" s="72">
        <v>0.898832190911399</v>
      </c>
      <c r="V232" s="72">
        <v>0.913240332843857</v>
      </c>
      <c r="W232" s="72">
        <v>0.873786657740931</v>
      </c>
      <c r="X232" s="74">
        <v>0.92</v>
      </c>
      <c r="Y232" s="74">
        <v>0.853613625901488</v>
      </c>
      <c r="Z232" s="74">
        <v>0.910566567816451</v>
      </c>
      <c r="AA232" s="74">
        <v>0.932597827960696</v>
      </c>
      <c r="AB232" s="74">
        <v>0.904959802551585</v>
      </c>
      <c r="AC232" s="74">
        <v>0.92</v>
      </c>
      <c r="AD232" s="72">
        <v>0.997514086841233</v>
      </c>
      <c r="AE232" s="72">
        <v>0.994968994968995</v>
      </c>
      <c r="AF232" s="72">
        <v>0.347567937885362</v>
      </c>
      <c r="AG232" s="72">
        <v>0.923339333593485</v>
      </c>
      <c r="AH232" s="74">
        <v>0.92</v>
      </c>
      <c r="AI232" s="72">
        <v>0.897681803747221</v>
      </c>
      <c r="AJ232" s="72">
        <v>0.943581128377432</v>
      </c>
      <c r="AK232" s="72">
        <v>0.959215798511734</v>
      </c>
      <c r="AL232" s="72">
        <v>0.940195332796181</v>
      </c>
      <c r="AM232" s="71">
        <v>0.99</v>
      </c>
      <c r="AN232" s="76">
        <v>1</v>
      </c>
      <c r="AO232" s="76">
        <v>1</v>
      </c>
      <c r="AP232" s="76">
        <v>1</v>
      </c>
      <c r="AQ232" s="76">
        <v>1</v>
      </c>
      <c r="AR232" s="96">
        <v>0.0719793575775068</v>
      </c>
      <c r="AS232" s="80">
        <v>0.08</v>
      </c>
      <c r="AT232" s="80">
        <v>0.0212765957446809</v>
      </c>
      <c r="AU232" s="80">
        <v>0.0416666666666667</v>
      </c>
      <c r="AV232" s="80">
        <v>0.0644490644490645</v>
      </c>
      <c r="AW232" s="36"/>
      <c r="AX232" s="34"/>
    </row>
    <row r="233" ht="14.5" spans="1:50">
      <c r="A233" s="32"/>
      <c r="C233" s="91" t="s">
        <v>241</v>
      </c>
      <c r="D233" s="69" t="s">
        <v>13</v>
      </c>
      <c r="E233" s="95" t="s">
        <v>285</v>
      </c>
      <c r="F233" s="95" t="s">
        <v>285</v>
      </c>
      <c r="G233" s="95" t="s">
        <v>285</v>
      </c>
      <c r="H233" s="95" t="s">
        <v>285</v>
      </c>
      <c r="I233" s="71">
        <v>0.9</v>
      </c>
      <c r="J233" s="72">
        <v>1</v>
      </c>
      <c r="K233" s="72">
        <v>1</v>
      </c>
      <c r="L233" s="73">
        <v>1</v>
      </c>
      <c r="M233" s="72">
        <v>0.98015873015873</v>
      </c>
      <c r="N233" s="74">
        <v>0.9</v>
      </c>
      <c r="O233" s="72">
        <v>0.929553679131484</v>
      </c>
      <c r="P233" s="72">
        <v>0.94855053538783</v>
      </c>
      <c r="Q233" s="72">
        <v>0.946984924623116</v>
      </c>
      <c r="R233" s="72">
        <v>0.94559917186521</v>
      </c>
      <c r="S233" s="74">
        <v>0.9</v>
      </c>
      <c r="T233" s="72">
        <v>0.85524728588661</v>
      </c>
      <c r="U233" s="72">
        <v>0.917471924784539</v>
      </c>
      <c r="V233" s="72">
        <v>0.919849246231156</v>
      </c>
      <c r="W233" s="72">
        <v>0.905200359584843</v>
      </c>
      <c r="X233" s="74">
        <v>0.92</v>
      </c>
      <c r="Y233" s="74">
        <v>0.875923645320197</v>
      </c>
      <c r="Z233" s="74">
        <v>0.902446043165468</v>
      </c>
      <c r="AA233" s="74">
        <v>0.945420326223337</v>
      </c>
      <c r="AB233" s="74">
        <v>0.92511952670863</v>
      </c>
      <c r="AC233" s="74">
        <v>0.92</v>
      </c>
      <c r="AD233" s="72">
        <v>0.998961038961039</v>
      </c>
      <c r="AE233" s="72">
        <v>0.995872033023736</v>
      </c>
      <c r="AF233" s="72">
        <v>0.996853861884537</v>
      </c>
      <c r="AG233" s="72">
        <v>0.996655768332555</v>
      </c>
      <c r="AH233" s="74">
        <v>0.92</v>
      </c>
      <c r="AI233" s="72">
        <v>0.909238468821859</v>
      </c>
      <c r="AJ233" s="72">
        <v>0.936525307797538</v>
      </c>
      <c r="AK233" s="72">
        <v>0.965122767857143</v>
      </c>
      <c r="AL233" s="72">
        <v>0.951211356658662</v>
      </c>
      <c r="AM233" s="71">
        <v>0.99</v>
      </c>
      <c r="AN233" s="76">
        <v>1</v>
      </c>
      <c r="AO233" s="76">
        <v>1</v>
      </c>
      <c r="AP233" s="76">
        <v>1</v>
      </c>
      <c r="AQ233" s="76">
        <v>1</v>
      </c>
      <c r="AR233" s="96">
        <v>0.0719793575775068</v>
      </c>
      <c r="AS233" s="80">
        <v>0.285714285714286</v>
      </c>
      <c r="AT233" s="80">
        <v>0.173913043478261</v>
      </c>
      <c r="AU233" s="80">
        <v>0.0526315789473684</v>
      </c>
      <c r="AV233" s="80">
        <v>0.0898203592814371</v>
      </c>
      <c r="AW233" s="36"/>
      <c r="AX233" s="34"/>
    </row>
    <row r="234" s="27" customFormat="1" ht="14.5" spans="1:50">
      <c r="A234" s="32"/>
      <c r="B234" s="29"/>
      <c r="C234" s="91" t="s">
        <v>241</v>
      </c>
      <c r="D234" s="69" t="s">
        <v>13</v>
      </c>
      <c r="E234" s="95" t="s">
        <v>286</v>
      </c>
      <c r="F234" s="95" t="s">
        <v>286</v>
      </c>
      <c r="G234" s="95" t="s">
        <v>286</v>
      </c>
      <c r="H234" s="95" t="s">
        <v>286</v>
      </c>
      <c r="I234" s="71">
        <v>0.9</v>
      </c>
      <c r="J234" s="72">
        <v>0.966292134831461</v>
      </c>
      <c r="K234" s="72">
        <v>0.958333333333333</v>
      </c>
      <c r="L234" s="73">
        <v>0.920792079207921</v>
      </c>
      <c r="M234" s="72">
        <v>0.937209302325581</v>
      </c>
      <c r="N234" s="74">
        <v>0.9</v>
      </c>
      <c r="O234" s="72">
        <v>0.930221951961082</v>
      </c>
      <c r="P234" s="72">
        <v>0.959426372857643</v>
      </c>
      <c r="Q234" s="72">
        <v>0.952882926050152</v>
      </c>
      <c r="R234" s="72">
        <v>0.928201630111589</v>
      </c>
      <c r="S234" s="74">
        <v>0.9</v>
      </c>
      <c r="T234" s="72">
        <v>0.900881726968684</v>
      </c>
      <c r="U234" s="72">
        <v>0.928121720881427</v>
      </c>
      <c r="V234" s="72">
        <v>0.929244529627855</v>
      </c>
      <c r="W234" s="72">
        <v>0.910746143351873</v>
      </c>
      <c r="X234" s="74">
        <v>0.92</v>
      </c>
      <c r="Y234" s="74">
        <v>0.877321981424149</v>
      </c>
      <c r="Z234" s="74">
        <v>0.921246923707957</v>
      </c>
      <c r="AA234" s="74">
        <v>0.933278248295807</v>
      </c>
      <c r="AB234" s="74">
        <v>0.921015099721549</v>
      </c>
      <c r="AC234" s="74">
        <v>0.92</v>
      </c>
      <c r="AD234" s="72">
        <v>0.996090695856138</v>
      </c>
      <c r="AE234" s="72">
        <v>0.990140374331551</v>
      </c>
      <c r="AF234" s="72">
        <v>0.969720140694296</v>
      </c>
      <c r="AG234" s="72">
        <v>0.980439340078389</v>
      </c>
      <c r="AH234" s="74">
        <v>0.92</v>
      </c>
      <c r="AI234" s="72">
        <v>0.915801123786821</v>
      </c>
      <c r="AJ234" s="72">
        <v>0.946221341636003</v>
      </c>
      <c r="AK234" s="72">
        <v>0.957575211673572</v>
      </c>
      <c r="AL234" s="72">
        <v>0.949683797196105</v>
      </c>
      <c r="AM234" s="71">
        <v>0.99</v>
      </c>
      <c r="AN234" s="76">
        <v>1</v>
      </c>
      <c r="AO234" s="76">
        <v>1</v>
      </c>
      <c r="AP234" s="76">
        <v>1</v>
      </c>
      <c r="AQ234" s="76">
        <v>1</v>
      </c>
      <c r="AR234" s="96">
        <v>0.0719793575775068</v>
      </c>
      <c r="AS234" s="80">
        <v>0.0416666666666667</v>
      </c>
      <c r="AT234" s="80">
        <v>0</v>
      </c>
      <c r="AU234" s="80">
        <v>0.105263157894737</v>
      </c>
      <c r="AV234" s="80">
        <v>0.0425531914893617</v>
      </c>
      <c r="AW234" s="29"/>
      <c r="AX234" s="34"/>
    </row>
    <row r="235" s="27" customFormat="1" ht="14.5" spans="1:50">
      <c r="A235" s="32"/>
      <c r="B235" s="29"/>
      <c r="C235" s="91" t="s">
        <v>241</v>
      </c>
      <c r="D235" s="69" t="s">
        <v>13</v>
      </c>
      <c r="E235" s="95" t="s">
        <v>287</v>
      </c>
      <c r="F235" s="95" t="s">
        <v>287</v>
      </c>
      <c r="G235" s="95" t="s">
        <v>287</v>
      </c>
      <c r="H235" s="95" t="s">
        <v>287</v>
      </c>
      <c r="I235" s="71">
        <v>0.9</v>
      </c>
      <c r="J235" s="72">
        <v>0.92156862745098</v>
      </c>
      <c r="K235" s="72">
        <v>0.927272727272727</v>
      </c>
      <c r="L235" s="73">
        <v>0.982456140350877</v>
      </c>
      <c r="M235" s="72">
        <v>0.982</v>
      </c>
      <c r="N235" s="74">
        <v>0.9</v>
      </c>
      <c r="O235" s="72">
        <v>0.876796714579055</v>
      </c>
      <c r="P235" s="72">
        <v>0.88368547157482</v>
      </c>
      <c r="Q235" s="72">
        <v>0.931013306038895</v>
      </c>
      <c r="R235" s="72">
        <v>0.910763548989944</v>
      </c>
      <c r="S235" s="74">
        <v>0.9</v>
      </c>
      <c r="T235" s="72">
        <v>0.795893223819302</v>
      </c>
      <c r="U235" s="72">
        <v>0.830102374210412</v>
      </c>
      <c r="V235" s="72">
        <v>0.86345957011259</v>
      </c>
      <c r="W235" s="72">
        <v>0.852362730266085</v>
      </c>
      <c r="X235" s="74">
        <v>0.92</v>
      </c>
      <c r="Y235" s="74">
        <v>0.851202928870293</v>
      </c>
      <c r="Z235" s="74">
        <v>0.911030176899064</v>
      </c>
      <c r="AA235" s="74">
        <v>0.930495221546481</v>
      </c>
      <c r="AB235" s="74">
        <v>0.900999593188819</v>
      </c>
      <c r="AC235" s="74">
        <v>0.92</v>
      </c>
      <c r="AD235" s="72">
        <v>0.931972789115646</v>
      </c>
      <c r="AE235" s="72">
        <v>0.995983935742972</v>
      </c>
      <c r="AF235" s="72">
        <v>0.862068965517241</v>
      </c>
      <c r="AG235" s="72">
        <v>0.949375866851595</v>
      </c>
      <c r="AH235" s="74">
        <v>0.92</v>
      </c>
      <c r="AI235" s="72">
        <v>0.883597883597884</v>
      </c>
      <c r="AJ235" s="72">
        <v>0.937899976297701</v>
      </c>
      <c r="AK235" s="72">
        <v>0.954430986928888</v>
      </c>
      <c r="AL235" s="72">
        <v>0.935266029154225</v>
      </c>
      <c r="AM235" s="71">
        <v>0.99</v>
      </c>
      <c r="AN235" s="76">
        <v>1</v>
      </c>
      <c r="AO235" s="76">
        <v>1</v>
      </c>
      <c r="AP235" s="76">
        <v>1</v>
      </c>
      <c r="AQ235" s="76">
        <v>1</v>
      </c>
      <c r="AR235" s="96">
        <v>0.0719793575775068</v>
      </c>
      <c r="AS235" s="80">
        <v>0</v>
      </c>
      <c r="AT235" s="80">
        <v>0</v>
      </c>
      <c r="AU235" s="80">
        <v>0.0666666666666667</v>
      </c>
      <c r="AV235" s="80">
        <v>0.0318181818181818</v>
      </c>
      <c r="AW235" s="29"/>
      <c r="AX235" s="34"/>
    </row>
    <row r="236" s="27" customFormat="1" ht="14.5" spans="1:50">
      <c r="A236" s="32"/>
      <c r="B236" s="29"/>
      <c r="C236" s="91" t="s">
        <v>241</v>
      </c>
      <c r="D236" s="69" t="s">
        <v>13</v>
      </c>
      <c r="E236" s="95" t="s">
        <v>288</v>
      </c>
      <c r="F236" s="95" t="s">
        <v>288</v>
      </c>
      <c r="G236" s="95" t="s">
        <v>288</v>
      </c>
      <c r="H236" s="95" t="s">
        <v>288</v>
      </c>
      <c r="I236" s="71">
        <v>0.9</v>
      </c>
      <c r="J236" s="72">
        <v>0.936170212765957</v>
      </c>
      <c r="K236" s="72">
        <v>0.9375</v>
      </c>
      <c r="L236" s="73">
        <v>1</v>
      </c>
      <c r="M236" s="72">
        <v>0.952272727272727</v>
      </c>
      <c r="N236" s="74">
        <v>0.9</v>
      </c>
      <c r="O236" s="72">
        <v>0.980801616705962</v>
      </c>
      <c r="P236" s="72">
        <v>0.982899763507368</v>
      </c>
      <c r="Q236" s="72">
        <v>0.985356031484532</v>
      </c>
      <c r="R236" s="72">
        <v>0.97993262653192</v>
      </c>
      <c r="S236" s="74">
        <v>0.9</v>
      </c>
      <c r="T236" s="72">
        <v>0.939373526439879</v>
      </c>
      <c r="U236" s="72">
        <v>0.958340913225396</v>
      </c>
      <c r="V236" s="72">
        <v>0.960644334614681</v>
      </c>
      <c r="W236" s="72">
        <v>0.952714572095811</v>
      </c>
      <c r="X236" s="74">
        <v>0.92</v>
      </c>
      <c r="Y236" s="74">
        <v>0</v>
      </c>
      <c r="Z236" s="74">
        <v>0</v>
      </c>
      <c r="AA236" s="74">
        <v>1</v>
      </c>
      <c r="AB236" s="74">
        <v>0.321428571428571</v>
      </c>
      <c r="AC236" s="74">
        <v>0.92</v>
      </c>
      <c r="AD236" s="72">
        <v>0.991869918699187</v>
      </c>
      <c r="AE236" s="72">
        <v>0.982857142857143</v>
      </c>
      <c r="AF236" s="72">
        <v>0.996031746031746</v>
      </c>
      <c r="AG236" s="72">
        <v>0.981665014866204</v>
      </c>
      <c r="AH236" s="74">
        <v>0.92</v>
      </c>
      <c r="AI236" s="72">
        <v>0.970445004198153</v>
      </c>
      <c r="AJ236" s="72">
        <v>0.98399417970171</v>
      </c>
      <c r="AK236" s="72">
        <v>0.988836017569546</v>
      </c>
      <c r="AL236" s="72">
        <v>0.985624289992771</v>
      </c>
      <c r="AM236" s="71">
        <v>0.99</v>
      </c>
      <c r="AN236" s="76">
        <v>1</v>
      </c>
      <c r="AO236" s="76">
        <v>1</v>
      </c>
      <c r="AP236" s="76">
        <v>1</v>
      </c>
      <c r="AQ236" s="76">
        <v>1</v>
      </c>
      <c r="AR236" s="96">
        <v>0.0719793575775068</v>
      </c>
      <c r="AS236" s="80">
        <v>0.235294117647059</v>
      </c>
      <c r="AT236" s="80">
        <v>0.19047619047619</v>
      </c>
      <c r="AU236" s="80">
        <v>0</v>
      </c>
      <c r="AV236" s="80">
        <v>0.0738916256157636</v>
      </c>
      <c r="AW236" s="29"/>
      <c r="AX236" s="34"/>
    </row>
    <row r="237" s="28" customFormat="1" ht="14.5" spans="1:50">
      <c r="A237" s="32"/>
      <c r="C237" s="97"/>
      <c r="D237" s="98"/>
      <c r="E237" s="98"/>
      <c r="F237" s="98"/>
      <c r="G237" s="98"/>
      <c r="H237" s="98"/>
      <c r="I237" s="99"/>
      <c r="J237" s="86"/>
      <c r="K237" s="86"/>
      <c r="L237" s="73"/>
      <c r="M237" s="86"/>
      <c r="N237" s="89"/>
      <c r="O237" s="86"/>
      <c r="P237" s="86"/>
      <c r="Q237" s="72"/>
      <c r="R237" s="86"/>
      <c r="S237" s="89"/>
      <c r="T237" s="86"/>
      <c r="U237" s="86"/>
      <c r="V237" s="72"/>
      <c r="W237" s="86"/>
      <c r="X237" s="89"/>
      <c r="Y237" s="89"/>
      <c r="Z237" s="89"/>
      <c r="AA237" s="74"/>
      <c r="AB237" s="89"/>
      <c r="AC237" s="89"/>
      <c r="AD237" s="86"/>
      <c r="AE237" s="86"/>
      <c r="AF237" s="72"/>
      <c r="AG237" s="86"/>
      <c r="AH237" s="89"/>
      <c r="AI237" s="86"/>
      <c r="AJ237" s="86"/>
      <c r="AK237" s="72"/>
      <c r="AL237" s="86"/>
      <c r="AM237" s="85"/>
      <c r="AN237" s="85"/>
      <c r="AO237" s="85"/>
      <c r="AP237" s="76"/>
      <c r="AQ237" s="85"/>
      <c r="AR237" s="86"/>
      <c r="AS237" s="85"/>
      <c r="AT237" s="85"/>
      <c r="AU237" s="80"/>
      <c r="AV237" s="85"/>
      <c r="AW237" s="29"/>
      <c r="AX237" s="34"/>
    </row>
    <row r="238" ht="14.5" spans="1:50">
      <c r="A238" s="32"/>
      <c r="B238" s="36"/>
      <c r="C238" s="100" t="s">
        <v>289</v>
      </c>
      <c r="D238" s="69" t="s">
        <v>15</v>
      </c>
      <c r="E238" s="101" t="s">
        <v>290</v>
      </c>
      <c r="F238" s="101" t="s">
        <v>290</v>
      </c>
      <c r="G238" s="101" t="s">
        <v>290</v>
      </c>
      <c r="H238" s="101" t="s">
        <v>290</v>
      </c>
      <c r="I238" s="71">
        <v>0.9</v>
      </c>
      <c r="J238" s="72">
        <v>0.973333333333333</v>
      </c>
      <c r="K238" s="72">
        <v>0.988235294117647</v>
      </c>
      <c r="L238" s="73">
        <v>0.967032967032967</v>
      </c>
      <c r="M238" s="72">
        <v>0.96895213454075</v>
      </c>
      <c r="N238" s="74">
        <v>0.9</v>
      </c>
      <c r="O238" s="72">
        <v>0.899110436103276</v>
      </c>
      <c r="P238" s="72">
        <v>0.919607843137255</v>
      </c>
      <c r="Q238" s="72">
        <v>0.913170528073471</v>
      </c>
      <c r="R238" s="72">
        <v>0.911609936474827</v>
      </c>
      <c r="S238" s="74">
        <v>0.9</v>
      </c>
      <c r="T238" s="72">
        <v>0.838793664569321</v>
      </c>
      <c r="U238" s="72">
        <v>0.877124183006536</v>
      </c>
      <c r="V238" s="72">
        <v>0.874556460029221</v>
      </c>
      <c r="W238" s="72">
        <v>0.872120034132929</v>
      </c>
      <c r="X238" s="74">
        <v>0.92</v>
      </c>
      <c r="Y238" s="74">
        <v>0.927219080403246</v>
      </c>
      <c r="Z238" s="74">
        <v>0.945472015373529</v>
      </c>
      <c r="AA238" s="74">
        <v>0.930837382109174</v>
      </c>
      <c r="AB238" s="74">
        <v>0.943714558418955</v>
      </c>
      <c r="AC238" s="74">
        <v>0.92</v>
      </c>
      <c r="AD238" s="72">
        <v>0.849357448833889</v>
      </c>
      <c r="AE238" s="72">
        <v>0.972051806407635</v>
      </c>
      <c r="AF238" s="72">
        <v>0.968828787531515</v>
      </c>
      <c r="AG238" s="72">
        <v>0.94897148858775</v>
      </c>
      <c r="AH238" s="74">
        <v>0.92</v>
      </c>
      <c r="AI238" s="72">
        <v>0.951129552789304</v>
      </c>
      <c r="AJ238" s="72">
        <v>0.965726036787387</v>
      </c>
      <c r="AK238" s="72">
        <v>0.956825856246985</v>
      </c>
      <c r="AL238" s="72">
        <v>0.963673044550957</v>
      </c>
      <c r="AM238" s="71">
        <v>0.99</v>
      </c>
      <c r="AN238" s="76">
        <v>1</v>
      </c>
      <c r="AO238" s="76">
        <v>1</v>
      </c>
      <c r="AP238" s="76">
        <v>1</v>
      </c>
      <c r="AQ238" s="76">
        <v>1</v>
      </c>
      <c r="AR238" s="96">
        <v>0.0922287257019438</v>
      </c>
      <c r="AS238" s="80">
        <v>0.0416666666666667</v>
      </c>
      <c r="AT238" s="80">
        <v>0.105263157894737</v>
      </c>
      <c r="AU238" s="80">
        <v>0</v>
      </c>
      <c r="AV238" s="80">
        <v>0.0844155844155844</v>
      </c>
      <c r="AW238" s="36"/>
      <c r="AX238" s="34"/>
    </row>
    <row r="239" ht="14.5" spans="1:50">
      <c r="A239" s="32"/>
      <c r="B239" s="36"/>
      <c r="C239" s="100" t="s">
        <v>289</v>
      </c>
      <c r="D239" s="69" t="s">
        <v>15</v>
      </c>
      <c r="E239" s="101" t="s">
        <v>291</v>
      </c>
      <c r="F239" s="101" t="s">
        <v>291</v>
      </c>
      <c r="G239" s="101" t="s">
        <v>291</v>
      </c>
      <c r="H239" s="101" t="s">
        <v>291</v>
      </c>
      <c r="I239" s="71">
        <v>0.9</v>
      </c>
      <c r="J239" s="72">
        <v>0.833333333333333</v>
      </c>
      <c r="K239" s="72">
        <v>0.75</v>
      </c>
      <c r="L239" s="73">
        <v>0.819672131147541</v>
      </c>
      <c r="M239" s="72">
        <v>0.831792975970425</v>
      </c>
      <c r="N239" s="74">
        <v>0.9</v>
      </c>
      <c r="O239" s="72">
        <v>0.880447585394582</v>
      </c>
      <c r="P239" s="72">
        <v>0.925345622119816</v>
      </c>
      <c r="Q239" s="72">
        <v>0.974533609712763</v>
      </c>
      <c r="R239" s="72">
        <v>0.926485067279291</v>
      </c>
      <c r="S239" s="74">
        <v>0.9</v>
      </c>
      <c r="T239" s="72">
        <v>0.944051825677267</v>
      </c>
      <c r="U239" s="72">
        <v>0.948387096774194</v>
      </c>
      <c r="V239" s="72">
        <v>0.928634883032277</v>
      </c>
      <c r="W239" s="72">
        <v>0.932622251394815</v>
      </c>
      <c r="X239" s="74">
        <v>0.92</v>
      </c>
      <c r="Y239" s="74">
        <v>0.954531946508172</v>
      </c>
      <c r="Z239" s="74">
        <v>0.975153275250081</v>
      </c>
      <c r="AA239" s="74">
        <v>0.977955150133029</v>
      </c>
      <c r="AB239" s="74">
        <v>0.975154308930385</v>
      </c>
      <c r="AC239" s="74">
        <v>0.92</v>
      </c>
      <c r="AD239" s="72">
        <v>0.994915254237288</v>
      </c>
      <c r="AE239" s="72">
        <v>0.985915492957746</v>
      </c>
      <c r="AF239" s="72">
        <v>0.989863152559554</v>
      </c>
      <c r="AG239" s="72">
        <v>0.989487675205413</v>
      </c>
      <c r="AH239" s="74">
        <v>0.92</v>
      </c>
      <c r="AI239" s="72">
        <v>0.968805440567711</v>
      </c>
      <c r="AJ239" s="72">
        <v>0.985206169342147</v>
      </c>
      <c r="AK239" s="72">
        <v>0.987192282102462</v>
      </c>
      <c r="AL239" s="72">
        <v>0.985182147251297</v>
      </c>
      <c r="AM239" s="71">
        <v>0.99</v>
      </c>
      <c r="AN239" s="76">
        <v>1</v>
      </c>
      <c r="AO239" s="76">
        <v>1</v>
      </c>
      <c r="AP239" s="76">
        <v>1</v>
      </c>
      <c r="AQ239" s="76">
        <v>1</v>
      </c>
      <c r="AR239" s="96">
        <v>0.0922287257019438</v>
      </c>
      <c r="AS239" s="80">
        <v>0.142857142857143</v>
      </c>
      <c r="AT239" s="80">
        <v>0</v>
      </c>
      <c r="AU239" s="80">
        <v>0</v>
      </c>
      <c r="AV239" s="80">
        <v>0.0933333333333333</v>
      </c>
      <c r="AW239" s="36"/>
      <c r="AX239" s="34"/>
    </row>
    <row r="240" ht="14.5" spans="1:50">
      <c r="A240" s="32"/>
      <c r="B240" s="36"/>
      <c r="C240" s="100" t="s">
        <v>289</v>
      </c>
      <c r="D240" s="69" t="s">
        <v>15</v>
      </c>
      <c r="E240" s="101" t="s">
        <v>292</v>
      </c>
      <c r="F240" s="101" t="s">
        <v>292</v>
      </c>
      <c r="G240" s="101" t="s">
        <v>292</v>
      </c>
      <c r="H240" s="101" t="s">
        <v>292</v>
      </c>
      <c r="I240" s="71">
        <v>0.9</v>
      </c>
      <c r="J240" s="72">
        <v>0.962025316455696</v>
      </c>
      <c r="K240" s="72">
        <v>0.948717948717949</v>
      </c>
      <c r="L240" s="73">
        <v>0.948051948051948</v>
      </c>
      <c r="M240" s="72">
        <v>0.976323119777159</v>
      </c>
      <c r="N240" s="74">
        <v>0.9</v>
      </c>
      <c r="O240" s="72">
        <v>0.909681142692252</v>
      </c>
      <c r="P240" s="72">
        <v>0.949704142011834</v>
      </c>
      <c r="Q240" s="72">
        <v>0.965598863815686</v>
      </c>
      <c r="R240" s="72">
        <v>0.960477333611662</v>
      </c>
      <c r="S240" s="74">
        <v>0.9</v>
      </c>
      <c r="T240" s="72">
        <v>0.967681431250902</v>
      </c>
      <c r="U240" s="72">
        <v>0.965811965811966</v>
      </c>
      <c r="V240" s="72">
        <v>0.962758403029825</v>
      </c>
      <c r="W240" s="72">
        <v>0.962234283129806</v>
      </c>
      <c r="X240" s="74">
        <v>0.92</v>
      </c>
      <c r="Y240" s="74">
        <v>0.964899178491411</v>
      </c>
      <c r="Z240" s="74">
        <v>0.960555804571941</v>
      </c>
      <c r="AA240" s="74">
        <v>0.953354632587859</v>
      </c>
      <c r="AB240" s="74">
        <v>0.960081826726378</v>
      </c>
      <c r="AC240" s="74">
        <v>0.92</v>
      </c>
      <c r="AD240" s="72">
        <v>0.989503149055283</v>
      </c>
      <c r="AE240" s="72">
        <v>0.986717267552182</v>
      </c>
      <c r="AF240" s="72">
        <v>0.939641109298532</v>
      </c>
      <c r="AG240" s="72">
        <v>0.931296154825567</v>
      </c>
      <c r="AH240" s="74">
        <v>0.92</v>
      </c>
      <c r="AI240" s="72">
        <v>0.982100114476012</v>
      </c>
      <c r="AJ240" s="72">
        <v>0.981483708067813</v>
      </c>
      <c r="AK240" s="72">
        <v>0.985578747628084</v>
      </c>
      <c r="AL240" s="72">
        <v>0.983262989375637</v>
      </c>
      <c r="AM240" s="71">
        <v>0.99</v>
      </c>
      <c r="AN240" s="76">
        <v>1</v>
      </c>
      <c r="AO240" s="76">
        <v>1</v>
      </c>
      <c r="AP240" s="76">
        <v>1</v>
      </c>
      <c r="AQ240" s="76">
        <v>1</v>
      </c>
      <c r="AR240" s="96">
        <v>0.0922287257019438</v>
      </c>
      <c r="AS240" s="80">
        <v>0.166666666666667</v>
      </c>
      <c r="AT240" s="80">
        <v>0.1</v>
      </c>
      <c r="AU240" s="80">
        <v>0</v>
      </c>
      <c r="AV240" s="80">
        <v>0.115384615384615</v>
      </c>
      <c r="AW240" s="36"/>
      <c r="AX240" s="34"/>
    </row>
    <row r="241" ht="14.5" spans="1:50">
      <c r="A241" s="32"/>
      <c r="B241" s="36"/>
      <c r="C241" s="100" t="s">
        <v>289</v>
      </c>
      <c r="D241" s="69" t="s">
        <v>15</v>
      </c>
      <c r="E241" s="101" t="s">
        <v>293</v>
      </c>
      <c r="F241" s="101" t="s">
        <v>293</v>
      </c>
      <c r="G241" s="101" t="s">
        <v>293</v>
      </c>
      <c r="H241" s="101" t="s">
        <v>293</v>
      </c>
      <c r="I241" s="71">
        <v>0.9</v>
      </c>
      <c r="J241" s="72">
        <v>1</v>
      </c>
      <c r="K241" s="72">
        <v>1</v>
      </c>
      <c r="L241" s="73">
        <v>1</v>
      </c>
      <c r="M241" s="72">
        <v>0.998242530755712</v>
      </c>
      <c r="N241" s="74">
        <v>0.9</v>
      </c>
      <c r="O241" s="72">
        <v>0.899546516421602</v>
      </c>
      <c r="P241" s="72">
        <v>0.955592105263158</v>
      </c>
      <c r="Q241" s="72">
        <v>0.968503937007874</v>
      </c>
      <c r="R241" s="72">
        <v>0.916712849338928</v>
      </c>
      <c r="S241" s="74">
        <v>0.9</v>
      </c>
      <c r="T241" s="72">
        <v>0.909440703586643</v>
      </c>
      <c r="U241" s="72">
        <v>0.941537081339713</v>
      </c>
      <c r="V241" s="72">
        <v>0.944038245219348</v>
      </c>
      <c r="W241" s="72">
        <v>0.93455783390072</v>
      </c>
      <c r="X241" s="74">
        <v>0.92</v>
      </c>
      <c r="Y241" s="74">
        <v>0.942413306135258</v>
      </c>
      <c r="Z241" s="74">
        <v>0.962871287128713</v>
      </c>
      <c r="AA241" s="74">
        <v>0.965523702454563</v>
      </c>
      <c r="AB241" s="74">
        <v>0.965098113926462</v>
      </c>
      <c r="AC241" s="74">
        <v>0.92</v>
      </c>
      <c r="AD241" s="72">
        <v>0.996458761708933</v>
      </c>
      <c r="AE241" s="72">
        <v>0.918766923557592</v>
      </c>
      <c r="AF241" s="72">
        <v>0.98151304575849</v>
      </c>
      <c r="AG241" s="72">
        <v>0.962318914054678</v>
      </c>
      <c r="AH241" s="74">
        <v>0.92</v>
      </c>
      <c r="AI241" s="72">
        <v>0.95992967548165</v>
      </c>
      <c r="AJ241" s="72">
        <v>0.975917791026043</v>
      </c>
      <c r="AK241" s="72">
        <v>0.979196787148594</v>
      </c>
      <c r="AL241" s="72">
        <v>0.978074422465071</v>
      </c>
      <c r="AM241" s="71">
        <v>0.99</v>
      </c>
      <c r="AN241" s="76">
        <v>1</v>
      </c>
      <c r="AO241" s="76">
        <v>1</v>
      </c>
      <c r="AP241" s="76">
        <v>1</v>
      </c>
      <c r="AQ241" s="76">
        <v>1</v>
      </c>
      <c r="AR241" s="96">
        <v>0.0922287257019438</v>
      </c>
      <c r="AS241" s="80">
        <v>0</v>
      </c>
      <c r="AT241" s="80">
        <v>0.0416666666666667</v>
      </c>
      <c r="AU241" s="80">
        <v>0.130434782608696</v>
      </c>
      <c r="AV241" s="80">
        <v>0.0514018691588785</v>
      </c>
      <c r="AW241" s="36"/>
      <c r="AX241" s="34"/>
    </row>
    <row r="242" ht="14.5" spans="1:50">
      <c r="A242" s="32"/>
      <c r="B242" s="36"/>
      <c r="C242" s="100" t="s">
        <v>289</v>
      </c>
      <c r="D242" s="69" t="s">
        <v>15</v>
      </c>
      <c r="E242" s="101" t="s">
        <v>294</v>
      </c>
      <c r="F242" s="101" t="s">
        <v>294</v>
      </c>
      <c r="G242" s="101" t="s">
        <v>294</v>
      </c>
      <c r="H242" s="101" t="s">
        <v>294</v>
      </c>
      <c r="I242" s="71">
        <v>0.9</v>
      </c>
      <c r="J242" s="72">
        <v>0.978494623655914</v>
      </c>
      <c r="K242" s="72">
        <v>0.989247311827957</v>
      </c>
      <c r="L242" s="73">
        <v>0.963302752293578</v>
      </c>
      <c r="M242" s="72">
        <v>0.980284775465498</v>
      </c>
      <c r="N242" s="74">
        <v>0.9</v>
      </c>
      <c r="O242" s="72">
        <v>0.969280607685433</v>
      </c>
      <c r="P242" s="72">
        <v>0.980074420837835</v>
      </c>
      <c r="Q242" s="72">
        <v>0.976823201067832</v>
      </c>
      <c r="R242" s="72">
        <v>0.975974017504272</v>
      </c>
      <c r="S242" s="74">
        <v>0.9</v>
      </c>
      <c r="T242" s="72">
        <v>0.941689008042895</v>
      </c>
      <c r="U242" s="72">
        <v>0.959428640019205</v>
      </c>
      <c r="V242" s="72">
        <v>0.966630263317559</v>
      </c>
      <c r="W242" s="72">
        <v>0.958613223420768</v>
      </c>
      <c r="X242" s="74">
        <v>0.92</v>
      </c>
      <c r="Y242" s="74">
        <v>0.95969696969697</v>
      </c>
      <c r="Z242" s="74">
        <v>0.975911906400551</v>
      </c>
      <c r="AA242" s="74">
        <v>0.978092195344591</v>
      </c>
      <c r="AB242" s="74">
        <v>0.975190208402249</v>
      </c>
      <c r="AC242" s="74">
        <v>0.92</v>
      </c>
      <c r="AD242" s="72">
        <v>0.993403371610066</v>
      </c>
      <c r="AE242" s="72">
        <v>0.953891173679215</v>
      </c>
      <c r="AF242" s="72">
        <v>0.950307562417079</v>
      </c>
      <c r="AG242" s="72">
        <v>0.9519964698025</v>
      </c>
      <c r="AH242" s="74">
        <v>0.92</v>
      </c>
      <c r="AI242" s="72">
        <v>0.97820763956905</v>
      </c>
      <c r="AJ242" s="72">
        <v>0.98683039686777</v>
      </c>
      <c r="AK242" s="72">
        <v>0.989551380368098</v>
      </c>
      <c r="AL242" s="72">
        <v>0.986842496653612</v>
      </c>
      <c r="AM242" s="71">
        <v>0.99</v>
      </c>
      <c r="AN242" s="76">
        <v>1</v>
      </c>
      <c r="AO242" s="76">
        <v>1</v>
      </c>
      <c r="AP242" s="76">
        <v>1</v>
      </c>
      <c r="AQ242" s="76">
        <v>1</v>
      </c>
      <c r="AR242" s="96">
        <v>0.0922287257019438</v>
      </c>
      <c r="AS242" s="80">
        <v>0.0625</v>
      </c>
      <c r="AT242" s="80">
        <v>0.111111111111111</v>
      </c>
      <c r="AU242" s="80">
        <v>0.0666666666666667</v>
      </c>
      <c r="AV242" s="80">
        <v>0.128378378378378</v>
      </c>
      <c r="AW242" s="36"/>
      <c r="AX242" s="34"/>
    </row>
    <row r="243" ht="14.5" spans="1:50">
      <c r="A243" s="32"/>
      <c r="B243" s="36"/>
      <c r="C243" s="100" t="s">
        <v>289</v>
      </c>
      <c r="D243" s="69" t="s">
        <v>15</v>
      </c>
      <c r="E243" s="101" t="s">
        <v>295</v>
      </c>
      <c r="F243" s="101" t="s">
        <v>295</v>
      </c>
      <c r="G243" s="101" t="s">
        <v>295</v>
      </c>
      <c r="H243" s="101" t="s">
        <v>295</v>
      </c>
      <c r="I243" s="71">
        <v>0.9</v>
      </c>
      <c r="J243" s="72">
        <v>0.763440860215054</v>
      </c>
      <c r="K243" s="72">
        <v>0.603960396039604</v>
      </c>
      <c r="L243" s="73">
        <v>0.797872340425532</v>
      </c>
      <c r="M243" s="72">
        <v>0.735565819861432</v>
      </c>
      <c r="N243" s="74">
        <v>0.9</v>
      </c>
      <c r="O243" s="72">
        <v>0.935739302573473</v>
      </c>
      <c r="P243" s="72">
        <v>0.953405625211793</v>
      </c>
      <c r="Q243" s="72">
        <v>0.907167666561415</v>
      </c>
      <c r="R243" s="72">
        <v>0.914759273875296</v>
      </c>
      <c r="S243" s="74">
        <v>0.9</v>
      </c>
      <c r="T243" s="72">
        <v>0.920359372620679</v>
      </c>
      <c r="U243" s="72">
        <v>0.933751270755676</v>
      </c>
      <c r="V243" s="72">
        <v>0.921692453425955</v>
      </c>
      <c r="W243" s="72">
        <v>0.926072086293081</v>
      </c>
      <c r="X243" s="74">
        <v>0.92</v>
      </c>
      <c r="Y243" s="74">
        <v>0.938725057390076</v>
      </c>
      <c r="Z243" s="74">
        <v>0.952831940575673</v>
      </c>
      <c r="AA243" s="74">
        <v>0.963981663392272</v>
      </c>
      <c r="AB243" s="74">
        <v>0.95484878299183</v>
      </c>
      <c r="AC243" s="74">
        <v>0.92</v>
      </c>
      <c r="AD243" s="72">
        <v>0.99147235176549</v>
      </c>
      <c r="AE243" s="72">
        <v>0.989954531035212</v>
      </c>
      <c r="AF243" s="72">
        <v>0.995531622364803</v>
      </c>
      <c r="AG243" s="72">
        <v>0.920974993880522</v>
      </c>
      <c r="AH243" s="74">
        <v>0.92</v>
      </c>
      <c r="AI243" s="72">
        <v>0.958953393295176</v>
      </c>
      <c r="AJ243" s="72">
        <v>0.966778880226789</v>
      </c>
      <c r="AK243" s="72">
        <v>0.974908424908425</v>
      </c>
      <c r="AL243" s="72">
        <v>0.970625638258926</v>
      </c>
      <c r="AM243" s="71">
        <v>0.99</v>
      </c>
      <c r="AN243" s="76">
        <v>1</v>
      </c>
      <c r="AO243" s="76">
        <v>1</v>
      </c>
      <c r="AP243" s="76">
        <v>1</v>
      </c>
      <c r="AQ243" s="76">
        <v>1</v>
      </c>
      <c r="AR243" s="96">
        <v>0.0922287257019438</v>
      </c>
      <c r="AS243" s="80">
        <v>0.0588235294117647</v>
      </c>
      <c r="AT243" s="80">
        <v>0.0666666666666667</v>
      </c>
      <c r="AU243" s="80">
        <v>0.259259259259259</v>
      </c>
      <c r="AV243" s="80">
        <v>0.087962962962963</v>
      </c>
      <c r="AW243" s="36"/>
      <c r="AX243" s="34"/>
    </row>
    <row r="244" ht="14.5" spans="1:50">
      <c r="A244" s="32"/>
      <c r="B244" s="36"/>
      <c r="C244" s="100" t="s">
        <v>289</v>
      </c>
      <c r="D244" s="69" t="s">
        <v>15</v>
      </c>
      <c r="E244" s="101" t="s">
        <v>296</v>
      </c>
      <c r="F244" s="101" t="s">
        <v>296</v>
      </c>
      <c r="G244" s="101" t="s">
        <v>296</v>
      </c>
      <c r="H244" s="101" t="s">
        <v>296</v>
      </c>
      <c r="I244" s="71">
        <v>0.9</v>
      </c>
      <c r="J244" s="72">
        <v>0.947368421052632</v>
      </c>
      <c r="K244" s="72">
        <v>0.938775510204082</v>
      </c>
      <c r="L244" s="73">
        <v>0.944444444444444</v>
      </c>
      <c r="M244" s="72">
        <v>0.935627081021088</v>
      </c>
      <c r="N244" s="74">
        <v>0.9</v>
      </c>
      <c r="O244" s="72">
        <v>0.951463716982931</v>
      </c>
      <c r="P244" s="72">
        <v>0.922956467272158</v>
      </c>
      <c r="Q244" s="72">
        <v>0.970089832584728</v>
      </c>
      <c r="R244" s="72">
        <v>0.940916039177943</v>
      </c>
      <c r="S244" s="74">
        <v>0.9</v>
      </c>
      <c r="T244" s="72">
        <v>0.923333651187184</v>
      </c>
      <c r="U244" s="72">
        <v>0.935275080906149</v>
      </c>
      <c r="V244" s="72">
        <v>0.955185790118416</v>
      </c>
      <c r="W244" s="72">
        <v>0.925278831455585</v>
      </c>
      <c r="X244" s="74">
        <v>0.92</v>
      </c>
      <c r="Y244" s="74">
        <v>0.977217644207465</v>
      </c>
      <c r="Z244" s="74">
        <v>0.979314253329555</v>
      </c>
      <c r="AA244" s="74">
        <v>0.978595568907247</v>
      </c>
      <c r="AB244" s="74">
        <v>0.974828375286041</v>
      </c>
      <c r="AC244" s="74">
        <v>0.92</v>
      </c>
      <c r="AD244" s="72">
        <v>0.930490654205608</v>
      </c>
      <c r="AE244" s="72">
        <v>0.922181818181818</v>
      </c>
      <c r="AF244" s="72">
        <v>0.974801061007958</v>
      </c>
      <c r="AG244" s="72">
        <v>0.961630516080778</v>
      </c>
      <c r="AH244" s="74">
        <v>0.92</v>
      </c>
      <c r="AI244" s="72">
        <v>0.982825863838522</v>
      </c>
      <c r="AJ244" s="72">
        <v>0.985199877937138</v>
      </c>
      <c r="AK244" s="72">
        <v>0.986999438247332</v>
      </c>
      <c r="AL244" s="72">
        <v>0.984511398000531</v>
      </c>
      <c r="AM244" s="71">
        <v>0.99</v>
      </c>
      <c r="AN244" s="76">
        <v>1</v>
      </c>
      <c r="AO244" s="76">
        <v>1</v>
      </c>
      <c r="AP244" s="76">
        <v>1</v>
      </c>
      <c r="AQ244" s="76">
        <v>1</v>
      </c>
      <c r="AR244" s="96">
        <v>0.0922287257019438</v>
      </c>
      <c r="AS244" s="80">
        <v>0.136363636363636</v>
      </c>
      <c r="AT244" s="80">
        <v>0.153846153846154</v>
      </c>
      <c r="AU244" s="80">
        <v>0.0869565217391304</v>
      </c>
      <c r="AV244" s="80">
        <v>0.139240506329114</v>
      </c>
      <c r="AW244" s="36"/>
      <c r="AX244" s="34"/>
    </row>
    <row r="245" ht="14.5" spans="1:50">
      <c r="A245" s="32"/>
      <c r="B245" s="36"/>
      <c r="C245" s="100" t="s">
        <v>289</v>
      </c>
      <c r="D245" s="69" t="s">
        <v>15</v>
      </c>
      <c r="E245" s="101" t="s">
        <v>297</v>
      </c>
      <c r="F245" s="101" t="s">
        <v>297</v>
      </c>
      <c r="G245" s="101" t="s">
        <v>297</v>
      </c>
      <c r="H245" s="101" t="s">
        <v>297</v>
      </c>
      <c r="I245" s="71">
        <v>0.9</v>
      </c>
      <c r="J245" s="72">
        <v>0.91358024691358</v>
      </c>
      <c r="K245" s="72">
        <v>0.921348314606742</v>
      </c>
      <c r="L245" s="73">
        <v>0.927083333333333</v>
      </c>
      <c r="M245" s="72">
        <v>0.90818858560794</v>
      </c>
      <c r="N245" s="74">
        <v>0.9</v>
      </c>
      <c r="O245" s="72">
        <v>0.957671957671958</v>
      </c>
      <c r="P245" s="72">
        <v>0.958615037902069</v>
      </c>
      <c r="Q245" s="72">
        <v>0.990889285006932</v>
      </c>
      <c r="R245" s="72">
        <v>0.955774528501801</v>
      </c>
      <c r="S245" s="74">
        <v>0.9</v>
      </c>
      <c r="T245" s="72">
        <v>0.895092136471447</v>
      </c>
      <c r="U245" s="72">
        <v>0.928498258553575</v>
      </c>
      <c r="V245" s="72">
        <v>0.940186175480293</v>
      </c>
      <c r="W245" s="72">
        <v>0.915215087942361</v>
      </c>
      <c r="X245" s="74">
        <v>0.92</v>
      </c>
      <c r="Y245" s="74">
        <v>0.947535771065183</v>
      </c>
      <c r="Z245" s="74">
        <v>0.968416269029766</v>
      </c>
      <c r="AA245" s="74">
        <v>0.976629766297663</v>
      </c>
      <c r="AB245" s="74">
        <v>0.970506636006898</v>
      </c>
      <c r="AC245" s="74">
        <v>0.92</v>
      </c>
      <c r="AD245" s="72">
        <v>0.974911001864723</v>
      </c>
      <c r="AE245" s="72">
        <v>0.986786379806878</v>
      </c>
      <c r="AF245" s="72">
        <v>0.971944245889921</v>
      </c>
      <c r="AG245" s="72">
        <v>0.976314641685472</v>
      </c>
      <c r="AH245" s="74">
        <v>0.92</v>
      </c>
      <c r="AI245" s="72">
        <v>0.965185960239703</v>
      </c>
      <c r="AJ245" s="72">
        <v>0.980394269094043</v>
      </c>
      <c r="AK245" s="72">
        <v>0.985629662132514</v>
      </c>
      <c r="AL245" s="72">
        <v>0.981665577379519</v>
      </c>
      <c r="AM245" s="71">
        <v>0.99</v>
      </c>
      <c r="AN245" s="76">
        <v>1</v>
      </c>
      <c r="AO245" s="76">
        <v>1</v>
      </c>
      <c r="AP245" s="76">
        <v>1</v>
      </c>
      <c r="AQ245" s="76">
        <v>1</v>
      </c>
      <c r="AR245" s="96">
        <v>0.0922287257019438</v>
      </c>
      <c r="AS245" s="80">
        <v>0.142857142857143</v>
      </c>
      <c r="AT245" s="80">
        <v>0.0833333333333333</v>
      </c>
      <c r="AU245" s="80">
        <v>0</v>
      </c>
      <c r="AV245" s="80">
        <v>0.111801242236025</v>
      </c>
      <c r="AW245" s="36"/>
      <c r="AX245" s="34"/>
    </row>
    <row r="246" ht="14.5" spans="1:50">
      <c r="A246" s="32"/>
      <c r="B246" s="36"/>
      <c r="C246" s="100" t="s">
        <v>289</v>
      </c>
      <c r="D246" s="69" t="s">
        <v>15</v>
      </c>
      <c r="E246" s="101" t="s">
        <v>298</v>
      </c>
      <c r="F246" s="101" t="s">
        <v>298</v>
      </c>
      <c r="G246" s="101" t="s">
        <v>298</v>
      </c>
      <c r="H246" s="101" t="s">
        <v>298</v>
      </c>
      <c r="I246" s="71">
        <v>0.9</v>
      </c>
      <c r="J246" s="72">
        <v>0</v>
      </c>
      <c r="K246" s="72">
        <v>0</v>
      </c>
      <c r="L246" s="73">
        <v>0</v>
      </c>
      <c r="M246" s="72">
        <v>0</v>
      </c>
      <c r="N246" s="74">
        <v>0.9</v>
      </c>
      <c r="O246" s="72">
        <v>0</v>
      </c>
      <c r="P246" s="72">
        <v>0</v>
      </c>
      <c r="Q246" s="72">
        <v>0</v>
      </c>
      <c r="R246" s="72">
        <v>0</v>
      </c>
      <c r="S246" s="74">
        <v>0.9</v>
      </c>
      <c r="T246" s="72">
        <v>0</v>
      </c>
      <c r="U246" s="72">
        <v>0</v>
      </c>
      <c r="V246" s="72">
        <v>0</v>
      </c>
      <c r="W246" s="72">
        <v>0</v>
      </c>
      <c r="X246" s="74">
        <v>0.92</v>
      </c>
      <c r="Y246" s="74">
        <v>0</v>
      </c>
      <c r="Z246" s="74">
        <v>0</v>
      </c>
      <c r="AA246" s="74">
        <v>0</v>
      </c>
      <c r="AB246" s="74">
        <v>0</v>
      </c>
      <c r="AC246" s="74">
        <v>0.92</v>
      </c>
      <c r="AD246" s="72">
        <v>1</v>
      </c>
      <c r="AE246" s="72">
        <v>0.967836257309941</v>
      </c>
      <c r="AF246" s="72">
        <v>0.989690721649485</v>
      </c>
      <c r="AG246" s="72">
        <v>0.981857991867376</v>
      </c>
      <c r="AH246" s="74">
        <v>0.92</v>
      </c>
      <c r="AI246" s="72">
        <v>0</v>
      </c>
      <c r="AJ246" s="72">
        <v>0</v>
      </c>
      <c r="AK246" s="72">
        <v>0</v>
      </c>
      <c r="AL246" s="72">
        <v>0</v>
      </c>
      <c r="AM246" s="71">
        <v>0.99</v>
      </c>
      <c r="AN246" s="76">
        <v>1</v>
      </c>
      <c r="AO246" s="76">
        <v>1</v>
      </c>
      <c r="AP246" s="76">
        <v>1</v>
      </c>
      <c r="AQ246" s="76">
        <v>1</v>
      </c>
      <c r="AR246" s="96">
        <v>0.0922287257019438</v>
      </c>
      <c r="AS246" s="80">
        <v>0</v>
      </c>
      <c r="AT246" s="80">
        <v>0</v>
      </c>
      <c r="AU246" s="80">
        <v>0</v>
      </c>
      <c r="AV246" s="80">
        <v>0</v>
      </c>
      <c r="AW246" s="36"/>
      <c r="AX246" s="34"/>
    </row>
    <row r="247" ht="14.5" spans="1:50">
      <c r="A247" s="32"/>
      <c r="B247" s="36"/>
      <c r="C247" s="100" t="s">
        <v>289</v>
      </c>
      <c r="D247" s="69" t="s">
        <v>15</v>
      </c>
      <c r="E247" s="101" t="s">
        <v>299</v>
      </c>
      <c r="F247" s="101" t="s">
        <v>299</v>
      </c>
      <c r="G247" s="101" t="s">
        <v>299</v>
      </c>
      <c r="H247" s="101" t="s">
        <v>299</v>
      </c>
      <c r="I247" s="71">
        <v>0.9</v>
      </c>
      <c r="J247" s="72">
        <v>0.857142857142857</v>
      </c>
      <c r="K247" s="72">
        <v>0.928571428571429</v>
      </c>
      <c r="L247" s="73">
        <v>0.785714285714286</v>
      </c>
      <c r="M247" s="72">
        <v>0.818897637795276</v>
      </c>
      <c r="N247" s="74">
        <v>0.9</v>
      </c>
      <c r="O247" s="72">
        <v>0.964312832194381</v>
      </c>
      <c r="P247" s="72">
        <v>0.991850040749796</v>
      </c>
      <c r="Q247" s="72">
        <v>0.983180428134557</v>
      </c>
      <c r="R247" s="72">
        <v>0.946678476527901</v>
      </c>
      <c r="S247" s="74">
        <v>0.9</v>
      </c>
      <c r="T247" s="72">
        <v>0.916476841305998</v>
      </c>
      <c r="U247" s="72">
        <v>0.961695191524042</v>
      </c>
      <c r="V247" s="72">
        <v>0.921253822629969</v>
      </c>
      <c r="W247" s="72">
        <v>0.928077945084145</v>
      </c>
      <c r="X247" s="74">
        <v>0.92</v>
      </c>
      <c r="Y247" s="74">
        <v>0.887589928057554</v>
      </c>
      <c r="Z247" s="74">
        <v>0.964660936007641</v>
      </c>
      <c r="AA247" s="74">
        <v>0.964705882352941</v>
      </c>
      <c r="AB247" s="74">
        <v>0.946139233433903</v>
      </c>
      <c r="AC247" s="74">
        <v>0.92</v>
      </c>
      <c r="AD247" s="72">
        <v>0.997124697336562</v>
      </c>
      <c r="AE247" s="72">
        <v>0.999211000901713</v>
      </c>
      <c r="AF247" s="72">
        <v>0.997986154814349</v>
      </c>
      <c r="AG247" s="72">
        <v>0.988497027709198</v>
      </c>
      <c r="AH247" s="74">
        <v>0.92</v>
      </c>
      <c r="AI247" s="72">
        <v>0.923488276429453</v>
      </c>
      <c r="AJ247" s="72">
        <v>0.976713532513181</v>
      </c>
      <c r="AK247" s="72">
        <v>0.974587605884976</v>
      </c>
      <c r="AL247" s="72">
        <v>0.965423561373179</v>
      </c>
      <c r="AM247" s="71">
        <v>0.99</v>
      </c>
      <c r="AN247" s="76">
        <v>1</v>
      </c>
      <c r="AO247" s="76">
        <v>1</v>
      </c>
      <c r="AP247" s="76">
        <v>1</v>
      </c>
      <c r="AQ247" s="76">
        <v>1</v>
      </c>
      <c r="AR247" s="96">
        <v>0.0922287257019438</v>
      </c>
      <c r="AS247" s="80">
        <v>0.166666666666667</v>
      </c>
      <c r="AT247" s="80">
        <v>0</v>
      </c>
      <c r="AU247" s="80">
        <v>0</v>
      </c>
      <c r="AV247" s="80">
        <v>0.0545454545454545</v>
      </c>
      <c r="AW247" s="36"/>
      <c r="AX247" s="34"/>
    </row>
    <row r="248" ht="14.5" spans="1:50">
      <c r="A248" s="32"/>
      <c r="B248" s="36"/>
      <c r="C248" s="100" t="s">
        <v>289</v>
      </c>
      <c r="D248" s="69" t="s">
        <v>15</v>
      </c>
      <c r="E248" s="101" t="s">
        <v>300</v>
      </c>
      <c r="F248" s="101" t="s">
        <v>300</v>
      </c>
      <c r="G248" s="101" t="s">
        <v>300</v>
      </c>
      <c r="H248" s="101" t="s">
        <v>300</v>
      </c>
      <c r="I248" s="71">
        <v>0.9</v>
      </c>
      <c r="J248" s="72">
        <v>0</v>
      </c>
      <c r="K248" s="72">
        <v>0</v>
      </c>
      <c r="L248" s="73">
        <v>0</v>
      </c>
      <c r="M248" s="72">
        <v>0</v>
      </c>
      <c r="N248" s="74">
        <v>0.9</v>
      </c>
      <c r="O248" s="72">
        <v>0</v>
      </c>
      <c r="P248" s="72">
        <v>0</v>
      </c>
      <c r="Q248" s="72">
        <v>0</v>
      </c>
      <c r="R248" s="72">
        <v>0.222222222222222</v>
      </c>
      <c r="S248" s="74">
        <v>0.9</v>
      </c>
      <c r="T248" s="72">
        <v>0</v>
      </c>
      <c r="U248" s="72">
        <v>0</v>
      </c>
      <c r="V248" s="72">
        <v>0</v>
      </c>
      <c r="W248" s="72">
        <v>0.111111111111111</v>
      </c>
      <c r="X248" s="74">
        <v>0.92</v>
      </c>
      <c r="Y248" s="74">
        <v>0</v>
      </c>
      <c r="Z248" s="74">
        <v>0</v>
      </c>
      <c r="AA248" s="74">
        <v>0</v>
      </c>
      <c r="AB248" s="74">
        <v>0</v>
      </c>
      <c r="AC248" s="74">
        <v>0.92</v>
      </c>
      <c r="AD248" s="72">
        <v>0.998744901160966</v>
      </c>
      <c r="AE248" s="72">
        <v>0.97518895826487</v>
      </c>
      <c r="AF248" s="72">
        <v>0.998484244116474</v>
      </c>
      <c r="AG248" s="72">
        <v>0.952853110372673</v>
      </c>
      <c r="AH248" s="74">
        <v>0.92</v>
      </c>
      <c r="AI248" s="72">
        <v>0</v>
      </c>
      <c r="AJ248" s="72">
        <v>0</v>
      </c>
      <c r="AK248" s="72">
        <v>0</v>
      </c>
      <c r="AL248" s="72">
        <v>0.181818181818182</v>
      </c>
      <c r="AM248" s="71">
        <v>0.99</v>
      </c>
      <c r="AN248" s="76">
        <v>0</v>
      </c>
      <c r="AO248" s="76">
        <v>1</v>
      </c>
      <c r="AP248" s="76">
        <v>1</v>
      </c>
      <c r="AQ248" s="76">
        <v>1</v>
      </c>
      <c r="AR248" s="96">
        <v>0.0922287257019438</v>
      </c>
      <c r="AS248" s="80">
        <v>0</v>
      </c>
      <c r="AT248" s="80">
        <v>0</v>
      </c>
      <c r="AU248" s="80">
        <v>0</v>
      </c>
      <c r="AV248" s="80">
        <v>0</v>
      </c>
      <c r="AW248" s="36"/>
      <c r="AX248" s="34"/>
    </row>
    <row r="249" ht="14.5" spans="1:50">
      <c r="A249" s="32"/>
      <c r="B249" s="36"/>
      <c r="C249" s="100" t="s">
        <v>289</v>
      </c>
      <c r="D249" s="69" t="s">
        <v>15</v>
      </c>
      <c r="E249" s="101" t="s">
        <v>301</v>
      </c>
      <c r="F249" s="101" t="s">
        <v>301</v>
      </c>
      <c r="G249" s="101" t="s">
        <v>301</v>
      </c>
      <c r="H249" s="101" t="s">
        <v>301</v>
      </c>
      <c r="I249" s="71">
        <v>0.9</v>
      </c>
      <c r="J249" s="72">
        <v>0</v>
      </c>
      <c r="K249" s="72">
        <v>0</v>
      </c>
      <c r="L249" s="73">
        <v>0</v>
      </c>
      <c r="M249" s="72">
        <v>0</v>
      </c>
      <c r="N249" s="74">
        <v>0.9</v>
      </c>
      <c r="O249" s="72">
        <v>0</v>
      </c>
      <c r="P249" s="72">
        <v>0</v>
      </c>
      <c r="Q249" s="72">
        <v>1</v>
      </c>
      <c r="R249" s="72">
        <v>1</v>
      </c>
      <c r="S249" s="74">
        <v>0.9</v>
      </c>
      <c r="T249" s="72">
        <v>0</v>
      </c>
      <c r="U249" s="72">
        <v>0</v>
      </c>
      <c r="V249" s="72">
        <v>1</v>
      </c>
      <c r="W249" s="72">
        <v>1</v>
      </c>
      <c r="X249" s="74">
        <v>0.92</v>
      </c>
      <c r="Y249" s="74">
        <v>0</v>
      </c>
      <c r="Z249" s="74">
        <v>0</v>
      </c>
      <c r="AA249" s="74">
        <v>0</v>
      </c>
      <c r="AB249" s="74">
        <v>0</v>
      </c>
      <c r="AC249" s="74">
        <v>0.92</v>
      </c>
      <c r="AD249" s="72">
        <v>0.999598715890851</v>
      </c>
      <c r="AE249" s="72">
        <v>1</v>
      </c>
      <c r="AF249" s="72">
        <v>1</v>
      </c>
      <c r="AG249" s="72">
        <v>0.999180375856215</v>
      </c>
      <c r="AH249" s="74">
        <v>0.92</v>
      </c>
      <c r="AI249" s="72">
        <v>0</v>
      </c>
      <c r="AJ249" s="72">
        <v>0</v>
      </c>
      <c r="AK249" s="72">
        <v>1</v>
      </c>
      <c r="AL249" s="72">
        <v>0.5</v>
      </c>
      <c r="AM249" s="71">
        <v>0.99</v>
      </c>
      <c r="AN249" s="76">
        <v>1</v>
      </c>
      <c r="AO249" s="76">
        <v>1</v>
      </c>
      <c r="AP249" s="76">
        <v>1</v>
      </c>
      <c r="AQ249" s="76">
        <v>1</v>
      </c>
      <c r="AR249" s="96">
        <v>0.0922287257019438</v>
      </c>
      <c r="AS249" s="80">
        <v>0</v>
      </c>
      <c r="AT249" s="80">
        <v>0</v>
      </c>
      <c r="AU249" s="80">
        <v>0</v>
      </c>
      <c r="AV249" s="80">
        <v>1</v>
      </c>
      <c r="AW249" s="36"/>
      <c r="AX249" s="34"/>
    </row>
    <row r="250" ht="14.5" spans="1:50">
      <c r="A250" s="32"/>
      <c r="B250" s="36"/>
      <c r="C250" s="100" t="s">
        <v>289</v>
      </c>
      <c r="D250" s="69" t="s">
        <v>15</v>
      </c>
      <c r="E250" s="101" t="s">
        <v>302</v>
      </c>
      <c r="F250" s="101" t="s">
        <v>302</v>
      </c>
      <c r="G250" s="101" t="s">
        <v>302</v>
      </c>
      <c r="H250" s="101" t="s">
        <v>302</v>
      </c>
      <c r="I250" s="71">
        <v>0.9</v>
      </c>
      <c r="J250" s="72">
        <v>0</v>
      </c>
      <c r="K250" s="72">
        <v>0</v>
      </c>
      <c r="L250" s="73">
        <v>0</v>
      </c>
      <c r="M250" s="72">
        <v>0</v>
      </c>
      <c r="N250" s="74">
        <v>0.9</v>
      </c>
      <c r="O250" s="72">
        <v>0.6875</v>
      </c>
      <c r="P250" s="72">
        <v>0.448275862068966</v>
      </c>
      <c r="Q250" s="72">
        <v>0.91304347826087</v>
      </c>
      <c r="R250" s="72">
        <v>0.696</v>
      </c>
      <c r="S250" s="74">
        <v>0.9</v>
      </c>
      <c r="T250" s="72">
        <v>0.375</v>
      </c>
      <c r="U250" s="72">
        <v>0.689655172413793</v>
      </c>
      <c r="V250" s="72">
        <v>0.565217391304348</v>
      </c>
      <c r="W250" s="72">
        <v>0.632</v>
      </c>
      <c r="X250" s="74">
        <v>0.92</v>
      </c>
      <c r="Y250" s="74">
        <v>0</v>
      </c>
      <c r="Z250" s="74">
        <v>0.5</v>
      </c>
      <c r="AA250" s="74">
        <v>1</v>
      </c>
      <c r="AB250" s="74">
        <v>0.466666666666667</v>
      </c>
      <c r="AC250" s="74">
        <v>0.92</v>
      </c>
      <c r="AD250" s="72">
        <v>0.941176470588235</v>
      </c>
      <c r="AE250" s="72">
        <v>0.63622599958709</v>
      </c>
      <c r="AF250" s="72">
        <v>0.920677858222611</v>
      </c>
      <c r="AG250" s="72">
        <v>0.80309470577319</v>
      </c>
      <c r="AH250" s="74">
        <v>0.92</v>
      </c>
      <c r="AI250" s="72">
        <v>0.375</v>
      </c>
      <c r="AJ250" s="72">
        <v>0.787878787878788</v>
      </c>
      <c r="AK250" s="72">
        <v>0.653846153846154</v>
      </c>
      <c r="AL250" s="72">
        <v>0.668831168831169</v>
      </c>
      <c r="AM250" s="71">
        <v>0.99</v>
      </c>
      <c r="AN250" s="76">
        <v>1</v>
      </c>
      <c r="AO250" s="76">
        <v>1</v>
      </c>
      <c r="AP250" s="76">
        <v>1</v>
      </c>
      <c r="AQ250" s="76">
        <v>1</v>
      </c>
      <c r="AR250" s="96">
        <v>0.0922287257019438</v>
      </c>
      <c r="AS250" s="80">
        <v>0</v>
      </c>
      <c r="AT250" s="80">
        <v>0</v>
      </c>
      <c r="AU250" s="80">
        <v>0</v>
      </c>
      <c r="AV250" s="80">
        <v>0</v>
      </c>
      <c r="AW250" s="36"/>
      <c r="AX250" s="34"/>
    </row>
    <row r="251" ht="14.5" spans="1:50">
      <c r="A251" s="32"/>
      <c r="B251" s="36"/>
      <c r="C251" s="100" t="s">
        <v>289</v>
      </c>
      <c r="D251" s="69" t="s">
        <v>15</v>
      </c>
      <c r="E251" s="101" t="s">
        <v>303</v>
      </c>
      <c r="F251" s="101" t="s">
        <v>303</v>
      </c>
      <c r="G251" s="101" t="s">
        <v>303</v>
      </c>
      <c r="H251" s="101" t="s">
        <v>303</v>
      </c>
      <c r="I251" s="71">
        <v>0.9</v>
      </c>
      <c r="J251" s="72">
        <v>0</v>
      </c>
      <c r="K251" s="72">
        <v>0</v>
      </c>
      <c r="L251" s="73">
        <v>0</v>
      </c>
      <c r="M251" s="72">
        <v>0</v>
      </c>
      <c r="N251" s="74">
        <v>0.9</v>
      </c>
      <c r="O251" s="72">
        <v>0</v>
      </c>
      <c r="P251" s="72">
        <v>0</v>
      </c>
      <c r="Q251" s="72">
        <v>1</v>
      </c>
      <c r="R251" s="72">
        <v>1</v>
      </c>
      <c r="S251" s="74">
        <v>0.9</v>
      </c>
      <c r="T251" s="72">
        <v>0</v>
      </c>
      <c r="U251" s="72">
        <v>0</v>
      </c>
      <c r="V251" s="72">
        <v>1</v>
      </c>
      <c r="W251" s="72">
        <v>0.5</v>
      </c>
      <c r="X251" s="74">
        <v>0.92</v>
      </c>
      <c r="Y251" s="74">
        <v>0</v>
      </c>
      <c r="Z251" s="74">
        <v>0</v>
      </c>
      <c r="AA251" s="74">
        <v>0</v>
      </c>
      <c r="AB251" s="74">
        <v>1</v>
      </c>
      <c r="AC251" s="74">
        <v>0.92</v>
      </c>
      <c r="AD251" s="72">
        <v>0.898299319727891</v>
      </c>
      <c r="AE251" s="72">
        <v>0.985273159144893</v>
      </c>
      <c r="AF251" s="72">
        <v>0.993606819392648</v>
      </c>
      <c r="AG251" s="72">
        <v>0.943252866795637</v>
      </c>
      <c r="AH251" s="74">
        <v>0.92</v>
      </c>
      <c r="AI251" s="72">
        <v>0</v>
      </c>
      <c r="AJ251" s="72">
        <v>0</v>
      </c>
      <c r="AK251" s="72">
        <v>1</v>
      </c>
      <c r="AL251" s="72">
        <v>0.75</v>
      </c>
      <c r="AM251" s="71">
        <v>0.99</v>
      </c>
      <c r="AN251" s="76">
        <v>0</v>
      </c>
      <c r="AO251" s="76">
        <v>1</v>
      </c>
      <c r="AP251" s="76">
        <v>0</v>
      </c>
      <c r="AQ251" s="76">
        <v>1</v>
      </c>
      <c r="AR251" s="96">
        <v>0.0922287257019438</v>
      </c>
      <c r="AS251" s="80">
        <v>0</v>
      </c>
      <c r="AT251" s="80">
        <v>0</v>
      </c>
      <c r="AU251" s="80">
        <v>0</v>
      </c>
      <c r="AV251" s="80">
        <v>0</v>
      </c>
      <c r="AW251" s="36"/>
      <c r="AX251" s="34"/>
    </row>
    <row r="252" ht="14.5" spans="1:50">
      <c r="A252" s="32"/>
      <c r="B252" s="36"/>
      <c r="C252" s="100" t="s">
        <v>289</v>
      </c>
      <c r="D252" s="69" t="s">
        <v>15</v>
      </c>
      <c r="E252" s="101" t="s">
        <v>304</v>
      </c>
      <c r="F252" s="101" t="s">
        <v>304</v>
      </c>
      <c r="G252" s="101" t="s">
        <v>304</v>
      </c>
      <c r="H252" s="101" t="s">
        <v>304</v>
      </c>
      <c r="I252" s="71">
        <v>0.9</v>
      </c>
      <c r="J252" s="72">
        <v>0.974025974025974</v>
      </c>
      <c r="K252" s="72">
        <v>0.963414634146341</v>
      </c>
      <c r="L252" s="73">
        <v>0.9625</v>
      </c>
      <c r="M252" s="72">
        <v>0.93361581920904</v>
      </c>
      <c r="N252" s="74">
        <v>0.9</v>
      </c>
      <c r="O252" s="72">
        <v>0.919199843106491</v>
      </c>
      <c r="P252" s="72">
        <v>0.932446922582029</v>
      </c>
      <c r="Q252" s="72">
        <v>0.912266772528781</v>
      </c>
      <c r="R252" s="72">
        <v>0.886977556780003</v>
      </c>
      <c r="S252" s="74">
        <v>0.9</v>
      </c>
      <c r="T252" s="72">
        <v>0.919003726220828</v>
      </c>
      <c r="U252" s="72">
        <v>0.942955179069269</v>
      </c>
      <c r="V252" s="72">
        <v>0.936681222707424</v>
      </c>
      <c r="W252" s="72">
        <v>0.928302647493616</v>
      </c>
      <c r="X252" s="74">
        <v>0.92</v>
      </c>
      <c r="Y252" s="74">
        <v>0.966454352441614</v>
      </c>
      <c r="Z252" s="74">
        <v>0.981965734896303</v>
      </c>
      <c r="AA252" s="74">
        <v>0.98838358872961</v>
      </c>
      <c r="AB252" s="74">
        <v>0.982186669392762</v>
      </c>
      <c r="AC252" s="74">
        <v>0.92</v>
      </c>
      <c r="AD252" s="72">
        <v>0.996560619088564</v>
      </c>
      <c r="AE252" s="72">
        <v>0.97914963205233</v>
      </c>
      <c r="AF252" s="72">
        <v>0.974530831099196</v>
      </c>
      <c r="AG252" s="72">
        <v>0.985004350273811</v>
      </c>
      <c r="AH252" s="74">
        <v>0.92</v>
      </c>
      <c r="AI252" s="72">
        <v>0.976452599388379</v>
      </c>
      <c r="AJ252" s="72">
        <v>0.988570172546434</v>
      </c>
      <c r="AK252" s="72">
        <v>0.99240589918556</v>
      </c>
      <c r="AL252" s="72">
        <v>0.988935702946899</v>
      </c>
      <c r="AM252" s="71">
        <v>0.99</v>
      </c>
      <c r="AN252" s="76">
        <v>1</v>
      </c>
      <c r="AO252" s="76">
        <v>1</v>
      </c>
      <c r="AP252" s="76">
        <v>1</v>
      </c>
      <c r="AQ252" s="76">
        <v>1</v>
      </c>
      <c r="AR252" s="96">
        <v>0.0922287257019438</v>
      </c>
      <c r="AS252" s="80">
        <v>0</v>
      </c>
      <c r="AT252" s="80">
        <v>0.260869565217391</v>
      </c>
      <c r="AU252" s="80">
        <v>0</v>
      </c>
      <c r="AV252" s="80">
        <v>0.0776255707762557</v>
      </c>
      <c r="AW252" s="36"/>
      <c r="AX252" s="34"/>
    </row>
    <row r="253" ht="14.5" spans="1:50">
      <c r="A253" s="32"/>
      <c r="B253" s="36"/>
      <c r="C253" s="100" t="s">
        <v>289</v>
      </c>
      <c r="D253" s="69" t="s">
        <v>15</v>
      </c>
      <c r="E253" s="101" t="s">
        <v>305</v>
      </c>
      <c r="F253" s="101" t="s">
        <v>305</v>
      </c>
      <c r="G253" s="101" t="s">
        <v>305</v>
      </c>
      <c r="H253" s="101" t="s">
        <v>305</v>
      </c>
      <c r="I253" s="71">
        <v>0.9</v>
      </c>
      <c r="J253" s="72">
        <v>0.961904761904762</v>
      </c>
      <c r="K253" s="72">
        <v>0.983471074380165</v>
      </c>
      <c r="L253" s="73">
        <v>0.953125</v>
      </c>
      <c r="M253" s="72">
        <v>0.969387755102041</v>
      </c>
      <c r="N253" s="74">
        <v>0.9</v>
      </c>
      <c r="O253" s="72">
        <v>0.888194444444444</v>
      </c>
      <c r="P253" s="72">
        <v>0.957987738910927</v>
      </c>
      <c r="Q253" s="72">
        <v>0.956720561816103</v>
      </c>
      <c r="R253" s="72">
        <v>0.94945567651633</v>
      </c>
      <c r="S253" s="74">
        <v>0.9</v>
      </c>
      <c r="T253" s="72">
        <v>0.866666666666667</v>
      </c>
      <c r="U253" s="72">
        <v>0.929679047962495</v>
      </c>
      <c r="V253" s="72">
        <v>0.931569492079046</v>
      </c>
      <c r="W253" s="72">
        <v>0.919517884914463</v>
      </c>
      <c r="X253" s="74">
        <v>0.92</v>
      </c>
      <c r="Y253" s="74">
        <v>0.900974025974026</v>
      </c>
      <c r="Z253" s="74">
        <v>0.949062754686227</v>
      </c>
      <c r="AA253" s="74">
        <v>0.960589089400539</v>
      </c>
      <c r="AB253" s="74">
        <v>0.950911486931693</v>
      </c>
      <c r="AC253" s="74">
        <v>0.92</v>
      </c>
      <c r="AD253" s="72">
        <v>0.996059975922075</v>
      </c>
      <c r="AE253" s="72">
        <v>0.900551329471701</v>
      </c>
      <c r="AF253" s="72">
        <v>0.98715524034673</v>
      </c>
      <c r="AG253" s="72">
        <v>0.924873128799165</v>
      </c>
      <c r="AH253" s="74">
        <v>0.92</v>
      </c>
      <c r="AI253" s="72">
        <v>0.924546660769571</v>
      </c>
      <c r="AJ253" s="72">
        <v>0.965378729915838</v>
      </c>
      <c r="AK253" s="72">
        <v>0.974063926940639</v>
      </c>
      <c r="AL253" s="72">
        <v>0.966813314851644</v>
      </c>
      <c r="AM253" s="71">
        <v>0.99</v>
      </c>
      <c r="AN253" s="76">
        <v>1</v>
      </c>
      <c r="AO253" s="76">
        <v>1</v>
      </c>
      <c r="AP253" s="76">
        <v>1</v>
      </c>
      <c r="AQ253" s="76">
        <v>1</v>
      </c>
      <c r="AR253" s="96">
        <v>0.0922287257019438</v>
      </c>
      <c r="AS253" s="80">
        <v>0.0566037735849057</v>
      </c>
      <c r="AT253" s="80">
        <v>0.0444444444444444</v>
      </c>
      <c r="AU253" s="80">
        <v>0.075</v>
      </c>
      <c r="AV253" s="80">
        <v>0.0447761194029851</v>
      </c>
      <c r="AW253" s="36"/>
      <c r="AX253" s="34"/>
    </row>
    <row r="254" ht="14.5" spans="1:50">
      <c r="A254" s="32"/>
      <c r="B254" s="36"/>
      <c r="C254" s="100" t="s">
        <v>289</v>
      </c>
      <c r="D254" s="69" t="s">
        <v>15</v>
      </c>
      <c r="E254" s="101" t="s">
        <v>306</v>
      </c>
      <c r="F254" s="101" t="s">
        <v>306</v>
      </c>
      <c r="G254" s="101" t="s">
        <v>306</v>
      </c>
      <c r="H254" s="101" t="s">
        <v>306</v>
      </c>
      <c r="I254" s="71">
        <v>0.9</v>
      </c>
      <c r="J254" s="72">
        <v>0.956521739130435</v>
      </c>
      <c r="K254" s="72">
        <v>0.97</v>
      </c>
      <c r="L254" s="73">
        <v>0.945454545454545</v>
      </c>
      <c r="M254" s="72">
        <v>0.943894389438944</v>
      </c>
      <c r="N254" s="74">
        <v>0.9</v>
      </c>
      <c r="O254" s="72">
        <v>0.929886553840432</v>
      </c>
      <c r="P254" s="72">
        <v>0.961444308445532</v>
      </c>
      <c r="Q254" s="72">
        <v>0.963811602109474</v>
      </c>
      <c r="R254" s="72">
        <v>0.946734345710735</v>
      </c>
      <c r="S254" s="74">
        <v>0.9</v>
      </c>
      <c r="T254" s="72">
        <v>0.941789101729589</v>
      </c>
      <c r="U254" s="72">
        <v>0.952468380252958</v>
      </c>
      <c r="V254" s="72">
        <v>0.952354973631569</v>
      </c>
      <c r="W254" s="72">
        <v>0.945639124665642</v>
      </c>
      <c r="X254" s="74">
        <v>0.92</v>
      </c>
      <c r="Y254" s="74">
        <v>0.964307320024198</v>
      </c>
      <c r="Z254" s="74">
        <v>0.989652623798965</v>
      </c>
      <c r="AA254" s="74">
        <v>0.98829475924448</v>
      </c>
      <c r="AB254" s="74">
        <v>0.983452981009114</v>
      </c>
      <c r="AC254" s="74">
        <v>0.92</v>
      </c>
      <c r="AD254" s="72">
        <v>0.989736891211047</v>
      </c>
      <c r="AE254" s="72">
        <v>0.969290399522958</v>
      </c>
      <c r="AF254" s="72">
        <v>0.981534910559723</v>
      </c>
      <c r="AG254" s="72">
        <v>0.985907897205027</v>
      </c>
      <c r="AH254" s="74">
        <v>0.92</v>
      </c>
      <c r="AI254" s="72">
        <v>0.974552491533624</v>
      </c>
      <c r="AJ254" s="72">
        <v>0.991741993081129</v>
      </c>
      <c r="AK254" s="72">
        <v>0.992330957010153</v>
      </c>
      <c r="AL254" s="72">
        <v>0.989397257116515</v>
      </c>
      <c r="AM254" s="71">
        <v>0.99</v>
      </c>
      <c r="AN254" s="76">
        <v>1</v>
      </c>
      <c r="AO254" s="76">
        <v>1</v>
      </c>
      <c r="AP254" s="76">
        <v>1</v>
      </c>
      <c r="AQ254" s="76">
        <v>1</v>
      </c>
      <c r="AR254" s="96">
        <v>0.0922287257019438</v>
      </c>
      <c r="AS254" s="80">
        <v>0.285714285714286</v>
      </c>
      <c r="AT254" s="80">
        <v>0.121212121212121</v>
      </c>
      <c r="AU254" s="80">
        <v>0.111111111111111</v>
      </c>
      <c r="AV254" s="80">
        <v>0.114478114478114</v>
      </c>
      <c r="AW254" s="36"/>
      <c r="AX254" s="34"/>
    </row>
    <row r="255" ht="14.5" spans="1:50">
      <c r="A255" s="32"/>
      <c r="B255" s="36"/>
      <c r="C255" s="100" t="s">
        <v>289</v>
      </c>
      <c r="D255" s="69" t="s">
        <v>15</v>
      </c>
      <c r="E255" s="101" t="s">
        <v>14</v>
      </c>
      <c r="F255" s="101" t="s">
        <v>14</v>
      </c>
      <c r="G255" s="101" t="s">
        <v>14</v>
      </c>
      <c r="H255" s="101" t="s">
        <v>14</v>
      </c>
      <c r="I255" s="71">
        <v>0.9</v>
      </c>
      <c r="J255" s="72">
        <v>0</v>
      </c>
      <c r="K255" s="72">
        <v>0</v>
      </c>
      <c r="L255" s="73">
        <v>0</v>
      </c>
      <c r="M255" s="72">
        <v>0</v>
      </c>
      <c r="N255" s="74">
        <v>0.9</v>
      </c>
      <c r="O255" s="72">
        <v>0</v>
      </c>
      <c r="P255" s="72">
        <v>0</v>
      </c>
      <c r="Q255" s="72">
        <v>0</v>
      </c>
      <c r="R255" s="72">
        <v>0</v>
      </c>
      <c r="S255" s="74">
        <v>0.9</v>
      </c>
      <c r="T255" s="72">
        <v>0</v>
      </c>
      <c r="U255" s="72">
        <v>0</v>
      </c>
      <c r="V255" s="72">
        <v>0</v>
      </c>
      <c r="W255" s="72">
        <v>0</v>
      </c>
      <c r="X255" s="74">
        <v>0.92</v>
      </c>
      <c r="Y255" s="74">
        <v>0</v>
      </c>
      <c r="Z255" s="74">
        <v>0</v>
      </c>
      <c r="AA255" s="74">
        <v>0</v>
      </c>
      <c r="AB255" s="74">
        <v>0</v>
      </c>
      <c r="AC255" s="74">
        <v>0.92</v>
      </c>
      <c r="AD255" s="72">
        <v>0.998535871156662</v>
      </c>
      <c r="AE255" s="72">
        <v>1</v>
      </c>
      <c r="AF255" s="72">
        <v>1</v>
      </c>
      <c r="AG255" s="72">
        <v>0.999554764024933</v>
      </c>
      <c r="AH255" s="74">
        <v>0.92</v>
      </c>
      <c r="AI255" s="72">
        <v>0</v>
      </c>
      <c r="AJ255" s="72">
        <v>0</v>
      </c>
      <c r="AK255" s="72">
        <v>0</v>
      </c>
      <c r="AL255" s="72">
        <v>1</v>
      </c>
      <c r="AM255" s="71">
        <v>0.99</v>
      </c>
      <c r="AN255" s="76">
        <v>0</v>
      </c>
      <c r="AO255" s="76">
        <v>1</v>
      </c>
      <c r="AP255" s="76">
        <v>1</v>
      </c>
      <c r="AQ255" s="76">
        <v>1</v>
      </c>
      <c r="AR255" s="96">
        <v>0.0922287257019438</v>
      </c>
      <c r="AS255" s="80">
        <v>0</v>
      </c>
      <c r="AT255" s="80">
        <v>0</v>
      </c>
      <c r="AU255" s="80">
        <v>0</v>
      </c>
      <c r="AV255" s="80">
        <v>0</v>
      </c>
      <c r="AW255" s="36"/>
      <c r="AX255" s="34"/>
    </row>
    <row r="256" ht="14.5" spans="1:50">
      <c r="A256" s="32"/>
      <c r="B256" s="36"/>
      <c r="C256" s="100" t="s">
        <v>289</v>
      </c>
      <c r="D256" s="69" t="s">
        <v>15</v>
      </c>
      <c r="E256" s="101" t="s">
        <v>307</v>
      </c>
      <c r="F256" s="101" t="s">
        <v>307</v>
      </c>
      <c r="G256" s="101" t="s">
        <v>307</v>
      </c>
      <c r="H256" s="101" t="s">
        <v>307</v>
      </c>
      <c r="I256" s="71">
        <v>0.9</v>
      </c>
      <c r="J256" s="72">
        <v>0</v>
      </c>
      <c r="K256" s="72">
        <v>0</v>
      </c>
      <c r="L256" s="73">
        <v>0</v>
      </c>
      <c r="M256" s="72">
        <v>0</v>
      </c>
      <c r="N256" s="74">
        <v>0.9</v>
      </c>
      <c r="O256" s="72">
        <v>0</v>
      </c>
      <c r="P256" s="72">
        <v>0</v>
      </c>
      <c r="Q256" s="72">
        <v>0</v>
      </c>
      <c r="R256" s="72">
        <v>0</v>
      </c>
      <c r="S256" s="74">
        <v>0.9</v>
      </c>
      <c r="T256" s="72">
        <v>0</v>
      </c>
      <c r="U256" s="72">
        <v>0</v>
      </c>
      <c r="V256" s="72">
        <v>0</v>
      </c>
      <c r="W256" s="72">
        <v>1</v>
      </c>
      <c r="X256" s="74">
        <v>0.92</v>
      </c>
      <c r="Y256" s="74">
        <v>0</v>
      </c>
      <c r="Z256" s="74">
        <v>0</v>
      </c>
      <c r="AA256" s="74">
        <v>0</v>
      </c>
      <c r="AB256" s="74">
        <v>0</v>
      </c>
      <c r="AC256" s="74">
        <v>0.92</v>
      </c>
      <c r="AD256" s="72">
        <v>1</v>
      </c>
      <c r="AE256" s="72">
        <v>0.99618320610687</v>
      </c>
      <c r="AF256" s="72">
        <v>0.994708994708995</v>
      </c>
      <c r="AG256" s="72">
        <v>0.983084577114428</v>
      </c>
      <c r="AH256" s="74">
        <v>0.92</v>
      </c>
      <c r="AI256" s="72">
        <v>0</v>
      </c>
      <c r="AJ256" s="72">
        <v>0</v>
      </c>
      <c r="AK256" s="72">
        <v>0</v>
      </c>
      <c r="AL256" s="72">
        <v>1</v>
      </c>
      <c r="AM256" s="71">
        <v>0.99</v>
      </c>
      <c r="AN256" s="76">
        <v>0</v>
      </c>
      <c r="AO256" s="76">
        <v>1</v>
      </c>
      <c r="AP256" s="76">
        <v>0</v>
      </c>
      <c r="AQ256" s="76">
        <v>1</v>
      </c>
      <c r="AR256" s="96">
        <v>0.0922287257019438</v>
      </c>
      <c r="AS256" s="80">
        <v>0</v>
      </c>
      <c r="AT256" s="80">
        <v>0</v>
      </c>
      <c r="AU256" s="80">
        <v>0</v>
      </c>
      <c r="AV256" s="80">
        <v>0</v>
      </c>
      <c r="AW256" s="36"/>
      <c r="AX256" s="34"/>
    </row>
    <row r="257" ht="14.5" spans="1:50">
      <c r="A257" s="32"/>
      <c r="B257" s="36"/>
      <c r="C257" s="100" t="s">
        <v>289</v>
      </c>
      <c r="D257" s="69" t="s">
        <v>15</v>
      </c>
      <c r="E257" s="101" t="s">
        <v>308</v>
      </c>
      <c r="F257" s="101" t="s">
        <v>308</v>
      </c>
      <c r="G257" s="101" t="s">
        <v>308</v>
      </c>
      <c r="H257" s="101" t="s">
        <v>308</v>
      </c>
      <c r="I257" s="71">
        <v>0.9</v>
      </c>
      <c r="J257" s="72">
        <v>0.766666666666667</v>
      </c>
      <c r="K257" s="72">
        <v>0.806451612903226</v>
      </c>
      <c r="L257" s="73">
        <v>0.756756756756757</v>
      </c>
      <c r="M257" s="72">
        <v>0.775919732441472</v>
      </c>
      <c r="N257" s="74">
        <v>0.9</v>
      </c>
      <c r="O257" s="72">
        <v>0.875522526706921</v>
      </c>
      <c r="P257" s="72">
        <v>0.934651290499725</v>
      </c>
      <c r="Q257" s="72">
        <v>0.938697318007663</v>
      </c>
      <c r="R257" s="72">
        <v>0.920169001556593</v>
      </c>
      <c r="S257" s="74">
        <v>0.9</v>
      </c>
      <c r="T257" s="72">
        <v>0.855550394797956</v>
      </c>
      <c r="U257" s="72">
        <v>0.927512355848435</v>
      </c>
      <c r="V257" s="72">
        <v>0.936302681992337</v>
      </c>
      <c r="W257" s="72">
        <v>0.911107404936624</v>
      </c>
      <c r="X257" s="74">
        <v>0.92</v>
      </c>
      <c r="Y257" s="74">
        <v>0.882781828379136</v>
      </c>
      <c r="Z257" s="74">
        <v>0.932481751824818</v>
      </c>
      <c r="AA257" s="74">
        <v>0.938451776649746</v>
      </c>
      <c r="AB257" s="74">
        <v>0.932583499074138</v>
      </c>
      <c r="AC257" s="74">
        <v>0.92</v>
      </c>
      <c r="AD257" s="72">
        <v>0.998204811106235</v>
      </c>
      <c r="AE257" s="72">
        <v>0.999032241633984</v>
      </c>
      <c r="AF257" s="72">
        <v>0.963573846236501</v>
      </c>
      <c r="AG257" s="72">
        <v>0.994920627894495</v>
      </c>
      <c r="AH257" s="74">
        <v>0.92</v>
      </c>
      <c r="AI257" s="72">
        <v>0.901701803403607</v>
      </c>
      <c r="AJ257" s="72">
        <v>0.952669552669553</v>
      </c>
      <c r="AK257" s="72">
        <v>0.963993453355156</v>
      </c>
      <c r="AL257" s="72">
        <v>0.952188056220463</v>
      </c>
      <c r="AM257" s="71">
        <v>0.99</v>
      </c>
      <c r="AN257" s="76">
        <v>1</v>
      </c>
      <c r="AO257" s="76">
        <v>1</v>
      </c>
      <c r="AP257" s="76">
        <v>1</v>
      </c>
      <c r="AQ257" s="76">
        <v>1</v>
      </c>
      <c r="AR257" s="96">
        <v>0.0922287257019438</v>
      </c>
      <c r="AS257" s="80">
        <v>0.0666666666666667</v>
      </c>
      <c r="AT257" s="80">
        <v>0.5</v>
      </c>
      <c r="AU257" s="80">
        <v>0.08</v>
      </c>
      <c r="AV257" s="80">
        <v>0.0704225352112676</v>
      </c>
      <c r="AW257" s="36"/>
      <c r="AX257" s="34"/>
    </row>
    <row r="258" ht="14.5" spans="1:50">
      <c r="A258" s="32"/>
      <c r="B258" s="36"/>
      <c r="C258" s="100" t="s">
        <v>289</v>
      </c>
      <c r="D258" s="69" t="s">
        <v>15</v>
      </c>
      <c r="E258" s="101" t="s">
        <v>309</v>
      </c>
      <c r="F258" s="101" t="s">
        <v>309</v>
      </c>
      <c r="G258" s="101" t="s">
        <v>309</v>
      </c>
      <c r="H258" s="101" t="s">
        <v>309</v>
      </c>
      <c r="I258" s="71">
        <v>0.9</v>
      </c>
      <c r="J258" s="72">
        <v>0.979591836734694</v>
      </c>
      <c r="K258" s="72">
        <v>1</v>
      </c>
      <c r="L258" s="73">
        <v>1</v>
      </c>
      <c r="M258" s="72">
        <v>0.978213507625272</v>
      </c>
      <c r="N258" s="74">
        <v>0.9</v>
      </c>
      <c r="O258" s="72">
        <v>0.882536382536383</v>
      </c>
      <c r="P258" s="72">
        <v>0.963492063492064</v>
      </c>
      <c r="Q258" s="72">
        <v>0.941829314963643</v>
      </c>
      <c r="R258" s="72">
        <v>0.944660435106295</v>
      </c>
      <c r="S258" s="74">
        <v>0.9</v>
      </c>
      <c r="T258" s="72">
        <v>0.845114345114345</v>
      </c>
      <c r="U258" s="72">
        <v>0.928571428571429</v>
      </c>
      <c r="V258" s="72">
        <v>0.920780711825488</v>
      </c>
      <c r="W258" s="72">
        <v>0.914715857391017</v>
      </c>
      <c r="X258" s="74">
        <v>0.92</v>
      </c>
      <c r="Y258" s="74">
        <v>0.881126978000772</v>
      </c>
      <c r="Z258" s="74">
        <v>0.939955849889625</v>
      </c>
      <c r="AA258" s="74">
        <v>0.960610536681438</v>
      </c>
      <c r="AB258" s="74">
        <v>0.944172380019589</v>
      </c>
      <c r="AC258" s="74">
        <v>0.92</v>
      </c>
      <c r="AD258" s="72">
        <v>0.99860810392824</v>
      </c>
      <c r="AE258" s="72">
        <v>0.987215411558669</v>
      </c>
      <c r="AF258" s="72">
        <v>0.98643105080467</v>
      </c>
      <c r="AG258" s="72">
        <v>0.989432230792854</v>
      </c>
      <c r="AH258" s="74">
        <v>0.92</v>
      </c>
      <c r="AI258" s="72">
        <v>0.886069015884608</v>
      </c>
      <c r="AJ258" s="72">
        <v>0.959891372467098</v>
      </c>
      <c r="AK258" s="72">
        <v>0.973944875107666</v>
      </c>
      <c r="AL258" s="72">
        <v>0.959893287898489</v>
      </c>
      <c r="AM258" s="71">
        <v>0.99</v>
      </c>
      <c r="AN258" s="76">
        <v>1</v>
      </c>
      <c r="AO258" s="76">
        <v>1</v>
      </c>
      <c r="AP258" s="76">
        <v>1</v>
      </c>
      <c r="AQ258" s="76">
        <v>1</v>
      </c>
      <c r="AR258" s="96">
        <v>0.0922287257019438</v>
      </c>
      <c r="AS258" s="80">
        <v>0</v>
      </c>
      <c r="AT258" s="80">
        <v>0</v>
      </c>
      <c r="AU258" s="80">
        <v>0.272727272727273</v>
      </c>
      <c r="AV258" s="80">
        <v>0.0852713178294574</v>
      </c>
      <c r="AW258" s="36"/>
      <c r="AX258" s="34"/>
    </row>
    <row r="259" ht="14.5" spans="1:50">
      <c r="A259" s="32"/>
      <c r="B259" s="36"/>
      <c r="C259" s="100" t="s">
        <v>289</v>
      </c>
      <c r="D259" s="69" t="s">
        <v>15</v>
      </c>
      <c r="E259" s="101" t="s">
        <v>310</v>
      </c>
      <c r="F259" s="101" t="s">
        <v>310</v>
      </c>
      <c r="G259" s="101" t="s">
        <v>310</v>
      </c>
      <c r="H259" s="101" t="s">
        <v>310</v>
      </c>
      <c r="I259" s="71">
        <v>0.9</v>
      </c>
      <c r="J259" s="72">
        <v>0</v>
      </c>
      <c r="K259" s="72">
        <v>0</v>
      </c>
      <c r="L259" s="73">
        <v>0</v>
      </c>
      <c r="M259" s="72">
        <v>0</v>
      </c>
      <c r="N259" s="74">
        <v>0.9</v>
      </c>
      <c r="O259" s="72">
        <v>0.972413793103448</v>
      </c>
      <c r="P259" s="72">
        <v>0.994505494505495</v>
      </c>
      <c r="Q259" s="72">
        <v>0.96551724137931</v>
      </c>
      <c r="R259" s="72">
        <v>0.980524978831499</v>
      </c>
      <c r="S259" s="74">
        <v>0.9</v>
      </c>
      <c r="T259" s="72">
        <v>0.986206896551724</v>
      </c>
      <c r="U259" s="72">
        <v>1</v>
      </c>
      <c r="V259" s="72">
        <v>0.993103448275862</v>
      </c>
      <c r="W259" s="72">
        <v>0.961896697713802</v>
      </c>
      <c r="X259" s="74">
        <v>0.92</v>
      </c>
      <c r="Y259" s="74">
        <v>0.967213114754098</v>
      </c>
      <c r="Z259" s="74">
        <v>1</v>
      </c>
      <c r="AA259" s="74">
        <v>1</v>
      </c>
      <c r="AB259" s="74">
        <v>0.949891067538126</v>
      </c>
      <c r="AC259" s="74">
        <v>0.92</v>
      </c>
      <c r="AD259" s="72">
        <v>0.998168498168498</v>
      </c>
      <c r="AE259" s="72">
        <v>0.99986805647183</v>
      </c>
      <c r="AF259" s="72">
        <v>0.997903249962558</v>
      </c>
      <c r="AG259" s="72">
        <v>0.999156178746477</v>
      </c>
      <c r="AH259" s="74">
        <v>0.92</v>
      </c>
      <c r="AI259" s="72">
        <v>0.980582524271845</v>
      </c>
      <c r="AJ259" s="72">
        <v>0.995454545454545</v>
      </c>
      <c r="AK259" s="72">
        <v>0.98936170212766</v>
      </c>
      <c r="AL259" s="72">
        <v>0.978710462287105</v>
      </c>
      <c r="AM259" s="71">
        <v>0.99</v>
      </c>
      <c r="AN259" s="76">
        <v>1</v>
      </c>
      <c r="AO259" s="76">
        <v>1</v>
      </c>
      <c r="AP259" s="76">
        <v>1</v>
      </c>
      <c r="AQ259" s="76">
        <v>1</v>
      </c>
      <c r="AR259" s="96">
        <v>0.0922287257019438</v>
      </c>
      <c r="AS259" s="80">
        <v>0</v>
      </c>
      <c r="AT259" s="80">
        <v>0</v>
      </c>
      <c r="AU259" s="80">
        <v>0</v>
      </c>
      <c r="AV259" s="80">
        <v>0</v>
      </c>
      <c r="AW259" s="36"/>
      <c r="AX259" s="34"/>
    </row>
    <row r="260" ht="14.5" spans="1:50">
      <c r="A260" s="32"/>
      <c r="B260" s="36"/>
      <c r="C260" s="100" t="s">
        <v>289</v>
      </c>
      <c r="D260" s="69" t="s">
        <v>15</v>
      </c>
      <c r="E260" s="101" t="s">
        <v>311</v>
      </c>
      <c r="F260" s="101" t="s">
        <v>311</v>
      </c>
      <c r="G260" s="101" t="s">
        <v>311</v>
      </c>
      <c r="H260" s="101" t="s">
        <v>311</v>
      </c>
      <c r="I260" s="71">
        <v>0.9</v>
      </c>
      <c r="J260" s="72">
        <v>0</v>
      </c>
      <c r="K260" s="72">
        <v>0</v>
      </c>
      <c r="L260" s="73">
        <v>0</v>
      </c>
      <c r="M260" s="72">
        <v>0</v>
      </c>
      <c r="N260" s="74">
        <v>0.9</v>
      </c>
      <c r="O260" s="72">
        <v>0</v>
      </c>
      <c r="P260" s="72">
        <v>0</v>
      </c>
      <c r="Q260" s="72">
        <v>0</v>
      </c>
      <c r="R260" s="72">
        <v>0</v>
      </c>
      <c r="S260" s="74">
        <v>0.9</v>
      </c>
      <c r="T260" s="72">
        <v>0</v>
      </c>
      <c r="U260" s="72">
        <v>0</v>
      </c>
      <c r="V260" s="72">
        <v>0</v>
      </c>
      <c r="W260" s="72">
        <v>0</v>
      </c>
      <c r="X260" s="74">
        <v>0.92</v>
      </c>
      <c r="Y260" s="74">
        <v>0</v>
      </c>
      <c r="Z260" s="74">
        <v>0</v>
      </c>
      <c r="AA260" s="74">
        <v>0</v>
      </c>
      <c r="AB260" s="74">
        <v>0</v>
      </c>
      <c r="AC260" s="74">
        <v>0.92</v>
      </c>
      <c r="AD260" s="72">
        <v>1</v>
      </c>
      <c r="AE260" s="72">
        <v>1</v>
      </c>
      <c r="AF260" s="72">
        <v>1</v>
      </c>
      <c r="AG260" s="72">
        <v>1</v>
      </c>
      <c r="AH260" s="74">
        <v>0.92</v>
      </c>
      <c r="AI260" s="72">
        <v>0</v>
      </c>
      <c r="AJ260" s="72">
        <v>0</v>
      </c>
      <c r="AK260" s="72">
        <v>0</v>
      </c>
      <c r="AL260" s="72">
        <v>0</v>
      </c>
      <c r="AM260" s="71">
        <v>0.99</v>
      </c>
      <c r="AN260" s="76">
        <v>1</v>
      </c>
      <c r="AO260" s="76">
        <v>1</v>
      </c>
      <c r="AP260" s="76">
        <v>1</v>
      </c>
      <c r="AQ260" s="76">
        <v>1</v>
      </c>
      <c r="AR260" s="96">
        <v>0.0922287257019438</v>
      </c>
      <c r="AS260" s="80">
        <v>0</v>
      </c>
      <c r="AT260" s="80">
        <v>0</v>
      </c>
      <c r="AU260" s="80">
        <v>0</v>
      </c>
      <c r="AV260" s="80">
        <v>0</v>
      </c>
      <c r="AW260" s="36"/>
      <c r="AX260" s="34"/>
    </row>
    <row r="261" ht="14.5" spans="1:50">
      <c r="A261" s="32"/>
      <c r="B261" s="36"/>
      <c r="C261" s="100" t="s">
        <v>289</v>
      </c>
      <c r="D261" s="69" t="s">
        <v>15</v>
      </c>
      <c r="E261" s="101" t="s">
        <v>312</v>
      </c>
      <c r="F261" s="101" t="s">
        <v>312</v>
      </c>
      <c r="G261" s="101" t="s">
        <v>312</v>
      </c>
      <c r="H261" s="101" t="s">
        <v>312</v>
      </c>
      <c r="I261" s="71">
        <v>0.9</v>
      </c>
      <c r="J261" s="72">
        <v>0</v>
      </c>
      <c r="K261" s="72">
        <v>0</v>
      </c>
      <c r="L261" s="73">
        <v>0</v>
      </c>
      <c r="M261" s="72">
        <v>0</v>
      </c>
      <c r="N261" s="74">
        <v>0.9</v>
      </c>
      <c r="O261" s="72">
        <v>0.6</v>
      </c>
      <c r="P261" s="72">
        <v>0.857142857142857</v>
      </c>
      <c r="Q261" s="72">
        <v>0.444444444444444</v>
      </c>
      <c r="R261" s="72">
        <v>0.596491228070175</v>
      </c>
      <c r="S261" s="74">
        <v>0.9</v>
      </c>
      <c r="T261" s="72">
        <v>0.7</v>
      </c>
      <c r="U261" s="72">
        <v>1</v>
      </c>
      <c r="V261" s="72">
        <v>0.777777777777778</v>
      </c>
      <c r="W261" s="72">
        <v>0.859649122807018</v>
      </c>
      <c r="X261" s="74">
        <v>0.92</v>
      </c>
      <c r="Y261" s="74">
        <v>0.333333333333333</v>
      </c>
      <c r="Z261" s="74">
        <v>1</v>
      </c>
      <c r="AA261" s="74">
        <v>0.5</v>
      </c>
      <c r="AB261" s="74">
        <v>0.45</v>
      </c>
      <c r="AC261" s="74">
        <v>0.92</v>
      </c>
      <c r="AD261" s="72">
        <v>0.999715841818612</v>
      </c>
      <c r="AE261" s="72">
        <v>0.999297576639406</v>
      </c>
      <c r="AF261" s="72">
        <v>0.558972248353716</v>
      </c>
      <c r="AG261" s="72">
        <v>0.903701857700872</v>
      </c>
      <c r="AH261" s="74">
        <v>0.92</v>
      </c>
      <c r="AI261" s="72">
        <v>0.647058823529412</v>
      </c>
      <c r="AJ261" s="72">
        <v>0.909090909090909</v>
      </c>
      <c r="AK261" s="72">
        <v>0.714285714285714</v>
      </c>
      <c r="AL261" s="72">
        <v>0.776595744680851</v>
      </c>
      <c r="AM261" s="71">
        <v>0.99</v>
      </c>
      <c r="AN261" s="76">
        <v>1</v>
      </c>
      <c r="AO261" s="76">
        <v>1</v>
      </c>
      <c r="AP261" s="76">
        <v>1</v>
      </c>
      <c r="AQ261" s="76">
        <v>1</v>
      </c>
      <c r="AR261" s="96">
        <v>0.0922287257019438</v>
      </c>
      <c r="AS261" s="80">
        <v>0</v>
      </c>
      <c r="AT261" s="80">
        <v>0</v>
      </c>
      <c r="AU261" s="80">
        <v>0</v>
      </c>
      <c r="AV261" s="80">
        <v>0</v>
      </c>
      <c r="AW261" s="36"/>
      <c r="AX261" s="34"/>
    </row>
    <row r="262" ht="14.5" spans="1:50">
      <c r="A262" s="32"/>
      <c r="B262" s="36"/>
      <c r="C262" s="100" t="s">
        <v>289</v>
      </c>
      <c r="D262" s="69" t="s">
        <v>15</v>
      </c>
      <c r="E262" s="101" t="s">
        <v>313</v>
      </c>
      <c r="F262" s="101" t="s">
        <v>313</v>
      </c>
      <c r="G262" s="101" t="s">
        <v>313</v>
      </c>
      <c r="H262" s="101" t="s">
        <v>313</v>
      </c>
      <c r="I262" s="71">
        <v>0.9</v>
      </c>
      <c r="J262" s="72">
        <v>0</v>
      </c>
      <c r="K262" s="72">
        <v>0</v>
      </c>
      <c r="L262" s="73">
        <v>0</v>
      </c>
      <c r="M262" s="72">
        <v>0</v>
      </c>
      <c r="N262" s="74">
        <v>0.9</v>
      </c>
      <c r="O262" s="72">
        <v>0</v>
      </c>
      <c r="P262" s="72">
        <v>0</v>
      </c>
      <c r="Q262" s="72">
        <v>0</v>
      </c>
      <c r="R262" s="72">
        <v>0</v>
      </c>
      <c r="S262" s="74">
        <v>0.9</v>
      </c>
      <c r="T262" s="72">
        <v>0</v>
      </c>
      <c r="U262" s="72">
        <v>0</v>
      </c>
      <c r="V262" s="72">
        <v>0</v>
      </c>
      <c r="W262" s="72">
        <v>1</v>
      </c>
      <c r="X262" s="74">
        <v>0.92</v>
      </c>
      <c r="Y262" s="74">
        <v>0</v>
      </c>
      <c r="Z262" s="74">
        <v>0</v>
      </c>
      <c r="AA262" s="74">
        <v>0</v>
      </c>
      <c r="AB262" s="74">
        <v>0</v>
      </c>
      <c r="AC262" s="74">
        <v>0.92</v>
      </c>
      <c r="AD262" s="72">
        <v>0.994259471871412</v>
      </c>
      <c r="AE262" s="72">
        <v>0.985579937304075</v>
      </c>
      <c r="AF262" s="72">
        <v>0.975324675324675</v>
      </c>
      <c r="AG262" s="72">
        <v>0.972686780401714</v>
      </c>
      <c r="AH262" s="74">
        <v>0.92</v>
      </c>
      <c r="AI262" s="72">
        <v>0</v>
      </c>
      <c r="AJ262" s="72">
        <v>0</v>
      </c>
      <c r="AK262" s="72">
        <v>0</v>
      </c>
      <c r="AL262" s="72">
        <v>1</v>
      </c>
      <c r="AM262" s="71">
        <v>0.99</v>
      </c>
      <c r="AN262" s="76">
        <v>1</v>
      </c>
      <c r="AO262" s="76">
        <v>1</v>
      </c>
      <c r="AP262" s="76">
        <v>1</v>
      </c>
      <c r="AQ262" s="76">
        <v>1</v>
      </c>
      <c r="AR262" s="96">
        <v>0.0922287257019438</v>
      </c>
      <c r="AS262" s="80">
        <v>0</v>
      </c>
      <c r="AT262" s="80">
        <v>0</v>
      </c>
      <c r="AU262" s="80">
        <v>0</v>
      </c>
      <c r="AV262" s="80">
        <v>0</v>
      </c>
      <c r="AW262" s="36"/>
      <c r="AX262" s="34"/>
    </row>
    <row r="263" ht="14.5" spans="1:50">
      <c r="A263" s="32"/>
      <c r="B263" s="36"/>
      <c r="C263" s="100" t="s">
        <v>289</v>
      </c>
      <c r="D263" s="69" t="s">
        <v>15</v>
      </c>
      <c r="E263" s="101" t="s">
        <v>314</v>
      </c>
      <c r="F263" s="101" t="s">
        <v>314</v>
      </c>
      <c r="G263" s="101" t="s">
        <v>314</v>
      </c>
      <c r="H263" s="101" t="s">
        <v>314</v>
      </c>
      <c r="I263" s="71">
        <v>0.9</v>
      </c>
      <c r="J263" s="72">
        <v>0</v>
      </c>
      <c r="K263" s="72">
        <v>0</v>
      </c>
      <c r="L263" s="73">
        <v>0</v>
      </c>
      <c r="M263" s="72">
        <v>0</v>
      </c>
      <c r="N263" s="74">
        <v>0.9</v>
      </c>
      <c r="O263" s="72">
        <v>0</v>
      </c>
      <c r="P263" s="72">
        <v>0</v>
      </c>
      <c r="Q263" s="72">
        <v>0</v>
      </c>
      <c r="R263" s="72">
        <v>0</v>
      </c>
      <c r="S263" s="74">
        <v>0.9</v>
      </c>
      <c r="T263" s="72">
        <v>0</v>
      </c>
      <c r="U263" s="72">
        <v>0.666666666666667</v>
      </c>
      <c r="V263" s="72">
        <v>0</v>
      </c>
      <c r="W263" s="72">
        <v>0.5</v>
      </c>
      <c r="X263" s="74">
        <v>0.92</v>
      </c>
      <c r="Y263" s="74">
        <v>0</v>
      </c>
      <c r="Z263" s="74">
        <v>0</v>
      </c>
      <c r="AA263" s="74">
        <v>0</v>
      </c>
      <c r="AB263" s="74">
        <v>0</v>
      </c>
      <c r="AC263" s="74">
        <v>0.92</v>
      </c>
      <c r="AD263" s="72">
        <v>0.872611464968153</v>
      </c>
      <c r="AE263" s="72">
        <v>1</v>
      </c>
      <c r="AF263" s="72">
        <v>0.969935245143386</v>
      </c>
      <c r="AG263" s="72">
        <v>0.952505020897791</v>
      </c>
      <c r="AH263" s="74">
        <v>0.92</v>
      </c>
      <c r="AI263" s="72">
        <v>0</v>
      </c>
      <c r="AJ263" s="72">
        <v>1</v>
      </c>
      <c r="AK263" s="72">
        <v>0</v>
      </c>
      <c r="AL263" s="72">
        <v>0.666666666666667</v>
      </c>
      <c r="AM263" s="71">
        <v>0.99</v>
      </c>
      <c r="AN263" s="76">
        <v>0</v>
      </c>
      <c r="AO263" s="76">
        <v>1</v>
      </c>
      <c r="AP263" s="76">
        <v>1</v>
      </c>
      <c r="AQ263" s="76">
        <v>1</v>
      </c>
      <c r="AR263" s="96">
        <v>0.0922287257019438</v>
      </c>
      <c r="AS263" s="80">
        <v>0</v>
      </c>
      <c r="AT263" s="80">
        <v>0</v>
      </c>
      <c r="AU263" s="80">
        <v>0</v>
      </c>
      <c r="AV263" s="80">
        <v>0</v>
      </c>
      <c r="AW263" s="36"/>
      <c r="AX263" s="34"/>
    </row>
    <row r="264" ht="14.5" spans="1:50">
      <c r="A264" s="32"/>
      <c r="B264" s="36"/>
      <c r="C264" s="100" t="s">
        <v>289</v>
      </c>
      <c r="D264" s="69" t="s">
        <v>15</v>
      </c>
      <c r="E264" s="101" t="s">
        <v>315</v>
      </c>
      <c r="F264" s="101" t="s">
        <v>315</v>
      </c>
      <c r="G264" s="101" t="s">
        <v>315</v>
      </c>
      <c r="H264" s="101" t="s">
        <v>315</v>
      </c>
      <c r="I264" s="71">
        <v>0.9</v>
      </c>
      <c r="J264" s="72">
        <v>0</v>
      </c>
      <c r="K264" s="72">
        <v>0</v>
      </c>
      <c r="L264" s="73">
        <v>0</v>
      </c>
      <c r="M264" s="72">
        <v>0</v>
      </c>
      <c r="N264" s="74">
        <v>0.9</v>
      </c>
      <c r="O264" s="72">
        <v>0</v>
      </c>
      <c r="P264" s="72">
        <v>0</v>
      </c>
      <c r="Q264" s="72">
        <v>0</v>
      </c>
      <c r="R264" s="72">
        <v>0</v>
      </c>
      <c r="S264" s="74">
        <v>0.9</v>
      </c>
      <c r="T264" s="72">
        <v>1</v>
      </c>
      <c r="U264" s="72">
        <v>0.75</v>
      </c>
      <c r="V264" s="72">
        <v>0</v>
      </c>
      <c r="W264" s="72">
        <v>0.714285714285714</v>
      </c>
      <c r="X264" s="74">
        <v>0.92</v>
      </c>
      <c r="Y264" s="74">
        <v>0</v>
      </c>
      <c r="Z264" s="74">
        <v>0</v>
      </c>
      <c r="AA264" s="74">
        <v>0</v>
      </c>
      <c r="AB264" s="74">
        <v>0.5</v>
      </c>
      <c r="AC264" s="74">
        <v>0.92</v>
      </c>
      <c r="AD264" s="72">
        <v>0.998174706649283</v>
      </c>
      <c r="AE264" s="72">
        <v>0.744425200259797</v>
      </c>
      <c r="AF264" s="72">
        <v>0.994102228047182</v>
      </c>
      <c r="AG264" s="72">
        <v>0.944511388684791</v>
      </c>
      <c r="AH264" s="74">
        <v>0.92</v>
      </c>
      <c r="AI264" s="72">
        <v>1</v>
      </c>
      <c r="AJ264" s="72">
        <v>0.6</v>
      </c>
      <c r="AK264" s="72">
        <v>0</v>
      </c>
      <c r="AL264" s="72">
        <v>0.705882352941177</v>
      </c>
      <c r="AM264" s="71">
        <v>0.99</v>
      </c>
      <c r="AN264" s="76">
        <v>0</v>
      </c>
      <c r="AO264" s="76">
        <v>1</v>
      </c>
      <c r="AP264" s="76">
        <v>1</v>
      </c>
      <c r="AQ264" s="76">
        <v>1</v>
      </c>
      <c r="AR264" s="96">
        <v>0.0922287257019438</v>
      </c>
      <c r="AS264" s="80">
        <v>0</v>
      </c>
      <c r="AT264" s="80">
        <v>0</v>
      </c>
      <c r="AU264" s="80">
        <v>0</v>
      </c>
      <c r="AV264" s="80">
        <v>0</v>
      </c>
      <c r="AW264" s="36"/>
      <c r="AX264" s="34"/>
    </row>
    <row r="265" ht="14.5" spans="1:50">
      <c r="A265" s="32"/>
      <c r="B265" s="36"/>
      <c r="C265" s="100" t="s">
        <v>289</v>
      </c>
      <c r="D265" s="69" t="s">
        <v>15</v>
      </c>
      <c r="E265" s="101" t="s">
        <v>316</v>
      </c>
      <c r="F265" s="101" t="s">
        <v>316</v>
      </c>
      <c r="G265" s="101" t="s">
        <v>316</v>
      </c>
      <c r="H265" s="101" t="s">
        <v>316</v>
      </c>
      <c r="I265" s="71">
        <v>0.9</v>
      </c>
      <c r="J265" s="72">
        <v>0</v>
      </c>
      <c r="K265" s="72">
        <v>0</v>
      </c>
      <c r="L265" s="73">
        <v>0</v>
      </c>
      <c r="M265" s="72">
        <v>0</v>
      </c>
      <c r="N265" s="74">
        <v>0.9</v>
      </c>
      <c r="O265" s="72">
        <v>0.2</v>
      </c>
      <c r="P265" s="72">
        <v>0.75</v>
      </c>
      <c r="Q265" s="72">
        <v>0.5</v>
      </c>
      <c r="R265" s="72">
        <v>0.444444444444444</v>
      </c>
      <c r="S265" s="74">
        <v>0.9</v>
      </c>
      <c r="T265" s="72">
        <v>0</v>
      </c>
      <c r="U265" s="72">
        <v>0.125</v>
      </c>
      <c r="V265" s="72">
        <v>1</v>
      </c>
      <c r="W265" s="72">
        <v>0.185185185185185</v>
      </c>
      <c r="X265" s="74">
        <v>0.92</v>
      </c>
      <c r="Y265" s="74">
        <v>0</v>
      </c>
      <c r="Z265" s="74">
        <v>0</v>
      </c>
      <c r="AA265" s="74">
        <v>0</v>
      </c>
      <c r="AB265" s="74">
        <v>0</v>
      </c>
      <c r="AC265" s="74">
        <v>0.92</v>
      </c>
      <c r="AD265" s="72">
        <v>0.998458376156218</v>
      </c>
      <c r="AE265" s="72">
        <v>0.976676959463899</v>
      </c>
      <c r="AF265" s="72">
        <v>0.9994956817752</v>
      </c>
      <c r="AG265" s="72">
        <v>0.978815344168954</v>
      </c>
      <c r="AH265" s="74">
        <v>0.92</v>
      </c>
      <c r="AI265" s="72">
        <v>0</v>
      </c>
      <c r="AJ265" s="72">
        <v>0.111111111111111</v>
      </c>
      <c r="AK265" s="72">
        <v>1</v>
      </c>
      <c r="AL265" s="72">
        <v>0.241379310344828</v>
      </c>
      <c r="AM265" s="71">
        <v>0.99</v>
      </c>
      <c r="AN265" s="76">
        <v>1</v>
      </c>
      <c r="AO265" s="76">
        <v>1</v>
      </c>
      <c r="AP265" s="76">
        <v>1</v>
      </c>
      <c r="AQ265" s="76">
        <v>1</v>
      </c>
      <c r="AR265" s="96">
        <v>0.0922287257019438</v>
      </c>
      <c r="AS265" s="80">
        <v>0</v>
      </c>
      <c r="AT265" s="80">
        <v>0</v>
      </c>
      <c r="AU265" s="80">
        <v>0</v>
      </c>
      <c r="AV265" s="80">
        <v>0</v>
      </c>
      <c r="AW265" s="36"/>
      <c r="AX265" s="34"/>
    </row>
    <row r="266" ht="14.5" spans="1:50">
      <c r="A266" s="32"/>
      <c r="B266" s="36"/>
      <c r="C266" s="100" t="s">
        <v>289</v>
      </c>
      <c r="D266" s="69" t="s">
        <v>15</v>
      </c>
      <c r="E266" s="101" t="s">
        <v>317</v>
      </c>
      <c r="F266" s="101" t="s">
        <v>317</v>
      </c>
      <c r="G266" s="101" t="s">
        <v>317</v>
      </c>
      <c r="H266" s="101" t="s">
        <v>317</v>
      </c>
      <c r="I266" s="71">
        <v>0.9</v>
      </c>
      <c r="J266" s="72">
        <v>0</v>
      </c>
      <c r="K266" s="72">
        <v>0</v>
      </c>
      <c r="L266" s="73">
        <v>0</v>
      </c>
      <c r="M266" s="72">
        <v>0</v>
      </c>
      <c r="N266" s="74">
        <v>0.9</v>
      </c>
      <c r="O266" s="72">
        <v>0</v>
      </c>
      <c r="P266" s="72">
        <v>0</v>
      </c>
      <c r="Q266" s="72">
        <v>0</v>
      </c>
      <c r="R266" s="72">
        <v>0</v>
      </c>
      <c r="S266" s="74">
        <v>0.9</v>
      </c>
      <c r="T266" s="72">
        <v>0</v>
      </c>
      <c r="U266" s="72">
        <v>0</v>
      </c>
      <c r="V266" s="72">
        <v>0</v>
      </c>
      <c r="W266" s="72">
        <v>0</v>
      </c>
      <c r="X266" s="74">
        <v>0.92</v>
      </c>
      <c r="Y266" s="74">
        <v>0</v>
      </c>
      <c r="Z266" s="74">
        <v>0</v>
      </c>
      <c r="AA266" s="74">
        <v>0</v>
      </c>
      <c r="AB266" s="74">
        <v>0</v>
      </c>
      <c r="AC266" s="74">
        <v>0.92</v>
      </c>
      <c r="AD266" s="72">
        <v>1</v>
      </c>
      <c r="AE266" s="72">
        <v>0.97228144989339</v>
      </c>
      <c r="AF266" s="72">
        <v>1</v>
      </c>
      <c r="AG266" s="72">
        <v>0.973851231276974</v>
      </c>
      <c r="AH266" s="74">
        <v>0.92</v>
      </c>
      <c r="AI266" s="72">
        <v>0</v>
      </c>
      <c r="AJ266" s="72">
        <v>0</v>
      </c>
      <c r="AK266" s="72">
        <v>0</v>
      </c>
      <c r="AL266" s="72">
        <v>0</v>
      </c>
      <c r="AM266" s="71">
        <v>0.99</v>
      </c>
      <c r="AN266" s="76">
        <v>1</v>
      </c>
      <c r="AO266" s="76">
        <v>0</v>
      </c>
      <c r="AP266" s="76">
        <v>0</v>
      </c>
      <c r="AQ266" s="76">
        <v>1</v>
      </c>
      <c r="AR266" s="96">
        <v>0.0922287257019438</v>
      </c>
      <c r="AS266" s="80">
        <v>0</v>
      </c>
      <c r="AT266" s="80">
        <v>0</v>
      </c>
      <c r="AU266" s="80">
        <v>0</v>
      </c>
      <c r="AV266" s="80">
        <v>0</v>
      </c>
      <c r="AW266" s="36"/>
      <c r="AX266" s="34"/>
    </row>
    <row r="267" ht="14.5" spans="1:50">
      <c r="A267" s="32"/>
      <c r="B267" s="36"/>
      <c r="C267" s="100" t="s">
        <v>289</v>
      </c>
      <c r="D267" s="69" t="s">
        <v>15</v>
      </c>
      <c r="E267" s="101" t="s">
        <v>318</v>
      </c>
      <c r="F267" s="101" t="s">
        <v>318</v>
      </c>
      <c r="G267" s="101" t="s">
        <v>318</v>
      </c>
      <c r="H267" s="101" t="s">
        <v>318</v>
      </c>
      <c r="I267" s="71">
        <v>0.9</v>
      </c>
      <c r="J267" s="72">
        <v>0.888888888888889</v>
      </c>
      <c r="K267" s="72">
        <v>0.951456310679612</v>
      </c>
      <c r="L267" s="73">
        <v>0.964601769911504</v>
      </c>
      <c r="M267" s="72">
        <v>0.957247132429614</v>
      </c>
      <c r="N267" s="74">
        <v>0.9</v>
      </c>
      <c r="O267" s="72">
        <v>0.955028328611898</v>
      </c>
      <c r="P267" s="72">
        <v>0.943029617053386</v>
      </c>
      <c r="Q267" s="72">
        <v>0.981321585903084</v>
      </c>
      <c r="R267" s="72">
        <v>0.962512462612163</v>
      </c>
      <c r="S267" s="74">
        <v>0.9</v>
      </c>
      <c r="T267" s="72">
        <v>0.932011331444759</v>
      </c>
      <c r="U267" s="72">
        <v>0.93340879079419</v>
      </c>
      <c r="V267" s="72">
        <v>0.942026431718062</v>
      </c>
      <c r="W267" s="72">
        <v>0.935114656031904</v>
      </c>
      <c r="X267" s="74">
        <v>0.92</v>
      </c>
      <c r="Y267" s="74">
        <v>0.964984939759036</v>
      </c>
      <c r="Z267" s="74">
        <v>0.971457489878543</v>
      </c>
      <c r="AA267" s="74">
        <v>0.970142290646139</v>
      </c>
      <c r="AB267" s="74">
        <v>0.972438376590094</v>
      </c>
      <c r="AC267" s="74">
        <v>0.92</v>
      </c>
      <c r="AD267" s="72">
        <v>0.99618866126727</v>
      </c>
      <c r="AE267" s="72">
        <v>0.967548876180343</v>
      </c>
      <c r="AF267" s="72">
        <v>0.982074551863797</v>
      </c>
      <c r="AG267" s="72">
        <v>0.969222304372496</v>
      </c>
      <c r="AH267" s="74">
        <v>0.92</v>
      </c>
      <c r="AI267" s="72">
        <v>0.973816257640726</v>
      </c>
      <c r="AJ267" s="72">
        <v>0.980958890733327</v>
      </c>
      <c r="AK267" s="72">
        <v>0.982037129954842</v>
      </c>
      <c r="AL267" s="72">
        <v>0.981823260210988</v>
      </c>
      <c r="AM267" s="71">
        <v>0.99</v>
      </c>
      <c r="AN267" s="76">
        <v>1</v>
      </c>
      <c r="AO267" s="76">
        <v>1</v>
      </c>
      <c r="AP267" s="76">
        <v>1</v>
      </c>
      <c r="AQ267" s="76">
        <v>1</v>
      </c>
      <c r="AR267" s="96">
        <v>0.0922287257019438</v>
      </c>
      <c r="AS267" s="80">
        <v>0.212121212121212</v>
      </c>
      <c r="AT267" s="80">
        <v>0.162162162162162</v>
      </c>
      <c r="AU267" s="80">
        <v>0.0645161290322581</v>
      </c>
      <c r="AV267" s="80">
        <v>0.114624505928854</v>
      </c>
      <c r="AW267" s="36"/>
      <c r="AX267" s="34"/>
    </row>
    <row r="268" ht="14.5" spans="1:50">
      <c r="A268" s="32"/>
      <c r="B268" s="36"/>
      <c r="C268" s="100" t="s">
        <v>289</v>
      </c>
      <c r="D268" s="69" t="s">
        <v>15</v>
      </c>
      <c r="E268" s="101" t="s">
        <v>319</v>
      </c>
      <c r="F268" s="101" t="s">
        <v>319</v>
      </c>
      <c r="G268" s="101" t="s">
        <v>319</v>
      </c>
      <c r="H268" s="101" t="s">
        <v>319</v>
      </c>
      <c r="I268" s="71">
        <v>0.9</v>
      </c>
      <c r="J268" s="72">
        <v>0.926315789473684</v>
      </c>
      <c r="K268" s="72">
        <v>0.910891089108911</v>
      </c>
      <c r="L268" s="73">
        <v>0.936936936936937</v>
      </c>
      <c r="M268" s="72">
        <v>0.926595744680851</v>
      </c>
      <c r="N268" s="74">
        <v>0.9</v>
      </c>
      <c r="O268" s="72">
        <v>0.986187322611164</v>
      </c>
      <c r="P268" s="72">
        <v>0.97345666599638</v>
      </c>
      <c r="Q268" s="72">
        <v>0.988130021913806</v>
      </c>
      <c r="R268" s="72">
        <v>0.985818552327878</v>
      </c>
      <c r="S268" s="74">
        <v>0.9</v>
      </c>
      <c r="T268" s="72">
        <v>0.941532639545885</v>
      </c>
      <c r="U268" s="72">
        <v>0.951739392720692</v>
      </c>
      <c r="V268" s="72">
        <v>0.970233747260774</v>
      </c>
      <c r="W268" s="72">
        <v>0.957622008275977</v>
      </c>
      <c r="X268" s="74">
        <v>0.92</v>
      </c>
      <c r="Y268" s="74">
        <v>0.947922878155436</v>
      </c>
      <c r="Z268" s="74">
        <v>0.962295421586907</v>
      </c>
      <c r="AA268" s="74">
        <v>0.966170825335892</v>
      </c>
      <c r="AB268" s="74">
        <v>0.96611212343517</v>
      </c>
      <c r="AC268" s="74">
        <v>0.92</v>
      </c>
      <c r="AD268" s="72">
        <v>0.941860465116279</v>
      </c>
      <c r="AE268" s="72">
        <v>0.985024449877751</v>
      </c>
      <c r="AF268" s="72">
        <v>0.970649895178197</v>
      </c>
      <c r="AG268" s="72">
        <v>0.967091983852365</v>
      </c>
      <c r="AH268" s="74">
        <v>0.92</v>
      </c>
      <c r="AI268" s="72">
        <v>0.961810603857711</v>
      </c>
      <c r="AJ268" s="72">
        <v>0.976124885215794</v>
      </c>
      <c r="AK268" s="72">
        <v>0.981652327148336</v>
      </c>
      <c r="AL268" s="72">
        <v>0.978508902980202</v>
      </c>
      <c r="AM268" s="71">
        <v>0.99</v>
      </c>
      <c r="AN268" s="76">
        <v>1</v>
      </c>
      <c r="AO268" s="76">
        <v>1</v>
      </c>
      <c r="AP268" s="76">
        <v>1</v>
      </c>
      <c r="AQ268" s="76">
        <v>0.999121265377856</v>
      </c>
      <c r="AR268" s="96">
        <v>0.0922287257019438</v>
      </c>
      <c r="AS268" s="80">
        <v>0.161290322580645</v>
      </c>
      <c r="AT268" s="80">
        <v>0.0909090909090909</v>
      </c>
      <c r="AU268" s="80">
        <v>0</v>
      </c>
      <c r="AV268" s="80">
        <v>0.0607142857142857</v>
      </c>
      <c r="AW268" s="36"/>
      <c r="AX268" s="34"/>
    </row>
    <row r="269" ht="14.5" spans="1:50">
      <c r="A269" s="32"/>
      <c r="B269" s="36"/>
      <c r="C269" s="100" t="s">
        <v>289</v>
      </c>
      <c r="D269" s="69" t="s">
        <v>15</v>
      </c>
      <c r="E269" s="101" t="s">
        <v>320</v>
      </c>
      <c r="F269" s="101" t="s">
        <v>320</v>
      </c>
      <c r="G269" s="101" t="s">
        <v>320</v>
      </c>
      <c r="H269" s="101" t="s">
        <v>320</v>
      </c>
      <c r="I269" s="71">
        <v>0.9</v>
      </c>
      <c r="J269" s="72">
        <v>0</v>
      </c>
      <c r="K269" s="72">
        <v>0</v>
      </c>
      <c r="L269" s="73">
        <v>0</v>
      </c>
      <c r="M269" s="72">
        <v>0</v>
      </c>
      <c r="N269" s="74">
        <v>0.9</v>
      </c>
      <c r="O269" s="72">
        <v>0</v>
      </c>
      <c r="P269" s="72">
        <v>0.25</v>
      </c>
      <c r="Q269" s="72">
        <v>0.5</v>
      </c>
      <c r="R269" s="72">
        <v>0.1</v>
      </c>
      <c r="S269" s="74">
        <v>0.9</v>
      </c>
      <c r="T269" s="72">
        <v>0.333333333333333</v>
      </c>
      <c r="U269" s="72">
        <v>0.5</v>
      </c>
      <c r="V269" s="72">
        <v>0</v>
      </c>
      <c r="W269" s="72">
        <v>0.45</v>
      </c>
      <c r="X269" s="74">
        <v>0.92</v>
      </c>
      <c r="Y269" s="74">
        <v>0.375</v>
      </c>
      <c r="Z269" s="74">
        <v>0.5</v>
      </c>
      <c r="AA269" s="74">
        <v>1</v>
      </c>
      <c r="AB269" s="74">
        <v>0.5</v>
      </c>
      <c r="AC269" s="74">
        <v>0.92</v>
      </c>
      <c r="AD269" s="72">
        <v>0.99771223814774</v>
      </c>
      <c r="AE269" s="72">
        <v>0.9956745836463</v>
      </c>
      <c r="AF269" s="72">
        <v>0.995871109314546</v>
      </c>
      <c r="AG269" s="72">
        <v>0.995501027324469</v>
      </c>
      <c r="AH269" s="74">
        <v>0.92</v>
      </c>
      <c r="AI269" s="72">
        <v>0.333333333333333</v>
      </c>
      <c r="AJ269" s="72">
        <v>0.5</v>
      </c>
      <c r="AK269" s="72">
        <v>0.333333333333333</v>
      </c>
      <c r="AL269" s="72">
        <v>0.485714285714286</v>
      </c>
      <c r="AM269" s="71">
        <v>0.99</v>
      </c>
      <c r="AN269" s="76">
        <v>1</v>
      </c>
      <c r="AO269" s="76">
        <v>1</v>
      </c>
      <c r="AP269" s="76">
        <v>1</v>
      </c>
      <c r="AQ269" s="76">
        <v>1</v>
      </c>
      <c r="AR269" s="96">
        <v>0.0922287257019438</v>
      </c>
      <c r="AS269" s="80">
        <v>0</v>
      </c>
      <c r="AT269" s="80">
        <v>0</v>
      </c>
      <c r="AU269" s="80">
        <v>0</v>
      </c>
      <c r="AV269" s="80">
        <v>0</v>
      </c>
      <c r="AW269" s="36"/>
      <c r="AX269" s="34"/>
    </row>
    <row r="270" ht="14.5" spans="1:50">
      <c r="A270" s="32"/>
      <c r="B270" s="36"/>
      <c r="C270" s="100" t="s">
        <v>289</v>
      </c>
      <c r="D270" s="69" t="s">
        <v>15</v>
      </c>
      <c r="E270" s="101" t="s">
        <v>321</v>
      </c>
      <c r="F270" s="101" t="s">
        <v>321</v>
      </c>
      <c r="G270" s="101" t="s">
        <v>321</v>
      </c>
      <c r="H270" s="101" t="s">
        <v>321</v>
      </c>
      <c r="I270" s="71">
        <v>0.9</v>
      </c>
      <c r="J270" s="72">
        <v>0.876106194690266</v>
      </c>
      <c r="K270" s="72">
        <v>0.914529914529915</v>
      </c>
      <c r="L270" s="73">
        <v>0.907563025210084</v>
      </c>
      <c r="M270" s="72">
        <v>0.87758945386064</v>
      </c>
      <c r="N270" s="74">
        <v>0.9</v>
      </c>
      <c r="O270" s="72">
        <v>0.926640382990707</v>
      </c>
      <c r="P270" s="72">
        <v>0.964960744402443</v>
      </c>
      <c r="Q270" s="72">
        <v>0.93762656946132</v>
      </c>
      <c r="R270" s="72">
        <v>0.887025447200502</v>
      </c>
      <c r="S270" s="74">
        <v>0.9</v>
      </c>
      <c r="T270" s="72">
        <v>0.908476485497043</v>
      </c>
      <c r="U270" s="72">
        <v>0.9380633905205</v>
      </c>
      <c r="V270" s="72">
        <v>0.932766302146618</v>
      </c>
      <c r="W270" s="72">
        <v>0.920016526143441</v>
      </c>
      <c r="X270" s="74">
        <v>0.92</v>
      </c>
      <c r="Y270" s="74">
        <v>0.965646369260827</v>
      </c>
      <c r="Z270" s="74">
        <v>0.971340839303992</v>
      </c>
      <c r="AA270" s="74">
        <v>0.985970819304153</v>
      </c>
      <c r="AB270" s="74">
        <v>0.971884512847662</v>
      </c>
      <c r="AC270" s="74">
        <v>0.92</v>
      </c>
      <c r="AD270" s="72">
        <v>0.973741362290227</v>
      </c>
      <c r="AE270" s="72">
        <v>0.947079037800687</v>
      </c>
      <c r="AF270" s="72">
        <v>0.970794158831766</v>
      </c>
      <c r="AG270" s="72">
        <v>0.964914974473149</v>
      </c>
      <c r="AH270" s="74">
        <v>0.92</v>
      </c>
      <c r="AI270" s="72">
        <v>0.975158562367865</v>
      </c>
      <c r="AJ270" s="72">
        <v>0.981397174254317</v>
      </c>
      <c r="AK270" s="72">
        <v>0.990749451238633</v>
      </c>
      <c r="AL270" s="72">
        <v>0.982293252156266</v>
      </c>
      <c r="AM270" s="71">
        <v>0.99</v>
      </c>
      <c r="AN270" s="76">
        <v>1</v>
      </c>
      <c r="AO270" s="76">
        <v>1</v>
      </c>
      <c r="AP270" s="76">
        <v>1</v>
      </c>
      <c r="AQ270" s="76">
        <v>1</v>
      </c>
      <c r="AR270" s="96">
        <v>0.0922287257019438</v>
      </c>
      <c r="AS270" s="80">
        <v>0</v>
      </c>
      <c r="AT270" s="80">
        <v>0.0526315789473684</v>
      </c>
      <c r="AU270" s="80">
        <v>0.0645161290322581</v>
      </c>
      <c r="AV270" s="80">
        <v>0.0752212389380531</v>
      </c>
      <c r="AW270" s="36"/>
      <c r="AX270" s="34"/>
    </row>
    <row r="271" ht="14.5" spans="1:50">
      <c r="A271" s="32"/>
      <c r="B271" s="36"/>
      <c r="C271" s="100" t="s">
        <v>289</v>
      </c>
      <c r="D271" s="69" t="s">
        <v>15</v>
      </c>
      <c r="E271" s="101" t="s">
        <v>322</v>
      </c>
      <c r="F271" s="101" t="s">
        <v>322</v>
      </c>
      <c r="G271" s="101" t="s">
        <v>322</v>
      </c>
      <c r="H271" s="101" t="s">
        <v>322</v>
      </c>
      <c r="I271" s="71">
        <v>0.9</v>
      </c>
      <c r="J271" s="72">
        <v>0.963503649635037</v>
      </c>
      <c r="K271" s="72">
        <v>0.958333333333333</v>
      </c>
      <c r="L271" s="73">
        <v>0.968</v>
      </c>
      <c r="M271" s="72">
        <v>0.96014171833481</v>
      </c>
      <c r="N271" s="74">
        <v>0.9</v>
      </c>
      <c r="O271" s="72">
        <v>0.967312213142281</v>
      </c>
      <c r="P271" s="72">
        <v>0.975932324556178</v>
      </c>
      <c r="Q271" s="72">
        <v>0.972168074507256</v>
      </c>
      <c r="R271" s="72">
        <v>0.973799956903654</v>
      </c>
      <c r="S271" s="74">
        <v>0.9</v>
      </c>
      <c r="T271" s="72">
        <v>0.946042762789656</v>
      </c>
      <c r="U271" s="72">
        <v>0.943166924818301</v>
      </c>
      <c r="V271" s="72">
        <v>0.946502057613169</v>
      </c>
      <c r="W271" s="72">
        <v>0.941807257931629</v>
      </c>
      <c r="X271" s="74">
        <v>0.92</v>
      </c>
      <c r="Y271" s="74">
        <v>0.985586734693878</v>
      </c>
      <c r="Z271" s="74">
        <v>0.990542763157895</v>
      </c>
      <c r="AA271" s="74">
        <v>0.989885265700483</v>
      </c>
      <c r="AB271" s="74">
        <v>0.988375156935381</v>
      </c>
      <c r="AC271" s="74">
        <v>0.92</v>
      </c>
      <c r="AD271" s="72">
        <v>0.998573466476462</v>
      </c>
      <c r="AE271" s="72">
        <v>0.998385273696109</v>
      </c>
      <c r="AF271" s="72">
        <v>0.998760842627014</v>
      </c>
      <c r="AG271" s="72">
        <v>0.997241216229531</v>
      </c>
      <c r="AH271" s="74">
        <v>0.92</v>
      </c>
      <c r="AI271" s="72">
        <v>0.986645999761536</v>
      </c>
      <c r="AJ271" s="72">
        <v>0.993053342680517</v>
      </c>
      <c r="AK271" s="72">
        <v>0.993883984867591</v>
      </c>
      <c r="AL271" s="72">
        <v>0.992079263148353</v>
      </c>
      <c r="AM271" s="71">
        <v>0.99</v>
      </c>
      <c r="AN271" s="76">
        <v>1</v>
      </c>
      <c r="AO271" s="76">
        <v>1</v>
      </c>
      <c r="AP271" s="76">
        <v>1</v>
      </c>
      <c r="AQ271" s="76">
        <v>1</v>
      </c>
      <c r="AR271" s="96">
        <v>0.0922287257019438</v>
      </c>
      <c r="AS271" s="80">
        <v>0.2</v>
      </c>
      <c r="AT271" s="80">
        <v>0.102564102564103</v>
      </c>
      <c r="AU271" s="80">
        <v>0.0769230769230769</v>
      </c>
      <c r="AV271" s="80">
        <v>0.11875</v>
      </c>
      <c r="AW271" s="36"/>
      <c r="AX271" s="34"/>
    </row>
    <row r="272" ht="14.5" spans="1:50">
      <c r="A272" s="32"/>
      <c r="B272" s="36"/>
      <c r="C272" s="100" t="s">
        <v>289</v>
      </c>
      <c r="D272" s="69" t="s">
        <v>15</v>
      </c>
      <c r="E272" s="101" t="s">
        <v>323</v>
      </c>
      <c r="F272" s="101" t="s">
        <v>323</v>
      </c>
      <c r="G272" s="101" t="s">
        <v>323</v>
      </c>
      <c r="H272" s="101" t="s">
        <v>323</v>
      </c>
      <c r="I272" s="71">
        <v>0.9</v>
      </c>
      <c r="J272" s="72">
        <v>0.963636363636364</v>
      </c>
      <c r="K272" s="72">
        <v>0.948571428571429</v>
      </c>
      <c r="L272" s="73">
        <v>0.963730569948187</v>
      </c>
      <c r="M272" s="72">
        <v>0.973252279635258</v>
      </c>
      <c r="N272" s="74">
        <v>0.9</v>
      </c>
      <c r="O272" s="72">
        <v>0.966829152300559</v>
      </c>
      <c r="P272" s="72">
        <v>0.966299173139564</v>
      </c>
      <c r="Q272" s="72">
        <v>0.979721017465713</v>
      </c>
      <c r="R272" s="72">
        <v>0.972628957199974</v>
      </c>
      <c r="S272" s="74">
        <v>0.9</v>
      </c>
      <c r="T272" s="72">
        <v>0.946023065033884</v>
      </c>
      <c r="U272" s="72">
        <v>0.947381608619394</v>
      </c>
      <c r="V272" s="72">
        <v>0.961200328214746</v>
      </c>
      <c r="W272" s="72">
        <v>0.951156846037884</v>
      </c>
      <c r="X272" s="74">
        <v>0.92</v>
      </c>
      <c r="Y272" s="74">
        <v>0.985487301388715</v>
      </c>
      <c r="Z272" s="74">
        <v>0.992209097763257</v>
      </c>
      <c r="AA272" s="74">
        <v>0.990752972258917</v>
      </c>
      <c r="AB272" s="74">
        <v>0.991761380720428</v>
      </c>
      <c r="AC272" s="74">
        <v>0.92</v>
      </c>
      <c r="AD272" s="72">
        <v>0.999327956989247</v>
      </c>
      <c r="AE272" s="72">
        <v>0.995296671490593</v>
      </c>
      <c r="AF272" s="72">
        <v>0.9727385377943</v>
      </c>
      <c r="AG272" s="72">
        <v>0.985883424408015</v>
      </c>
      <c r="AH272" s="74">
        <v>0.92</v>
      </c>
      <c r="AI272" s="72">
        <v>0.988173616191173</v>
      </c>
      <c r="AJ272" s="72">
        <v>0.993727261322293</v>
      </c>
      <c r="AK272" s="72">
        <v>0.994851407716371</v>
      </c>
      <c r="AL272" s="72">
        <v>0.994713662556627</v>
      </c>
      <c r="AM272" s="71">
        <v>0.99</v>
      </c>
      <c r="AN272" s="76">
        <v>1</v>
      </c>
      <c r="AO272" s="76">
        <v>1</v>
      </c>
      <c r="AP272" s="76">
        <v>1</v>
      </c>
      <c r="AQ272" s="76">
        <v>1</v>
      </c>
      <c r="AR272" s="96">
        <v>0.0922287257019438</v>
      </c>
      <c r="AS272" s="80">
        <v>0.1</v>
      </c>
      <c r="AT272" s="80">
        <v>0.151515151515152</v>
      </c>
      <c r="AU272" s="80">
        <v>0</v>
      </c>
      <c r="AV272" s="80">
        <v>0.104693140794224</v>
      </c>
      <c r="AW272" s="36"/>
      <c r="AX272" s="34"/>
    </row>
    <row r="273" ht="14.5" spans="1:50">
      <c r="A273" s="32"/>
      <c r="B273" s="36"/>
      <c r="C273" s="100" t="s">
        <v>289</v>
      </c>
      <c r="D273" s="69" t="s">
        <v>15</v>
      </c>
      <c r="E273" s="101" t="s">
        <v>324</v>
      </c>
      <c r="F273" s="101" t="s">
        <v>324</v>
      </c>
      <c r="G273" s="101" t="s">
        <v>324</v>
      </c>
      <c r="H273" s="101" t="s">
        <v>324</v>
      </c>
      <c r="I273" s="71">
        <v>0.9</v>
      </c>
      <c r="J273" s="72">
        <v>0.902654867256637</v>
      </c>
      <c r="K273" s="72">
        <v>0.969072164948454</v>
      </c>
      <c r="L273" s="73">
        <v>0.981651376146789</v>
      </c>
      <c r="M273" s="72">
        <v>0.964592274678112</v>
      </c>
      <c r="N273" s="74">
        <v>0.9</v>
      </c>
      <c r="O273" s="72">
        <v>0.976528799797006</v>
      </c>
      <c r="P273" s="72">
        <v>0.963992332968237</v>
      </c>
      <c r="Q273" s="72">
        <v>0.980095541401274</v>
      </c>
      <c r="R273" s="72">
        <v>0.974478675777568</v>
      </c>
      <c r="S273" s="74">
        <v>0.9</v>
      </c>
      <c r="T273" s="72">
        <v>0.964095407257041</v>
      </c>
      <c r="U273" s="72">
        <v>0.957009857612267</v>
      </c>
      <c r="V273" s="72">
        <v>0.980228237791932</v>
      </c>
      <c r="W273" s="72">
        <v>0.966953345900094</v>
      </c>
      <c r="X273" s="74">
        <v>0.92</v>
      </c>
      <c r="Y273" s="74">
        <v>0.990350356294537</v>
      </c>
      <c r="Z273" s="74">
        <v>0.995050321729088</v>
      </c>
      <c r="AA273" s="74">
        <v>0.998020870816841</v>
      </c>
      <c r="AB273" s="74">
        <v>0.994983582634075</v>
      </c>
      <c r="AC273" s="74">
        <v>0.92</v>
      </c>
      <c r="AD273" s="72">
        <v>0.995814818642141</v>
      </c>
      <c r="AE273" s="72">
        <v>0.996135778148204</v>
      </c>
      <c r="AF273" s="72">
        <v>0.992897959183674</v>
      </c>
      <c r="AG273" s="72">
        <v>0.985610726091991</v>
      </c>
      <c r="AH273" s="74">
        <v>0.92</v>
      </c>
      <c r="AI273" s="72">
        <v>0.990149805048225</v>
      </c>
      <c r="AJ273" s="72">
        <v>0.994388327721661</v>
      </c>
      <c r="AK273" s="72">
        <v>0.998625534514356</v>
      </c>
      <c r="AL273" s="72">
        <v>0.996227829331682</v>
      </c>
      <c r="AM273" s="71">
        <v>0.99</v>
      </c>
      <c r="AN273" s="76">
        <v>1</v>
      </c>
      <c r="AO273" s="76">
        <v>1</v>
      </c>
      <c r="AP273" s="76">
        <v>1</v>
      </c>
      <c r="AQ273" s="76">
        <v>1</v>
      </c>
      <c r="AR273" s="96">
        <v>0.0922287257019438</v>
      </c>
      <c r="AS273" s="80">
        <v>0.263157894736842</v>
      </c>
      <c r="AT273" s="80">
        <v>0</v>
      </c>
      <c r="AU273" s="80">
        <v>0</v>
      </c>
      <c r="AV273" s="80">
        <v>0.0996168582375479</v>
      </c>
      <c r="AW273" s="36"/>
      <c r="AX273" s="34"/>
    </row>
    <row r="274" ht="14.5" spans="1:50">
      <c r="A274" s="32"/>
      <c r="B274" s="36"/>
      <c r="C274" s="100" t="s">
        <v>289</v>
      </c>
      <c r="D274" s="69" t="s">
        <v>15</v>
      </c>
      <c r="E274" s="101" t="s">
        <v>325</v>
      </c>
      <c r="F274" s="101" t="s">
        <v>325</v>
      </c>
      <c r="G274" s="101" t="s">
        <v>325</v>
      </c>
      <c r="H274" s="101" t="s">
        <v>325</v>
      </c>
      <c r="I274" s="71">
        <v>0.9</v>
      </c>
      <c r="J274" s="72">
        <v>0.97752808988764</v>
      </c>
      <c r="K274" s="72">
        <v>0.98876404494382</v>
      </c>
      <c r="L274" s="73">
        <v>1</v>
      </c>
      <c r="M274" s="72">
        <v>0.986436498150432</v>
      </c>
      <c r="N274" s="74">
        <v>0.9</v>
      </c>
      <c r="O274" s="72">
        <v>0.972635012685756</v>
      </c>
      <c r="P274" s="72">
        <v>0.982817869415808</v>
      </c>
      <c r="Q274" s="72">
        <v>0.986123625878537</v>
      </c>
      <c r="R274" s="72">
        <v>0.977529902979204</v>
      </c>
      <c r="S274" s="74">
        <v>0.9</v>
      </c>
      <c r="T274" s="72">
        <v>0.954331279449076</v>
      </c>
      <c r="U274" s="72">
        <v>0.957044673539519</v>
      </c>
      <c r="V274" s="72">
        <v>0.970625337898721</v>
      </c>
      <c r="W274" s="72">
        <v>0.961393388063013</v>
      </c>
      <c r="X274" s="74">
        <v>0.92</v>
      </c>
      <c r="Y274" s="74">
        <v>0.981015270326042</v>
      </c>
      <c r="Z274" s="74">
        <v>0.989521938441388</v>
      </c>
      <c r="AA274" s="74">
        <v>0.984789956542733</v>
      </c>
      <c r="AB274" s="74">
        <v>0.989967877440079</v>
      </c>
      <c r="AC274" s="74">
        <v>0.92</v>
      </c>
      <c r="AD274" s="72">
        <v>0.998143482296778</v>
      </c>
      <c r="AE274" s="72">
        <v>0.996805840748346</v>
      </c>
      <c r="AF274" s="72">
        <v>0.993238674780257</v>
      </c>
      <c r="AG274" s="72">
        <v>0.992890801065355</v>
      </c>
      <c r="AH274" s="74">
        <v>0.92</v>
      </c>
      <c r="AI274" s="72">
        <v>0.984658433037437</v>
      </c>
      <c r="AJ274" s="72">
        <v>0.991956831602525</v>
      </c>
      <c r="AK274" s="72">
        <v>0.990508614464046</v>
      </c>
      <c r="AL274" s="72">
        <v>0.992894415454646</v>
      </c>
      <c r="AM274" s="71">
        <v>0.99</v>
      </c>
      <c r="AN274" s="76">
        <v>1</v>
      </c>
      <c r="AO274" s="76">
        <v>1</v>
      </c>
      <c r="AP274" s="76">
        <v>1</v>
      </c>
      <c r="AQ274" s="76">
        <v>1</v>
      </c>
      <c r="AR274" s="96">
        <v>0.0922287257019438</v>
      </c>
      <c r="AS274" s="80">
        <v>0.0740740740740741</v>
      </c>
      <c r="AT274" s="80">
        <v>0</v>
      </c>
      <c r="AU274" s="80">
        <v>0</v>
      </c>
      <c r="AV274" s="80">
        <v>0.0862944162436548</v>
      </c>
      <c r="AW274" s="36"/>
      <c r="AX274" s="34"/>
    </row>
    <row r="275" ht="14.5" spans="1:50">
      <c r="A275" s="32"/>
      <c r="B275" s="36"/>
      <c r="C275" s="100" t="s">
        <v>289</v>
      </c>
      <c r="D275" s="69" t="s">
        <v>15</v>
      </c>
      <c r="E275" s="101" t="s">
        <v>326</v>
      </c>
      <c r="F275" s="101" t="s">
        <v>326</v>
      </c>
      <c r="G275" s="101" t="s">
        <v>326</v>
      </c>
      <c r="H275" s="101" t="s">
        <v>326</v>
      </c>
      <c r="I275" s="71">
        <v>0.9</v>
      </c>
      <c r="J275" s="72">
        <v>0.933333333333333</v>
      </c>
      <c r="K275" s="72">
        <v>0.92</v>
      </c>
      <c r="L275" s="73">
        <v>0.975609756097561</v>
      </c>
      <c r="M275" s="72">
        <v>0.939093484419263</v>
      </c>
      <c r="N275" s="74">
        <v>0.9</v>
      </c>
      <c r="O275" s="72">
        <v>0.97714907508161</v>
      </c>
      <c r="P275" s="72">
        <v>0.980471171729696</v>
      </c>
      <c r="Q275" s="72">
        <v>0.975820379965458</v>
      </c>
      <c r="R275" s="72">
        <v>0.979379136161642</v>
      </c>
      <c r="S275" s="74">
        <v>0.9</v>
      </c>
      <c r="T275" s="72">
        <v>0.961371055495103</v>
      </c>
      <c r="U275" s="72">
        <v>0.959392436453813</v>
      </c>
      <c r="V275" s="72">
        <v>0.96776050662061</v>
      </c>
      <c r="W275" s="72">
        <v>0.958662361328687</v>
      </c>
      <c r="X275" s="74">
        <v>0.92</v>
      </c>
      <c r="Y275" s="74">
        <v>0.98187134502924</v>
      </c>
      <c r="Z275" s="74">
        <v>0.992805755395683</v>
      </c>
      <c r="AA275" s="74">
        <v>0.991087344028521</v>
      </c>
      <c r="AB275" s="74">
        <v>0.98918404735062</v>
      </c>
      <c r="AC275" s="74">
        <v>0.92</v>
      </c>
      <c r="AD275" s="72">
        <v>1</v>
      </c>
      <c r="AE275" s="72">
        <v>0.997275204359673</v>
      </c>
      <c r="AF275" s="72">
        <v>0.977469670710572</v>
      </c>
      <c r="AG275" s="72">
        <v>0.985975911565748</v>
      </c>
      <c r="AH275" s="74">
        <v>0.92</v>
      </c>
      <c r="AI275" s="72">
        <v>0.986894024802706</v>
      </c>
      <c r="AJ275" s="72">
        <v>0.994776898970303</v>
      </c>
      <c r="AK275" s="72">
        <v>0.994268428594173</v>
      </c>
      <c r="AL275" s="72">
        <v>0.992844215042231</v>
      </c>
      <c r="AM275" s="71">
        <v>0.99</v>
      </c>
      <c r="AN275" s="76">
        <v>1</v>
      </c>
      <c r="AO275" s="76">
        <v>1</v>
      </c>
      <c r="AP275" s="76">
        <v>1</v>
      </c>
      <c r="AQ275" s="76">
        <v>1</v>
      </c>
      <c r="AR275" s="96">
        <v>0.0922287257019438</v>
      </c>
      <c r="AS275" s="80">
        <v>0.142857142857143</v>
      </c>
      <c r="AT275" s="80">
        <v>0</v>
      </c>
      <c r="AU275" s="80">
        <v>0</v>
      </c>
      <c r="AV275" s="80">
        <v>0.0947368421052632</v>
      </c>
      <c r="AW275" s="36"/>
      <c r="AX275" s="34"/>
    </row>
    <row r="276" ht="14.5" spans="1:50">
      <c r="A276" s="32"/>
      <c r="B276" s="36"/>
      <c r="C276" s="100" t="s">
        <v>289</v>
      </c>
      <c r="D276" s="69" t="s">
        <v>15</v>
      </c>
      <c r="E276" s="101" t="s">
        <v>327</v>
      </c>
      <c r="F276" s="101" t="s">
        <v>327</v>
      </c>
      <c r="G276" s="101" t="s">
        <v>327</v>
      </c>
      <c r="H276" s="101" t="s">
        <v>327</v>
      </c>
      <c r="I276" s="71">
        <v>0.9</v>
      </c>
      <c r="J276" s="72">
        <v>0.891472868217054</v>
      </c>
      <c r="K276" s="72">
        <v>0.887218045112782</v>
      </c>
      <c r="L276" s="73">
        <v>0.918918918918919</v>
      </c>
      <c r="M276" s="72">
        <v>0.911392405063291</v>
      </c>
      <c r="N276" s="74">
        <v>0.9</v>
      </c>
      <c r="O276" s="72">
        <v>0.882651475919213</v>
      </c>
      <c r="P276" s="72">
        <v>0.757518201962646</v>
      </c>
      <c r="Q276" s="72">
        <v>0.867716073523661</v>
      </c>
      <c r="R276" s="72">
        <v>0.840064915769503</v>
      </c>
      <c r="S276" s="74">
        <v>0.9</v>
      </c>
      <c r="T276" s="72">
        <v>0.91206628689798</v>
      </c>
      <c r="U276" s="72">
        <v>0.925714888677852</v>
      </c>
      <c r="V276" s="72">
        <v>0.916699256941729</v>
      </c>
      <c r="W276" s="72">
        <v>0.916603808087042</v>
      </c>
      <c r="X276" s="74">
        <v>0.92</v>
      </c>
      <c r="Y276" s="74">
        <v>0.968780916785754</v>
      </c>
      <c r="Z276" s="74">
        <v>0.979268292682927</v>
      </c>
      <c r="AA276" s="74">
        <v>0.984901731094625</v>
      </c>
      <c r="AB276" s="74">
        <v>0.981499082986385</v>
      </c>
      <c r="AC276" s="74">
        <v>0.92</v>
      </c>
      <c r="AD276" s="72">
        <v>0.992375366568915</v>
      </c>
      <c r="AE276" s="72">
        <v>0.971317073170732</v>
      </c>
      <c r="AF276" s="72">
        <v>0.965645514223195</v>
      </c>
      <c r="AG276" s="72">
        <v>0.949711915187831</v>
      </c>
      <c r="AH276" s="74">
        <v>0.92</v>
      </c>
      <c r="AI276" s="72">
        <v>0.975791831076037</v>
      </c>
      <c r="AJ276" s="72">
        <v>0.982806402352808</v>
      </c>
      <c r="AK276" s="72">
        <v>0.988390265684305</v>
      </c>
      <c r="AL276" s="72">
        <v>0.986486819565458</v>
      </c>
      <c r="AM276" s="71">
        <v>0.99</v>
      </c>
      <c r="AN276" s="76">
        <v>1</v>
      </c>
      <c r="AO276" s="76">
        <v>1</v>
      </c>
      <c r="AP276" s="76">
        <v>1</v>
      </c>
      <c r="AQ276" s="76">
        <v>1</v>
      </c>
      <c r="AR276" s="96">
        <v>0.0922287257019438</v>
      </c>
      <c r="AS276" s="80">
        <v>0.0298507462686567</v>
      </c>
      <c r="AT276" s="80">
        <v>0.101694915254237</v>
      </c>
      <c r="AU276" s="80">
        <v>0.0769230769230769</v>
      </c>
      <c r="AV276" s="80">
        <v>0.0760233918128655</v>
      </c>
      <c r="AW276" s="36"/>
      <c r="AX276" s="34"/>
    </row>
    <row r="277" ht="14.5" spans="1:50">
      <c r="A277" s="32"/>
      <c r="B277" s="36"/>
      <c r="C277" s="100" t="s">
        <v>289</v>
      </c>
      <c r="D277" s="69" t="s">
        <v>15</v>
      </c>
      <c r="E277" s="101" t="s">
        <v>328</v>
      </c>
      <c r="F277" s="101" t="s">
        <v>328</v>
      </c>
      <c r="G277" s="101" t="s">
        <v>328</v>
      </c>
      <c r="H277" s="101" t="s">
        <v>328</v>
      </c>
      <c r="I277" s="71">
        <v>0.9</v>
      </c>
      <c r="J277" s="72">
        <v>0</v>
      </c>
      <c r="K277" s="72">
        <v>0</v>
      </c>
      <c r="L277" s="73">
        <v>0</v>
      </c>
      <c r="M277" s="72">
        <v>0</v>
      </c>
      <c r="N277" s="74">
        <v>0.9</v>
      </c>
      <c r="O277" s="72">
        <v>0</v>
      </c>
      <c r="P277" s="72">
        <v>0</v>
      </c>
      <c r="Q277" s="72">
        <v>0</v>
      </c>
      <c r="R277" s="72">
        <v>0</v>
      </c>
      <c r="S277" s="74">
        <v>0.9</v>
      </c>
      <c r="T277" s="72">
        <v>0</v>
      </c>
      <c r="U277" s="72">
        <v>0</v>
      </c>
      <c r="V277" s="72">
        <v>0</v>
      </c>
      <c r="W277" s="72">
        <v>0</v>
      </c>
      <c r="X277" s="74">
        <v>0.92</v>
      </c>
      <c r="Y277" s="74">
        <v>0</v>
      </c>
      <c r="Z277" s="74">
        <v>0</v>
      </c>
      <c r="AA277" s="74">
        <v>0</v>
      </c>
      <c r="AB277" s="74">
        <v>0</v>
      </c>
      <c r="AC277" s="74">
        <v>0.92</v>
      </c>
      <c r="AD277" s="72">
        <v>0.997183098591549</v>
      </c>
      <c r="AE277" s="72">
        <v>0.952127659574468</v>
      </c>
      <c r="AF277" s="72">
        <v>0.883295194508009</v>
      </c>
      <c r="AG277" s="72">
        <v>0.875734297333936</v>
      </c>
      <c r="AH277" s="74">
        <v>0.92</v>
      </c>
      <c r="AI277" s="72">
        <v>0</v>
      </c>
      <c r="AJ277" s="72">
        <v>0</v>
      </c>
      <c r="AK277" s="72">
        <v>0</v>
      </c>
      <c r="AL277" s="72">
        <v>0</v>
      </c>
      <c r="AM277" s="71">
        <v>0.99</v>
      </c>
      <c r="AN277" s="76">
        <v>1</v>
      </c>
      <c r="AO277" s="76">
        <v>1</v>
      </c>
      <c r="AP277" s="76">
        <v>1</v>
      </c>
      <c r="AQ277" s="76">
        <v>1</v>
      </c>
      <c r="AR277" s="96">
        <v>0.0922287257019438</v>
      </c>
      <c r="AS277" s="80">
        <v>0</v>
      </c>
      <c r="AT277" s="80">
        <v>0</v>
      </c>
      <c r="AU277" s="80">
        <v>0</v>
      </c>
      <c r="AV277" s="80">
        <v>0</v>
      </c>
      <c r="AW277" s="36"/>
      <c r="AX277" s="34"/>
    </row>
    <row r="278" ht="14.5" spans="1:50">
      <c r="A278" s="32"/>
      <c r="B278" s="36"/>
      <c r="C278" s="100" t="s">
        <v>289</v>
      </c>
      <c r="D278" s="69" t="s">
        <v>15</v>
      </c>
      <c r="E278" s="101" t="s">
        <v>329</v>
      </c>
      <c r="F278" s="101" t="s">
        <v>329</v>
      </c>
      <c r="G278" s="101" t="s">
        <v>329</v>
      </c>
      <c r="H278" s="101" t="s">
        <v>329</v>
      </c>
      <c r="I278" s="71">
        <v>0.9</v>
      </c>
      <c r="J278" s="72">
        <v>0</v>
      </c>
      <c r="K278" s="72">
        <v>0</v>
      </c>
      <c r="L278" s="73">
        <v>0</v>
      </c>
      <c r="M278" s="72">
        <v>0</v>
      </c>
      <c r="N278" s="74">
        <v>0.9</v>
      </c>
      <c r="O278" s="72">
        <v>0</v>
      </c>
      <c r="P278" s="72">
        <v>0</v>
      </c>
      <c r="Q278" s="72">
        <v>0</v>
      </c>
      <c r="R278" s="72">
        <v>0</v>
      </c>
      <c r="S278" s="74">
        <v>0.9</v>
      </c>
      <c r="T278" s="72">
        <v>0</v>
      </c>
      <c r="U278" s="72">
        <v>0</v>
      </c>
      <c r="V278" s="72">
        <v>0</v>
      </c>
      <c r="W278" s="72">
        <v>0</v>
      </c>
      <c r="X278" s="74">
        <v>0.92</v>
      </c>
      <c r="Y278" s="74">
        <v>0</v>
      </c>
      <c r="Z278" s="74">
        <v>0</v>
      </c>
      <c r="AA278" s="74">
        <v>0</v>
      </c>
      <c r="AB278" s="74">
        <v>0</v>
      </c>
      <c r="AC278" s="74">
        <v>0.92</v>
      </c>
      <c r="AD278" s="72">
        <v>1</v>
      </c>
      <c r="AE278" s="72">
        <v>0.623188405797101</v>
      </c>
      <c r="AF278" s="72">
        <v>0.729850746268657</v>
      </c>
      <c r="AG278" s="72">
        <v>0.734365451212059</v>
      </c>
      <c r="AH278" s="74">
        <v>0.92</v>
      </c>
      <c r="AI278" s="72">
        <v>0</v>
      </c>
      <c r="AJ278" s="72">
        <v>0</v>
      </c>
      <c r="AK278" s="72">
        <v>0</v>
      </c>
      <c r="AL278" s="72">
        <v>0</v>
      </c>
      <c r="AM278" s="71">
        <v>0.99</v>
      </c>
      <c r="AN278" s="76">
        <v>0</v>
      </c>
      <c r="AO278" s="76">
        <v>0</v>
      </c>
      <c r="AP278" s="76">
        <v>0</v>
      </c>
      <c r="AQ278" s="76">
        <v>1</v>
      </c>
      <c r="AR278" s="96">
        <v>0.0922287257019438</v>
      </c>
      <c r="AS278" s="80">
        <v>0</v>
      </c>
      <c r="AT278" s="80">
        <v>0</v>
      </c>
      <c r="AU278" s="80">
        <v>0</v>
      </c>
      <c r="AV278" s="80">
        <v>0</v>
      </c>
      <c r="AW278" s="36"/>
      <c r="AX278" s="34"/>
    </row>
    <row r="279" ht="14.5" spans="1:50">
      <c r="A279" s="32"/>
      <c r="B279" s="36"/>
      <c r="C279" s="100" t="s">
        <v>289</v>
      </c>
      <c r="D279" s="69" t="s">
        <v>15</v>
      </c>
      <c r="E279" s="101" t="s">
        <v>330</v>
      </c>
      <c r="F279" s="101" t="s">
        <v>330</v>
      </c>
      <c r="G279" s="101" t="s">
        <v>330</v>
      </c>
      <c r="H279" s="101" t="s">
        <v>330</v>
      </c>
      <c r="I279" s="71">
        <v>0.9</v>
      </c>
      <c r="J279" s="72">
        <v>0</v>
      </c>
      <c r="K279" s="72">
        <v>0</v>
      </c>
      <c r="L279" s="73">
        <v>0</v>
      </c>
      <c r="M279" s="72">
        <v>0</v>
      </c>
      <c r="N279" s="74">
        <v>0.9</v>
      </c>
      <c r="O279" s="72">
        <v>0</v>
      </c>
      <c r="P279" s="72">
        <v>0</v>
      </c>
      <c r="Q279" s="72">
        <v>0</v>
      </c>
      <c r="R279" s="72">
        <v>0</v>
      </c>
      <c r="S279" s="74">
        <v>0.9</v>
      </c>
      <c r="T279" s="72">
        <v>0</v>
      </c>
      <c r="U279" s="72">
        <v>0</v>
      </c>
      <c r="V279" s="72">
        <v>0</v>
      </c>
      <c r="W279" s="72">
        <v>0</v>
      </c>
      <c r="X279" s="74">
        <v>0.92</v>
      </c>
      <c r="Y279" s="74">
        <v>0</v>
      </c>
      <c r="Z279" s="74">
        <v>0</v>
      </c>
      <c r="AA279" s="74">
        <v>0</v>
      </c>
      <c r="AB279" s="74">
        <v>0</v>
      </c>
      <c r="AC279" s="74">
        <v>0.92</v>
      </c>
      <c r="AD279" s="72">
        <v>1</v>
      </c>
      <c r="AE279" s="72">
        <v>0.983805668016194</v>
      </c>
      <c r="AF279" s="72">
        <v>0.861932938856016</v>
      </c>
      <c r="AG279" s="72">
        <v>0.901165048543689</v>
      </c>
      <c r="AH279" s="74">
        <v>0.92</v>
      </c>
      <c r="AI279" s="72">
        <v>0</v>
      </c>
      <c r="AJ279" s="72">
        <v>0</v>
      </c>
      <c r="AK279" s="72">
        <v>0</v>
      </c>
      <c r="AL279" s="72">
        <v>0</v>
      </c>
      <c r="AM279" s="71">
        <v>0.99</v>
      </c>
      <c r="AN279" s="76">
        <v>0</v>
      </c>
      <c r="AO279" s="76">
        <v>0</v>
      </c>
      <c r="AP279" s="76">
        <v>0</v>
      </c>
      <c r="AQ279" s="76">
        <v>1</v>
      </c>
      <c r="AR279" s="96">
        <v>0.0922287257019438</v>
      </c>
      <c r="AS279" s="80">
        <v>0</v>
      </c>
      <c r="AT279" s="80">
        <v>0</v>
      </c>
      <c r="AU279" s="80">
        <v>0</v>
      </c>
      <c r="AV279" s="80">
        <v>0</v>
      </c>
      <c r="AW279" s="36"/>
      <c r="AX279" s="34"/>
    </row>
    <row r="280" ht="14.5" spans="1:50">
      <c r="A280" s="32"/>
      <c r="B280" s="36"/>
      <c r="C280" s="100" t="s">
        <v>289</v>
      </c>
      <c r="D280" s="69" t="s">
        <v>15</v>
      </c>
      <c r="E280" s="101" t="s">
        <v>331</v>
      </c>
      <c r="F280" s="101" t="s">
        <v>331</v>
      </c>
      <c r="G280" s="101" t="s">
        <v>331</v>
      </c>
      <c r="H280" s="101" t="s">
        <v>331</v>
      </c>
      <c r="I280" s="71">
        <v>0.9</v>
      </c>
      <c r="J280" s="72">
        <v>0</v>
      </c>
      <c r="K280" s="72">
        <v>0</v>
      </c>
      <c r="L280" s="73">
        <v>0</v>
      </c>
      <c r="M280" s="72">
        <v>0</v>
      </c>
      <c r="N280" s="74">
        <v>0.9</v>
      </c>
      <c r="O280" s="72">
        <v>0</v>
      </c>
      <c r="P280" s="72">
        <v>0</v>
      </c>
      <c r="Q280" s="72">
        <v>0</v>
      </c>
      <c r="R280" s="72">
        <v>0</v>
      </c>
      <c r="S280" s="74">
        <v>0.9</v>
      </c>
      <c r="T280" s="72">
        <v>0</v>
      </c>
      <c r="U280" s="72">
        <v>0</v>
      </c>
      <c r="V280" s="72">
        <v>0</v>
      </c>
      <c r="W280" s="72">
        <v>0</v>
      </c>
      <c r="X280" s="74">
        <v>0.92</v>
      </c>
      <c r="Y280" s="74">
        <v>0</v>
      </c>
      <c r="Z280" s="74">
        <v>0</v>
      </c>
      <c r="AA280" s="74">
        <v>0</v>
      </c>
      <c r="AB280" s="74">
        <v>0</v>
      </c>
      <c r="AC280" s="74">
        <v>0.92</v>
      </c>
      <c r="AD280" s="72">
        <v>1</v>
      </c>
      <c r="AE280" s="72">
        <v>0.858895705521472</v>
      </c>
      <c r="AF280" s="72">
        <v>0.883211678832117</v>
      </c>
      <c r="AG280" s="72">
        <v>0.815384615384615</v>
      </c>
      <c r="AH280" s="74">
        <v>0.92</v>
      </c>
      <c r="AI280" s="72">
        <v>0</v>
      </c>
      <c r="AJ280" s="72">
        <v>0</v>
      </c>
      <c r="AK280" s="72">
        <v>0</v>
      </c>
      <c r="AL280" s="72">
        <v>0</v>
      </c>
      <c r="AM280" s="71">
        <v>0.99</v>
      </c>
      <c r="AN280" s="76">
        <v>0</v>
      </c>
      <c r="AO280" s="76">
        <v>0</v>
      </c>
      <c r="AP280" s="76">
        <v>0</v>
      </c>
      <c r="AQ280" s="76">
        <v>1</v>
      </c>
      <c r="AR280" s="96">
        <v>0.0922287257019438</v>
      </c>
      <c r="AS280" s="80">
        <v>0</v>
      </c>
      <c r="AT280" s="80">
        <v>0</v>
      </c>
      <c r="AU280" s="80">
        <v>0</v>
      </c>
      <c r="AV280" s="80">
        <v>0</v>
      </c>
      <c r="AW280" s="36"/>
      <c r="AX280" s="34"/>
    </row>
    <row r="281" ht="14.5" spans="1:50">
      <c r="A281" s="32"/>
      <c r="B281" s="36"/>
      <c r="C281" s="100" t="s">
        <v>289</v>
      </c>
      <c r="D281" s="69" t="s">
        <v>15</v>
      </c>
      <c r="E281" s="101" t="s">
        <v>332</v>
      </c>
      <c r="F281" s="101" t="s">
        <v>332</v>
      </c>
      <c r="G281" s="101" t="s">
        <v>332</v>
      </c>
      <c r="H281" s="101" t="s">
        <v>332</v>
      </c>
      <c r="I281" s="71">
        <v>0.9</v>
      </c>
      <c r="J281" s="72">
        <v>0.923076923076923</v>
      </c>
      <c r="K281" s="72">
        <v>1</v>
      </c>
      <c r="L281" s="73">
        <v>0.866666666666667</v>
      </c>
      <c r="M281" s="72">
        <v>0.904109589041096</v>
      </c>
      <c r="N281" s="74">
        <v>0.9</v>
      </c>
      <c r="O281" s="72">
        <v>0.99053414469236</v>
      </c>
      <c r="P281" s="72">
        <v>0.993011879804333</v>
      </c>
      <c r="Q281" s="72">
        <v>0.987822349570201</v>
      </c>
      <c r="R281" s="72">
        <v>0.984084250534484</v>
      </c>
      <c r="S281" s="74">
        <v>0.9</v>
      </c>
      <c r="T281" s="72">
        <v>0.910750507099391</v>
      </c>
      <c r="U281" s="72">
        <v>0.945492662473795</v>
      </c>
      <c r="V281" s="72">
        <v>0.893266475644699</v>
      </c>
      <c r="W281" s="72">
        <v>0.923034286166759</v>
      </c>
      <c r="X281" s="74">
        <v>0.92</v>
      </c>
      <c r="Y281" s="74">
        <v>0.970639032815199</v>
      </c>
      <c r="Z281" s="74">
        <v>0.984432234432234</v>
      </c>
      <c r="AA281" s="74">
        <v>0.984802431610942</v>
      </c>
      <c r="AB281" s="74">
        <v>0.982964915838572</v>
      </c>
      <c r="AC281" s="74">
        <v>0.92</v>
      </c>
      <c r="AD281" s="72">
        <v>0.99872854418309</v>
      </c>
      <c r="AE281" s="72">
        <v>0.989290402819042</v>
      </c>
      <c r="AF281" s="72">
        <v>0.870161365544259</v>
      </c>
      <c r="AG281" s="72">
        <v>0.937648978693755</v>
      </c>
      <c r="AH281" s="74">
        <v>0.92</v>
      </c>
      <c r="AI281" s="72">
        <v>0.976109215017065</v>
      </c>
      <c r="AJ281" s="72">
        <v>0.990091161315894</v>
      </c>
      <c r="AK281" s="72">
        <v>0.990348300461603</v>
      </c>
      <c r="AL281" s="72">
        <v>0.988886913229018</v>
      </c>
      <c r="AM281" s="71">
        <v>0.99</v>
      </c>
      <c r="AN281" s="76">
        <v>1</v>
      </c>
      <c r="AO281" s="76">
        <v>1</v>
      </c>
      <c r="AP281" s="76">
        <v>1</v>
      </c>
      <c r="AQ281" s="76">
        <v>1</v>
      </c>
      <c r="AR281" s="96">
        <v>0.0922287257019438</v>
      </c>
      <c r="AS281" s="80">
        <v>0</v>
      </c>
      <c r="AT281" s="80">
        <v>0</v>
      </c>
      <c r="AU281" s="80">
        <v>0</v>
      </c>
      <c r="AV281" s="80">
        <v>0.0975609756097561</v>
      </c>
      <c r="AW281" s="36"/>
      <c r="AX281" s="34"/>
    </row>
    <row r="282" ht="14.5" spans="1:50">
      <c r="A282" s="32"/>
      <c r="B282" s="36"/>
      <c r="C282" s="100" t="s">
        <v>289</v>
      </c>
      <c r="D282" s="69" t="s">
        <v>15</v>
      </c>
      <c r="E282" s="101" t="s">
        <v>333</v>
      </c>
      <c r="F282" s="101" t="s">
        <v>333</v>
      </c>
      <c r="G282" s="101" t="s">
        <v>333</v>
      </c>
      <c r="H282" s="101" t="s">
        <v>333</v>
      </c>
      <c r="I282" s="71">
        <v>0.9</v>
      </c>
      <c r="J282" s="72">
        <v>0</v>
      </c>
      <c r="K282" s="72">
        <v>0</v>
      </c>
      <c r="L282" s="73">
        <v>0</v>
      </c>
      <c r="M282" s="72">
        <v>0</v>
      </c>
      <c r="N282" s="74">
        <v>0.9</v>
      </c>
      <c r="O282" s="72">
        <v>0</v>
      </c>
      <c r="P282" s="72">
        <v>0</v>
      </c>
      <c r="Q282" s="72">
        <v>0</v>
      </c>
      <c r="R282" s="72">
        <v>0</v>
      </c>
      <c r="S282" s="74">
        <v>0.9</v>
      </c>
      <c r="T282" s="72">
        <v>0</v>
      </c>
      <c r="U282" s="72">
        <v>0</v>
      </c>
      <c r="V282" s="72">
        <v>0</v>
      </c>
      <c r="W282" s="72">
        <v>0</v>
      </c>
      <c r="X282" s="74">
        <v>0.92</v>
      </c>
      <c r="Y282" s="74">
        <v>0</v>
      </c>
      <c r="Z282" s="74">
        <v>0</v>
      </c>
      <c r="AA282" s="74">
        <v>0</v>
      </c>
      <c r="AB282" s="74">
        <v>0</v>
      </c>
      <c r="AC282" s="74">
        <v>0.92</v>
      </c>
      <c r="AD282" s="72">
        <v>0.998297002724796</v>
      </c>
      <c r="AE282" s="72">
        <v>0.997185080928923</v>
      </c>
      <c r="AF282" s="72">
        <v>0.999662959218065</v>
      </c>
      <c r="AG282" s="72">
        <v>0.997902296807225</v>
      </c>
      <c r="AH282" s="74">
        <v>0.92</v>
      </c>
      <c r="AI282" s="72">
        <v>0.333333333333333</v>
      </c>
      <c r="AJ282" s="72">
        <v>0</v>
      </c>
      <c r="AK282" s="72">
        <v>0</v>
      </c>
      <c r="AL282" s="72">
        <v>0.1</v>
      </c>
      <c r="AM282" s="71">
        <v>0.99</v>
      </c>
      <c r="AN282" s="76">
        <v>1</v>
      </c>
      <c r="AO282" s="76">
        <v>1</v>
      </c>
      <c r="AP282" s="76">
        <v>1</v>
      </c>
      <c r="AQ282" s="76">
        <v>1</v>
      </c>
      <c r="AR282" s="96">
        <v>0.0922287257019438</v>
      </c>
      <c r="AS282" s="80">
        <v>0</v>
      </c>
      <c r="AT282" s="80">
        <v>0</v>
      </c>
      <c r="AU282" s="80">
        <v>0</v>
      </c>
      <c r="AV282" s="80">
        <v>0</v>
      </c>
      <c r="AW282" s="36"/>
      <c r="AX282" s="34"/>
    </row>
    <row r="283" s="27" customFormat="1" ht="14.5" spans="1:50">
      <c r="A283" s="32"/>
      <c r="B283" s="29"/>
      <c r="C283" s="100" t="s">
        <v>289</v>
      </c>
      <c r="D283" s="69" t="s">
        <v>15</v>
      </c>
      <c r="E283" s="101" t="s">
        <v>334</v>
      </c>
      <c r="F283" s="101" t="s">
        <v>334</v>
      </c>
      <c r="G283" s="101" t="s">
        <v>334</v>
      </c>
      <c r="H283" s="101" t="s">
        <v>334</v>
      </c>
      <c r="I283" s="71">
        <v>0.9</v>
      </c>
      <c r="J283" s="72">
        <v>1</v>
      </c>
      <c r="K283" s="72">
        <v>0.980132450331126</v>
      </c>
      <c r="L283" s="73">
        <v>0.963855421686747</v>
      </c>
      <c r="M283" s="72">
        <v>0.981348637015782</v>
      </c>
      <c r="N283" s="74">
        <v>0.9</v>
      </c>
      <c r="O283" s="72">
        <v>0.90033291718685</v>
      </c>
      <c r="P283" s="72">
        <v>0.965809146877748</v>
      </c>
      <c r="Q283" s="72">
        <v>0.95622243734538</v>
      </c>
      <c r="R283" s="72">
        <v>0.935030739461631</v>
      </c>
      <c r="S283" s="74">
        <v>0.9</v>
      </c>
      <c r="T283" s="72">
        <v>0.907407407407407</v>
      </c>
      <c r="U283" s="72">
        <v>0.906002638522427</v>
      </c>
      <c r="V283" s="72">
        <v>0.917070022587932</v>
      </c>
      <c r="W283" s="72">
        <v>0.912533372523085</v>
      </c>
      <c r="X283" s="74">
        <v>0.92</v>
      </c>
      <c r="Y283" s="74">
        <v>0.969133506879881</v>
      </c>
      <c r="Z283" s="74">
        <v>0.986324786324786</v>
      </c>
      <c r="AA283" s="74">
        <v>0.98773373223635</v>
      </c>
      <c r="AB283" s="74">
        <v>0.978313832827022</v>
      </c>
      <c r="AC283" s="74">
        <v>0.92</v>
      </c>
      <c r="AD283" s="72">
        <v>0.993551132643708</v>
      </c>
      <c r="AE283" s="72">
        <v>0.990800237107291</v>
      </c>
      <c r="AF283" s="72">
        <v>0.988023564446171</v>
      </c>
      <c r="AG283" s="72">
        <v>0.985361616136723</v>
      </c>
      <c r="AH283" s="74">
        <v>0.92</v>
      </c>
      <c r="AI283" s="72">
        <v>0.975853879212848</v>
      </c>
      <c r="AJ283" s="72">
        <v>0.990359858691096</v>
      </c>
      <c r="AK283" s="72">
        <v>0.991431073304979</v>
      </c>
      <c r="AL283" s="72">
        <v>0.986219648810247</v>
      </c>
      <c r="AM283" s="71">
        <v>0.99</v>
      </c>
      <c r="AN283" s="76">
        <v>1</v>
      </c>
      <c r="AO283" s="76">
        <v>1</v>
      </c>
      <c r="AP283" s="76">
        <v>1</v>
      </c>
      <c r="AQ283" s="76">
        <v>1</v>
      </c>
      <c r="AR283" s="96">
        <v>0.0922287257019438</v>
      </c>
      <c r="AS283" s="80">
        <v>0.1</v>
      </c>
      <c r="AT283" s="80">
        <v>0.02</v>
      </c>
      <c r="AU283" s="80">
        <v>0</v>
      </c>
      <c r="AV283" s="80">
        <v>0.0626780626780627</v>
      </c>
      <c r="AW283" s="29"/>
      <c r="AX283" s="34"/>
    </row>
    <row r="284" s="27" customFormat="1" ht="14.5" spans="1:50">
      <c r="A284" s="32"/>
      <c r="B284" s="29"/>
      <c r="C284" s="100" t="s">
        <v>289</v>
      </c>
      <c r="D284" s="69" t="s">
        <v>15</v>
      </c>
      <c r="E284" s="101" t="s">
        <v>335</v>
      </c>
      <c r="F284" s="101" t="s">
        <v>335</v>
      </c>
      <c r="G284" s="101" t="s">
        <v>335</v>
      </c>
      <c r="H284" s="101" t="s">
        <v>335</v>
      </c>
      <c r="I284" s="71">
        <v>0.9</v>
      </c>
      <c r="J284" s="72">
        <v>0.947368421052632</v>
      </c>
      <c r="K284" s="72">
        <v>0.951612903225806</v>
      </c>
      <c r="L284" s="73">
        <v>0.919354838709677</v>
      </c>
      <c r="M284" s="72">
        <v>0.909565217391304</v>
      </c>
      <c r="N284" s="74">
        <v>0.9</v>
      </c>
      <c r="O284" s="72">
        <v>0.952921628357796</v>
      </c>
      <c r="P284" s="72">
        <v>0.969174977334542</v>
      </c>
      <c r="Q284" s="72">
        <v>0.955862068965517</v>
      </c>
      <c r="R284" s="72">
        <v>0.966467658613543</v>
      </c>
      <c r="S284" s="74">
        <v>0.9</v>
      </c>
      <c r="T284" s="72">
        <v>0.920520631404043</v>
      </c>
      <c r="U284" s="72">
        <v>0.937745542459958</v>
      </c>
      <c r="V284" s="72">
        <v>0.910068965517241</v>
      </c>
      <c r="W284" s="72">
        <v>0.929006712655056</v>
      </c>
      <c r="X284" s="74">
        <v>0.92</v>
      </c>
      <c r="Y284" s="74">
        <v>0.974180446765303</v>
      </c>
      <c r="Z284" s="74">
        <v>0.99273607748184</v>
      </c>
      <c r="AA284" s="74">
        <v>0.995139338950097</v>
      </c>
      <c r="AB284" s="74">
        <v>0.990510697032436</v>
      </c>
      <c r="AC284" s="74">
        <v>0.92</v>
      </c>
      <c r="AD284" s="72">
        <v>0.999462461924386</v>
      </c>
      <c r="AE284" s="72">
        <v>0.995806745670009</v>
      </c>
      <c r="AF284" s="72">
        <v>0.995703964069518</v>
      </c>
      <c r="AG284" s="72">
        <v>0.990455927051672</v>
      </c>
      <c r="AH284" s="74">
        <v>0.92</v>
      </c>
      <c r="AI284" s="72">
        <v>0.978892194361808</v>
      </c>
      <c r="AJ284" s="72">
        <v>0.992287917737789</v>
      </c>
      <c r="AK284" s="72">
        <v>0.995530393325387</v>
      </c>
      <c r="AL284" s="72">
        <v>0.992188391852444</v>
      </c>
      <c r="AM284" s="71">
        <v>0.99</v>
      </c>
      <c r="AN284" s="76">
        <v>1</v>
      </c>
      <c r="AO284" s="76">
        <v>1</v>
      </c>
      <c r="AP284" s="76">
        <v>1</v>
      </c>
      <c r="AQ284" s="76">
        <v>1</v>
      </c>
      <c r="AR284" s="96">
        <v>0.0922287257019438</v>
      </c>
      <c r="AS284" s="80">
        <v>0.0714285714285714</v>
      </c>
      <c r="AT284" s="80">
        <v>0.166666666666667</v>
      </c>
      <c r="AU284" s="80">
        <v>0</v>
      </c>
      <c r="AV284" s="80">
        <v>0.0508474576271186</v>
      </c>
      <c r="AW284" s="29"/>
      <c r="AX284" s="34"/>
    </row>
    <row r="285" s="27" customFormat="1" ht="14.5" spans="1:50">
      <c r="A285" s="32"/>
      <c r="B285" s="29"/>
      <c r="C285" s="100" t="s">
        <v>289</v>
      </c>
      <c r="D285" s="69" t="s">
        <v>15</v>
      </c>
      <c r="E285" s="101" t="s">
        <v>336</v>
      </c>
      <c r="F285" s="101" t="s">
        <v>336</v>
      </c>
      <c r="G285" s="101" t="s">
        <v>336</v>
      </c>
      <c r="H285" s="101" t="s">
        <v>336</v>
      </c>
      <c r="I285" s="71">
        <v>0.9</v>
      </c>
      <c r="J285" s="72">
        <v>0.916666666666667</v>
      </c>
      <c r="K285" s="72">
        <v>0.915094339622642</v>
      </c>
      <c r="L285" s="73">
        <v>0.894736842105263</v>
      </c>
      <c r="M285" s="72">
        <v>0.910079051383399</v>
      </c>
      <c r="N285" s="74">
        <v>0.9</v>
      </c>
      <c r="O285" s="72">
        <v>0.894481028535591</v>
      </c>
      <c r="P285" s="72">
        <v>0.922761327149483</v>
      </c>
      <c r="Q285" s="72">
        <v>0.932702744611568</v>
      </c>
      <c r="R285" s="72">
        <v>0.922909025852044</v>
      </c>
      <c r="S285" s="74">
        <v>0.9</v>
      </c>
      <c r="T285" s="72">
        <v>0.919410473502665</v>
      </c>
      <c r="U285" s="72">
        <v>0.924009989297182</v>
      </c>
      <c r="V285" s="72">
        <v>0.920452783377268</v>
      </c>
      <c r="W285" s="72">
        <v>0.92264066553359</v>
      </c>
      <c r="X285" s="74">
        <v>0.92</v>
      </c>
      <c r="Y285" s="74">
        <v>0.979296414744992</v>
      </c>
      <c r="Z285" s="74">
        <v>0.980126467931346</v>
      </c>
      <c r="AA285" s="74">
        <v>0.989223707842746</v>
      </c>
      <c r="AB285" s="74">
        <v>0.987952786299088</v>
      </c>
      <c r="AC285" s="74">
        <v>0.92</v>
      </c>
      <c r="AD285" s="72">
        <v>0.991304347826087</v>
      </c>
      <c r="AE285" s="72">
        <v>0.789450929528751</v>
      </c>
      <c r="AF285" s="72">
        <v>0.839511201629328</v>
      </c>
      <c r="AG285" s="72">
        <v>0.85312816359587</v>
      </c>
      <c r="AH285" s="74">
        <v>0.92</v>
      </c>
      <c r="AI285" s="72">
        <v>0.981900819738658</v>
      </c>
      <c r="AJ285" s="72">
        <v>0.987523561619244</v>
      </c>
      <c r="AK285" s="72">
        <v>0.992410363779115</v>
      </c>
      <c r="AL285" s="72">
        <v>0.991905260154095</v>
      </c>
      <c r="AM285" s="71">
        <v>0.99</v>
      </c>
      <c r="AN285" s="76">
        <v>1</v>
      </c>
      <c r="AO285" s="76">
        <v>1</v>
      </c>
      <c r="AP285" s="76">
        <v>1</v>
      </c>
      <c r="AQ285" s="76">
        <v>1</v>
      </c>
      <c r="AR285" s="96">
        <v>0.0922287257019438</v>
      </c>
      <c r="AS285" s="80">
        <v>0.189189189189189</v>
      </c>
      <c r="AT285" s="80">
        <v>0</v>
      </c>
      <c r="AU285" s="80">
        <v>0.0833333333333333</v>
      </c>
      <c r="AV285" s="80">
        <v>0.0878048780487805</v>
      </c>
      <c r="AW285" s="29"/>
      <c r="AX285" s="34"/>
    </row>
    <row r="286" s="27" customFormat="1" ht="14.5" spans="1:50">
      <c r="A286" s="32"/>
      <c r="B286" s="29"/>
      <c r="C286" s="100" t="s">
        <v>289</v>
      </c>
      <c r="D286" s="69" t="s">
        <v>15</v>
      </c>
      <c r="E286" s="101" t="s">
        <v>337</v>
      </c>
      <c r="F286" s="101" t="s">
        <v>337</v>
      </c>
      <c r="G286" s="101" t="s">
        <v>337</v>
      </c>
      <c r="H286" s="101" t="s">
        <v>337</v>
      </c>
      <c r="I286" s="71">
        <v>0.9</v>
      </c>
      <c r="J286" s="72">
        <v>0.884210526315789</v>
      </c>
      <c r="K286" s="72">
        <v>0.891089108910891</v>
      </c>
      <c r="L286" s="73">
        <v>0.908256880733945</v>
      </c>
      <c r="M286" s="72">
        <v>0.8859357696567</v>
      </c>
      <c r="N286" s="74">
        <v>0.9</v>
      </c>
      <c r="O286" s="72">
        <v>0.856130036313332</v>
      </c>
      <c r="P286" s="72">
        <v>0.91515038989974</v>
      </c>
      <c r="Q286" s="72">
        <v>0.955074279577591</v>
      </c>
      <c r="R286" s="72">
        <v>0.909101798798139</v>
      </c>
      <c r="S286" s="74">
        <v>0.9</v>
      </c>
      <c r="T286" s="72">
        <v>0.919764827943974</v>
      </c>
      <c r="U286" s="72">
        <v>0.931674712216858</v>
      </c>
      <c r="V286" s="72">
        <v>0.937354573116163</v>
      </c>
      <c r="W286" s="72">
        <v>0.930164307532592</v>
      </c>
      <c r="X286" s="74">
        <v>0.92</v>
      </c>
      <c r="Y286" s="74">
        <v>0.9501363459291</v>
      </c>
      <c r="Z286" s="74">
        <v>0.963857868020305</v>
      </c>
      <c r="AA286" s="74">
        <v>0.977507029053421</v>
      </c>
      <c r="AB286" s="74">
        <v>0.969802419543183</v>
      </c>
      <c r="AC286" s="74">
        <v>0.92</v>
      </c>
      <c r="AD286" s="72">
        <v>0.987674609695974</v>
      </c>
      <c r="AE286" s="72">
        <v>0.977777777777778</v>
      </c>
      <c r="AF286" s="72">
        <v>0.988062442607897</v>
      </c>
      <c r="AG286" s="72">
        <v>0.987936772046589</v>
      </c>
      <c r="AH286" s="74">
        <v>0.92</v>
      </c>
      <c r="AI286" s="72">
        <v>0.967118519875435</v>
      </c>
      <c r="AJ286" s="72">
        <v>0.978374709076804</v>
      </c>
      <c r="AK286" s="72">
        <v>0.985901207018967</v>
      </c>
      <c r="AL286" s="72">
        <v>0.981018787526632</v>
      </c>
      <c r="AM286" s="71">
        <v>0.99</v>
      </c>
      <c r="AN286" s="76">
        <v>1</v>
      </c>
      <c r="AO286" s="76">
        <v>1</v>
      </c>
      <c r="AP286" s="76">
        <v>1</v>
      </c>
      <c r="AQ286" s="76">
        <v>1</v>
      </c>
      <c r="AR286" s="96">
        <v>0.0922287257019438</v>
      </c>
      <c r="AS286" s="80">
        <v>0.08</v>
      </c>
      <c r="AT286" s="80">
        <v>0.15</v>
      </c>
      <c r="AU286" s="80">
        <v>0.0333333333333333</v>
      </c>
      <c r="AV286" s="80">
        <v>0.0641711229946524</v>
      </c>
      <c r="AW286" s="29"/>
      <c r="AX286" s="34"/>
    </row>
    <row r="287" s="27" customFormat="1" ht="14.5" spans="1:50">
      <c r="A287" s="32"/>
      <c r="B287" s="29"/>
      <c r="C287" s="100" t="s">
        <v>289</v>
      </c>
      <c r="D287" s="69" t="s">
        <v>15</v>
      </c>
      <c r="E287" s="101" t="s">
        <v>338</v>
      </c>
      <c r="F287" s="101" t="s">
        <v>338</v>
      </c>
      <c r="G287" s="101" t="s">
        <v>338</v>
      </c>
      <c r="H287" s="101" t="s">
        <v>338</v>
      </c>
      <c r="I287" s="71">
        <v>0.9</v>
      </c>
      <c r="J287" s="72">
        <v>0.893617021276596</v>
      </c>
      <c r="K287" s="72">
        <v>0.91578947368421</v>
      </c>
      <c r="L287" s="73">
        <v>0.964285714285714</v>
      </c>
      <c r="M287" s="72">
        <v>0.926724137931034</v>
      </c>
      <c r="N287" s="74">
        <v>0.9</v>
      </c>
      <c r="O287" s="72">
        <v>0.882061785287592</v>
      </c>
      <c r="P287" s="72">
        <v>0.971134020618557</v>
      </c>
      <c r="Q287" s="72">
        <v>0.970925110132159</v>
      </c>
      <c r="R287" s="72">
        <v>0.922413119875049</v>
      </c>
      <c r="S287" s="74">
        <v>0.9</v>
      </c>
      <c r="T287" s="72">
        <v>0.920464243044888</v>
      </c>
      <c r="U287" s="72">
        <v>0.93514526710403</v>
      </c>
      <c r="V287" s="72">
        <v>0.958061674008811</v>
      </c>
      <c r="W287" s="72">
        <v>0.929422100741898</v>
      </c>
      <c r="X287" s="74">
        <v>0.92</v>
      </c>
      <c r="Y287" s="74">
        <v>0.964433571697403</v>
      </c>
      <c r="Z287" s="74">
        <v>0.974028548770817</v>
      </c>
      <c r="AA287" s="74">
        <v>0.976239907727797</v>
      </c>
      <c r="AB287" s="74">
        <v>0.973113536104017</v>
      </c>
      <c r="AC287" s="74">
        <v>0.92</v>
      </c>
      <c r="AD287" s="72">
        <v>0.996238244514107</v>
      </c>
      <c r="AE287" s="72">
        <v>0.99093760892297</v>
      </c>
      <c r="AF287" s="72">
        <v>0.992401717872481</v>
      </c>
      <c r="AG287" s="72">
        <v>0.991112853688819</v>
      </c>
      <c r="AH287" s="74">
        <v>0.92</v>
      </c>
      <c r="AI287" s="72">
        <v>0.972704492572042</v>
      </c>
      <c r="AJ287" s="72">
        <v>0.98275695983046</v>
      </c>
      <c r="AK287" s="72">
        <v>0.986913086913087</v>
      </c>
      <c r="AL287" s="72">
        <v>0.982683477726053</v>
      </c>
      <c r="AM287" s="71">
        <v>0.99</v>
      </c>
      <c r="AN287" s="76">
        <v>1</v>
      </c>
      <c r="AO287" s="76">
        <v>1</v>
      </c>
      <c r="AP287" s="76">
        <v>1</v>
      </c>
      <c r="AQ287" s="76">
        <v>1</v>
      </c>
      <c r="AR287" s="96">
        <v>0.0922287257019438</v>
      </c>
      <c r="AS287" s="80">
        <v>0.111111111111111</v>
      </c>
      <c r="AT287" s="80">
        <v>0</v>
      </c>
      <c r="AU287" s="80">
        <v>0.0294117647058824</v>
      </c>
      <c r="AV287" s="80">
        <v>0.0747663551401869</v>
      </c>
      <c r="AW287" s="29"/>
      <c r="AX287" s="34"/>
    </row>
    <row r="288" s="27" customFormat="1" ht="14.5" spans="1:50">
      <c r="A288" s="32"/>
      <c r="B288" s="29"/>
      <c r="C288" s="100" t="s">
        <v>289</v>
      </c>
      <c r="D288" s="69" t="s">
        <v>15</v>
      </c>
      <c r="E288" s="101" t="s">
        <v>339</v>
      </c>
      <c r="F288" s="101" t="s">
        <v>339</v>
      </c>
      <c r="G288" s="101" t="s">
        <v>339</v>
      </c>
      <c r="H288" s="101" t="s">
        <v>339</v>
      </c>
      <c r="I288" s="71">
        <v>0.9</v>
      </c>
      <c r="J288" s="72">
        <v>0.918367346938776</v>
      </c>
      <c r="K288" s="72">
        <v>0.969387755102041</v>
      </c>
      <c r="L288" s="73">
        <v>0.98019801980198</v>
      </c>
      <c r="M288" s="72">
        <v>0.964873765093304</v>
      </c>
      <c r="N288" s="74">
        <v>0.9</v>
      </c>
      <c r="O288" s="72">
        <v>0.799543263131185</v>
      </c>
      <c r="P288" s="72">
        <v>0.956455835744798</v>
      </c>
      <c r="Q288" s="72">
        <v>0.937636902461023</v>
      </c>
      <c r="R288" s="72">
        <v>0.882846545475059</v>
      </c>
      <c r="S288" s="74">
        <v>0.9</v>
      </c>
      <c r="T288" s="72">
        <v>0.934407510784065</v>
      </c>
      <c r="U288" s="72">
        <v>0.94281383491801</v>
      </c>
      <c r="V288" s="72">
        <v>0.949362195593351</v>
      </c>
      <c r="W288" s="72">
        <v>0.942389326864767</v>
      </c>
      <c r="X288" s="74">
        <v>0.92</v>
      </c>
      <c r="Y288" s="74">
        <v>0.961685823754789</v>
      </c>
      <c r="Z288" s="74">
        <v>0.974255240897389</v>
      </c>
      <c r="AA288" s="74">
        <v>0.974665391969407</v>
      </c>
      <c r="AB288" s="74">
        <v>0.973856494413408</v>
      </c>
      <c r="AC288" s="74">
        <v>0.92</v>
      </c>
      <c r="AD288" s="72">
        <v>0.998082191780822</v>
      </c>
      <c r="AE288" s="72">
        <v>0.987938596491228</v>
      </c>
      <c r="AF288" s="72">
        <v>0.99037999037999</v>
      </c>
      <c r="AG288" s="72">
        <v>0.990558518791</v>
      </c>
      <c r="AH288" s="74">
        <v>0.92</v>
      </c>
      <c r="AI288" s="72">
        <v>0.973747228381375</v>
      </c>
      <c r="AJ288" s="72">
        <v>0.981958504560489</v>
      </c>
      <c r="AK288" s="72">
        <v>0.98468093740489</v>
      </c>
      <c r="AL288" s="72">
        <v>0.984344026430779</v>
      </c>
      <c r="AM288" s="71">
        <v>0.99</v>
      </c>
      <c r="AN288" s="76">
        <v>1</v>
      </c>
      <c r="AO288" s="76">
        <v>1</v>
      </c>
      <c r="AP288" s="76">
        <v>1</v>
      </c>
      <c r="AQ288" s="76">
        <v>1</v>
      </c>
      <c r="AR288" s="96">
        <v>0.0922287257019438</v>
      </c>
      <c r="AS288" s="80">
        <v>0</v>
      </c>
      <c r="AT288" s="80">
        <v>0.0714285714285714</v>
      </c>
      <c r="AU288" s="80">
        <v>0.142857142857143</v>
      </c>
      <c r="AV288" s="80">
        <v>0.0466321243523316</v>
      </c>
      <c r="AW288" s="29"/>
      <c r="AX288" s="34"/>
    </row>
    <row r="289" s="27" customFormat="1" ht="14.5" spans="1:50">
      <c r="A289" s="32"/>
      <c r="B289" s="29"/>
      <c r="C289" s="100" t="s">
        <v>289</v>
      </c>
      <c r="D289" s="69" t="s">
        <v>15</v>
      </c>
      <c r="E289" s="101" t="s">
        <v>340</v>
      </c>
      <c r="F289" s="101" t="s">
        <v>340</v>
      </c>
      <c r="G289" s="101" t="s">
        <v>340</v>
      </c>
      <c r="H289" s="101" t="s">
        <v>340</v>
      </c>
      <c r="I289" s="71">
        <v>0.9</v>
      </c>
      <c r="J289" s="72">
        <v>0.931818181818182</v>
      </c>
      <c r="K289" s="72">
        <v>0.919191919191919</v>
      </c>
      <c r="L289" s="73">
        <v>0.950980392156863</v>
      </c>
      <c r="M289" s="72">
        <v>0.936046511627907</v>
      </c>
      <c r="N289" s="74">
        <v>0.9</v>
      </c>
      <c r="O289" s="72">
        <v>0.869627966645285</v>
      </c>
      <c r="P289" s="72">
        <v>0.931584191298572</v>
      </c>
      <c r="Q289" s="72">
        <v>0.930401819560273</v>
      </c>
      <c r="R289" s="72">
        <v>0.906877349790736</v>
      </c>
      <c r="S289" s="74">
        <v>0.9</v>
      </c>
      <c r="T289" s="72">
        <v>0.918056446440026</v>
      </c>
      <c r="U289" s="72">
        <v>0.928263035536367</v>
      </c>
      <c r="V289" s="72">
        <v>0.948294162244124</v>
      </c>
      <c r="W289" s="72">
        <v>0.935323118393985</v>
      </c>
      <c r="X289" s="74">
        <v>0.92</v>
      </c>
      <c r="Y289" s="74">
        <v>0.974967789434935</v>
      </c>
      <c r="Z289" s="74">
        <v>0.981950844854071</v>
      </c>
      <c r="AA289" s="74">
        <v>0.984160066694456</v>
      </c>
      <c r="AB289" s="74">
        <v>0.981771109649216</v>
      </c>
      <c r="AC289" s="74">
        <v>0.92</v>
      </c>
      <c r="AD289" s="72">
        <v>0.997837253311706</v>
      </c>
      <c r="AE289" s="72">
        <v>0.993699761025418</v>
      </c>
      <c r="AF289" s="72">
        <v>0.99778331947908</v>
      </c>
      <c r="AG289" s="72">
        <v>0.993591096107184</v>
      </c>
      <c r="AH289" s="74">
        <v>0.92</v>
      </c>
      <c r="AI289" s="72">
        <v>0.98003940717896</v>
      </c>
      <c r="AJ289" s="72">
        <v>0.98673314931885</v>
      </c>
      <c r="AK289" s="72">
        <v>0.98982098982099</v>
      </c>
      <c r="AL289" s="72">
        <v>0.987964376098758</v>
      </c>
      <c r="AM289" s="71">
        <v>0.99</v>
      </c>
      <c r="AN289" s="76">
        <v>1</v>
      </c>
      <c r="AO289" s="76">
        <v>1</v>
      </c>
      <c r="AP289" s="76">
        <v>1</v>
      </c>
      <c r="AQ289" s="76">
        <v>1</v>
      </c>
      <c r="AR289" s="96">
        <v>0.0922287257019438</v>
      </c>
      <c r="AS289" s="80">
        <v>0.125</v>
      </c>
      <c r="AT289" s="80">
        <v>0.166666666666667</v>
      </c>
      <c r="AU289" s="80">
        <v>0.0357142857142857</v>
      </c>
      <c r="AV289" s="80">
        <v>0.0855855855855856</v>
      </c>
      <c r="AW289" s="29"/>
      <c r="AX289" s="34"/>
    </row>
    <row r="290" s="27" customFormat="1" ht="14.5" spans="1:50">
      <c r="A290" s="32"/>
      <c r="B290" s="29"/>
      <c r="C290" s="100" t="s">
        <v>289</v>
      </c>
      <c r="D290" s="69" t="s">
        <v>15</v>
      </c>
      <c r="E290" s="101" t="s">
        <v>341</v>
      </c>
      <c r="F290" s="101" t="s">
        <v>341</v>
      </c>
      <c r="G290" s="101" t="s">
        <v>341</v>
      </c>
      <c r="H290" s="101" t="s">
        <v>341</v>
      </c>
      <c r="I290" s="71">
        <v>0.9</v>
      </c>
      <c r="J290" s="72">
        <v>0</v>
      </c>
      <c r="K290" s="72">
        <v>0</v>
      </c>
      <c r="L290" s="73">
        <v>0</v>
      </c>
      <c r="M290" s="72">
        <v>0</v>
      </c>
      <c r="N290" s="74">
        <v>0.9</v>
      </c>
      <c r="O290" s="72">
        <v>0</v>
      </c>
      <c r="P290" s="72">
        <v>0</v>
      </c>
      <c r="Q290" s="72">
        <v>0</v>
      </c>
      <c r="R290" s="72">
        <v>0</v>
      </c>
      <c r="S290" s="74">
        <v>0.9</v>
      </c>
      <c r="T290" s="72">
        <v>0</v>
      </c>
      <c r="U290" s="72">
        <v>0</v>
      </c>
      <c r="V290" s="72">
        <v>0</v>
      </c>
      <c r="W290" s="72">
        <v>0</v>
      </c>
      <c r="X290" s="74">
        <v>0.92</v>
      </c>
      <c r="Y290" s="74">
        <v>0</v>
      </c>
      <c r="Z290" s="74">
        <v>0</v>
      </c>
      <c r="AA290" s="74">
        <v>0</v>
      </c>
      <c r="AB290" s="74">
        <v>0</v>
      </c>
      <c r="AC290" s="74">
        <v>0.92</v>
      </c>
      <c r="AD290" s="72">
        <v>0.970588235294118</v>
      </c>
      <c r="AE290" s="72">
        <v>0.998685939553219</v>
      </c>
      <c r="AF290" s="72">
        <v>0.997229916897507</v>
      </c>
      <c r="AG290" s="72">
        <v>0.99236641221374</v>
      </c>
      <c r="AH290" s="74">
        <v>0.92</v>
      </c>
      <c r="AI290" s="72">
        <v>0</v>
      </c>
      <c r="AJ290" s="72">
        <v>0</v>
      </c>
      <c r="AK290" s="72">
        <v>0</v>
      </c>
      <c r="AL290" s="72">
        <v>0</v>
      </c>
      <c r="AM290" s="71">
        <v>0.99</v>
      </c>
      <c r="AN290" s="76">
        <v>1</v>
      </c>
      <c r="AO290" s="76">
        <v>0</v>
      </c>
      <c r="AP290" s="76">
        <v>0</v>
      </c>
      <c r="AQ290" s="76">
        <v>1</v>
      </c>
      <c r="AR290" s="96">
        <v>0.0922287257019438</v>
      </c>
      <c r="AS290" s="80">
        <v>0</v>
      </c>
      <c r="AT290" s="80">
        <v>0</v>
      </c>
      <c r="AU290" s="80">
        <v>0</v>
      </c>
      <c r="AV290" s="80">
        <v>0</v>
      </c>
      <c r="AW290" s="29"/>
      <c r="AX290" s="34"/>
    </row>
    <row r="291" s="27" customFormat="1" ht="14.5" spans="1:50">
      <c r="A291" s="32"/>
      <c r="B291" s="29"/>
      <c r="C291" s="100" t="s">
        <v>289</v>
      </c>
      <c r="D291" s="69" t="s">
        <v>15</v>
      </c>
      <c r="E291" s="101" t="s">
        <v>342</v>
      </c>
      <c r="F291" s="101" t="s">
        <v>342</v>
      </c>
      <c r="G291" s="101" t="s">
        <v>342</v>
      </c>
      <c r="H291" s="101" t="s">
        <v>342</v>
      </c>
      <c r="I291" s="71">
        <v>0.9</v>
      </c>
      <c r="J291" s="72">
        <v>0</v>
      </c>
      <c r="K291" s="72">
        <v>0</v>
      </c>
      <c r="L291" s="73">
        <v>0</v>
      </c>
      <c r="M291" s="72">
        <v>0</v>
      </c>
      <c r="N291" s="74">
        <v>0.9</v>
      </c>
      <c r="O291" s="72">
        <v>0</v>
      </c>
      <c r="P291" s="72">
        <v>0</v>
      </c>
      <c r="Q291" s="72">
        <v>0</v>
      </c>
      <c r="R291" s="72">
        <v>0.666666666666667</v>
      </c>
      <c r="S291" s="74">
        <v>0.9</v>
      </c>
      <c r="T291" s="72">
        <v>0</v>
      </c>
      <c r="U291" s="72">
        <v>0</v>
      </c>
      <c r="V291" s="72">
        <v>0</v>
      </c>
      <c r="W291" s="72">
        <v>1</v>
      </c>
      <c r="X291" s="74">
        <v>0.92</v>
      </c>
      <c r="Y291" s="74">
        <v>0</v>
      </c>
      <c r="Z291" s="74">
        <v>0</v>
      </c>
      <c r="AA291" s="74">
        <v>0</v>
      </c>
      <c r="AB291" s="74">
        <v>0</v>
      </c>
      <c r="AC291" s="74">
        <v>0.92</v>
      </c>
      <c r="AD291" s="72">
        <v>1</v>
      </c>
      <c r="AE291" s="72">
        <v>0.996535796766744</v>
      </c>
      <c r="AF291" s="72">
        <v>0.99748743718593</v>
      </c>
      <c r="AG291" s="72">
        <v>0.997615910659389</v>
      </c>
      <c r="AH291" s="74">
        <v>0.92</v>
      </c>
      <c r="AI291" s="72">
        <v>0</v>
      </c>
      <c r="AJ291" s="72">
        <v>0</v>
      </c>
      <c r="AK291" s="72">
        <v>0</v>
      </c>
      <c r="AL291" s="72">
        <v>1</v>
      </c>
      <c r="AM291" s="71">
        <v>0.99</v>
      </c>
      <c r="AN291" s="76">
        <v>0</v>
      </c>
      <c r="AO291" s="76">
        <v>1</v>
      </c>
      <c r="AP291" s="76">
        <v>0</v>
      </c>
      <c r="AQ291" s="76">
        <v>1</v>
      </c>
      <c r="AR291" s="96">
        <v>0.0922287257019438</v>
      </c>
      <c r="AS291" s="80">
        <v>0</v>
      </c>
      <c r="AT291" s="80">
        <v>0</v>
      </c>
      <c r="AU291" s="80">
        <v>0</v>
      </c>
      <c r="AV291" s="80">
        <v>0</v>
      </c>
      <c r="AW291" s="29"/>
      <c r="AX291" s="34"/>
    </row>
    <row r="292" s="27" customFormat="1" ht="14.5" spans="1:50">
      <c r="A292" s="32"/>
      <c r="B292" s="29"/>
      <c r="C292" s="100" t="s">
        <v>289</v>
      </c>
      <c r="D292" s="69" t="s">
        <v>15</v>
      </c>
      <c r="E292" s="101" t="s">
        <v>343</v>
      </c>
      <c r="F292" s="101" t="s">
        <v>343</v>
      </c>
      <c r="G292" s="101" t="s">
        <v>343</v>
      </c>
      <c r="H292" s="101" t="s">
        <v>343</v>
      </c>
      <c r="I292" s="71">
        <v>0.9</v>
      </c>
      <c r="J292" s="72">
        <v>0</v>
      </c>
      <c r="K292" s="72">
        <v>0</v>
      </c>
      <c r="L292" s="73">
        <v>0</v>
      </c>
      <c r="M292" s="72">
        <v>0</v>
      </c>
      <c r="N292" s="74">
        <v>0.9</v>
      </c>
      <c r="O292" s="72">
        <v>0.666666666666667</v>
      </c>
      <c r="P292" s="72">
        <v>0.5</v>
      </c>
      <c r="Q292" s="72">
        <v>0</v>
      </c>
      <c r="R292" s="72">
        <v>0.242424242424242</v>
      </c>
      <c r="S292" s="74">
        <v>0.9</v>
      </c>
      <c r="T292" s="72">
        <v>0.333333333333333</v>
      </c>
      <c r="U292" s="72">
        <v>0.5</v>
      </c>
      <c r="V292" s="72">
        <v>0.571428571428571</v>
      </c>
      <c r="W292" s="72">
        <v>0.454545454545455</v>
      </c>
      <c r="X292" s="74">
        <v>0.92</v>
      </c>
      <c r="Y292" s="74">
        <v>1</v>
      </c>
      <c r="Z292" s="74">
        <v>0</v>
      </c>
      <c r="AA292" s="74">
        <v>0</v>
      </c>
      <c r="AB292" s="74">
        <v>0.2</v>
      </c>
      <c r="AC292" s="74">
        <v>0.92</v>
      </c>
      <c r="AD292" s="72">
        <v>0.742599237497197</v>
      </c>
      <c r="AE292" s="72">
        <v>0.953647024116823</v>
      </c>
      <c r="AF292" s="72">
        <v>0.53632918245804</v>
      </c>
      <c r="AG292" s="72">
        <v>0.864366039147239</v>
      </c>
      <c r="AH292" s="74">
        <v>0.92</v>
      </c>
      <c r="AI292" s="72">
        <v>0.8</v>
      </c>
      <c r="AJ292" s="72">
        <v>0.5</v>
      </c>
      <c r="AK292" s="72">
        <v>0.545454545454545</v>
      </c>
      <c r="AL292" s="72">
        <v>0.479166666666667</v>
      </c>
      <c r="AM292" s="71">
        <v>0.99</v>
      </c>
      <c r="AN292" s="76">
        <v>1</v>
      </c>
      <c r="AO292" s="76">
        <v>1</v>
      </c>
      <c r="AP292" s="76">
        <v>1</v>
      </c>
      <c r="AQ292" s="76">
        <v>1</v>
      </c>
      <c r="AR292" s="96">
        <v>0.0922287257019438</v>
      </c>
      <c r="AS292" s="80">
        <v>0</v>
      </c>
      <c r="AT292" s="80">
        <v>0</v>
      </c>
      <c r="AU292" s="80">
        <v>0</v>
      </c>
      <c r="AV292" s="80">
        <v>0</v>
      </c>
      <c r="AW292" s="29"/>
      <c r="AX292" s="34"/>
    </row>
    <row r="293" s="27" customFormat="1" ht="14.5" spans="1:50">
      <c r="A293" s="32"/>
      <c r="B293" s="29"/>
      <c r="C293" s="100" t="s">
        <v>289</v>
      </c>
      <c r="D293" s="69" t="s">
        <v>15</v>
      </c>
      <c r="E293" s="101" t="s">
        <v>344</v>
      </c>
      <c r="F293" s="101" t="s">
        <v>344</v>
      </c>
      <c r="G293" s="101" t="s">
        <v>344</v>
      </c>
      <c r="H293" s="101" t="s">
        <v>344</v>
      </c>
      <c r="I293" s="71">
        <v>0.9</v>
      </c>
      <c r="J293" s="72">
        <v>0</v>
      </c>
      <c r="K293" s="72">
        <v>0</v>
      </c>
      <c r="L293" s="73">
        <v>0</v>
      </c>
      <c r="M293" s="72">
        <v>0</v>
      </c>
      <c r="N293" s="74">
        <v>0.9</v>
      </c>
      <c r="O293" s="72">
        <v>0</v>
      </c>
      <c r="P293" s="72">
        <v>0</v>
      </c>
      <c r="Q293" s="72">
        <v>0</v>
      </c>
      <c r="R293" s="72">
        <v>0</v>
      </c>
      <c r="S293" s="74">
        <v>0.9</v>
      </c>
      <c r="T293" s="72">
        <v>0</v>
      </c>
      <c r="U293" s="72">
        <v>0</v>
      </c>
      <c r="V293" s="72">
        <v>0</v>
      </c>
      <c r="W293" s="72">
        <v>1</v>
      </c>
      <c r="X293" s="74">
        <v>0.92</v>
      </c>
      <c r="Y293" s="74">
        <v>0</v>
      </c>
      <c r="Z293" s="74">
        <v>0</v>
      </c>
      <c r="AA293" s="74">
        <v>0</v>
      </c>
      <c r="AB293" s="74">
        <v>0</v>
      </c>
      <c r="AC293" s="74">
        <v>0.92</v>
      </c>
      <c r="AD293" s="72">
        <v>1</v>
      </c>
      <c r="AE293" s="72">
        <v>0.73936170212766</v>
      </c>
      <c r="AF293" s="72">
        <v>0.996511627906977</v>
      </c>
      <c r="AG293" s="72">
        <v>0.957669402864961</v>
      </c>
      <c r="AH293" s="74">
        <v>0.92</v>
      </c>
      <c r="AI293" s="72">
        <v>0</v>
      </c>
      <c r="AJ293" s="72">
        <v>0</v>
      </c>
      <c r="AK293" s="72">
        <v>0</v>
      </c>
      <c r="AL293" s="72">
        <v>1</v>
      </c>
      <c r="AM293" s="71">
        <v>0.99</v>
      </c>
      <c r="AN293" s="76">
        <v>0</v>
      </c>
      <c r="AO293" s="76">
        <v>0</v>
      </c>
      <c r="AP293" s="76">
        <v>0</v>
      </c>
      <c r="AQ293" s="76">
        <v>0</v>
      </c>
      <c r="AR293" s="96">
        <v>0.0922287257019438</v>
      </c>
      <c r="AS293" s="80">
        <v>0</v>
      </c>
      <c r="AT293" s="80">
        <v>0</v>
      </c>
      <c r="AU293" s="80">
        <v>0</v>
      </c>
      <c r="AV293" s="80">
        <v>0</v>
      </c>
      <c r="AW293" s="29"/>
      <c r="AX293" s="34"/>
    </row>
    <row r="294" s="27" customFormat="1" ht="14.5" spans="1:50">
      <c r="A294" s="32"/>
      <c r="B294" s="29"/>
      <c r="C294" s="100" t="s">
        <v>289</v>
      </c>
      <c r="D294" s="69" t="s">
        <v>15</v>
      </c>
      <c r="E294" s="101" t="s">
        <v>345</v>
      </c>
      <c r="F294" s="101" t="s">
        <v>345</v>
      </c>
      <c r="G294" s="101" t="s">
        <v>345</v>
      </c>
      <c r="H294" s="101" t="s">
        <v>345</v>
      </c>
      <c r="I294" s="71">
        <v>0.9</v>
      </c>
      <c r="J294" s="72">
        <v>0</v>
      </c>
      <c r="K294" s="72">
        <v>0</v>
      </c>
      <c r="L294" s="73">
        <v>0</v>
      </c>
      <c r="M294" s="72">
        <v>0</v>
      </c>
      <c r="N294" s="74">
        <v>0.9</v>
      </c>
      <c r="O294" s="72">
        <v>0</v>
      </c>
      <c r="P294" s="72">
        <v>0</v>
      </c>
      <c r="Q294" s="72">
        <v>0</v>
      </c>
      <c r="R294" s="72">
        <v>0</v>
      </c>
      <c r="S294" s="74">
        <v>0.9</v>
      </c>
      <c r="T294" s="72">
        <v>0</v>
      </c>
      <c r="U294" s="72">
        <v>0</v>
      </c>
      <c r="V294" s="72">
        <v>0</v>
      </c>
      <c r="W294" s="72">
        <v>0</v>
      </c>
      <c r="X294" s="74">
        <v>0.92</v>
      </c>
      <c r="Y294" s="74">
        <v>0</v>
      </c>
      <c r="Z294" s="74">
        <v>0</v>
      </c>
      <c r="AA294" s="74">
        <v>0</v>
      </c>
      <c r="AB294" s="74">
        <v>0</v>
      </c>
      <c r="AC294" s="74">
        <v>0.92</v>
      </c>
      <c r="AD294" s="72">
        <v>0.997333333333333</v>
      </c>
      <c r="AE294" s="72">
        <v>0.806451612903226</v>
      </c>
      <c r="AF294" s="72">
        <v>0.885521885521885</v>
      </c>
      <c r="AG294" s="72">
        <v>0.944356540084388</v>
      </c>
      <c r="AH294" s="74">
        <v>0.92</v>
      </c>
      <c r="AI294" s="72">
        <v>0</v>
      </c>
      <c r="AJ294" s="72">
        <v>0</v>
      </c>
      <c r="AK294" s="72">
        <v>0</v>
      </c>
      <c r="AL294" s="72">
        <v>0</v>
      </c>
      <c r="AM294" s="71">
        <v>0.99</v>
      </c>
      <c r="AN294" s="76">
        <v>0</v>
      </c>
      <c r="AO294" s="76">
        <v>0</v>
      </c>
      <c r="AP294" s="76">
        <v>0</v>
      </c>
      <c r="AQ294" s="76">
        <v>1</v>
      </c>
      <c r="AR294" s="96">
        <v>0.0922287257019438</v>
      </c>
      <c r="AS294" s="80">
        <v>0</v>
      </c>
      <c r="AT294" s="80">
        <v>0</v>
      </c>
      <c r="AU294" s="80">
        <v>0</v>
      </c>
      <c r="AV294" s="80">
        <v>0</v>
      </c>
      <c r="AW294" s="29"/>
      <c r="AX294" s="34"/>
    </row>
    <row r="295" s="27" customFormat="1" ht="14.5" spans="1:50">
      <c r="A295" s="32"/>
      <c r="B295" s="29"/>
      <c r="C295" s="100" t="s">
        <v>289</v>
      </c>
      <c r="D295" s="69" t="s">
        <v>15</v>
      </c>
      <c r="E295" s="101" t="s">
        <v>346</v>
      </c>
      <c r="F295" s="101" t="s">
        <v>346</v>
      </c>
      <c r="G295" s="101" t="s">
        <v>346</v>
      </c>
      <c r="H295" s="101" t="s">
        <v>346</v>
      </c>
      <c r="I295" s="71">
        <v>0.9</v>
      </c>
      <c r="J295" s="72">
        <v>0</v>
      </c>
      <c r="K295" s="72">
        <v>0</v>
      </c>
      <c r="L295" s="73">
        <v>0</v>
      </c>
      <c r="M295" s="72">
        <v>0</v>
      </c>
      <c r="N295" s="74">
        <v>0.9</v>
      </c>
      <c r="O295" s="72">
        <v>0</v>
      </c>
      <c r="P295" s="72">
        <v>0</v>
      </c>
      <c r="Q295" s="72">
        <v>0</v>
      </c>
      <c r="R295" s="72">
        <v>0</v>
      </c>
      <c r="S295" s="74">
        <v>0.9</v>
      </c>
      <c r="T295" s="72">
        <v>1</v>
      </c>
      <c r="U295" s="72">
        <v>1</v>
      </c>
      <c r="V295" s="72">
        <v>1</v>
      </c>
      <c r="W295" s="72">
        <v>0.888888888888889</v>
      </c>
      <c r="X295" s="74">
        <v>0.92</v>
      </c>
      <c r="Y295" s="74">
        <v>0</v>
      </c>
      <c r="Z295" s="74">
        <v>0</v>
      </c>
      <c r="AA295" s="74">
        <v>0</v>
      </c>
      <c r="AB295" s="74">
        <v>1</v>
      </c>
      <c r="AC295" s="74">
        <v>0.92</v>
      </c>
      <c r="AD295" s="72">
        <v>0.999464668094218</v>
      </c>
      <c r="AE295" s="72">
        <v>0.998999165971643</v>
      </c>
      <c r="AF295" s="72">
        <v>1</v>
      </c>
      <c r="AG295" s="72">
        <v>0.98823948681397</v>
      </c>
      <c r="AH295" s="74">
        <v>0.92</v>
      </c>
      <c r="AI295" s="72">
        <v>1</v>
      </c>
      <c r="AJ295" s="72">
        <v>1</v>
      </c>
      <c r="AK295" s="72">
        <v>1</v>
      </c>
      <c r="AL295" s="72">
        <v>0.9</v>
      </c>
      <c r="AM295" s="71">
        <v>0.99</v>
      </c>
      <c r="AN295" s="76">
        <v>0</v>
      </c>
      <c r="AO295" s="76">
        <v>1</v>
      </c>
      <c r="AP295" s="76">
        <v>0</v>
      </c>
      <c r="AQ295" s="76">
        <v>1</v>
      </c>
      <c r="AR295" s="96">
        <v>0.0922287257019438</v>
      </c>
      <c r="AS295" s="80">
        <v>0</v>
      </c>
      <c r="AT295" s="80">
        <v>0</v>
      </c>
      <c r="AU295" s="80">
        <v>0</v>
      </c>
      <c r="AV295" s="80">
        <v>0</v>
      </c>
      <c r="AW295" s="29"/>
      <c r="AX295" s="34"/>
    </row>
    <row r="296" s="27" customFormat="1" ht="14.5" spans="1:50">
      <c r="A296" s="32"/>
      <c r="B296" s="29"/>
      <c r="C296" s="100" t="s">
        <v>289</v>
      </c>
      <c r="D296" s="69" t="s">
        <v>15</v>
      </c>
      <c r="E296" s="101" t="s">
        <v>347</v>
      </c>
      <c r="F296" s="101" t="s">
        <v>347</v>
      </c>
      <c r="G296" s="101" t="s">
        <v>347</v>
      </c>
      <c r="H296" s="101" t="s">
        <v>347</v>
      </c>
      <c r="I296" s="71">
        <v>0.9</v>
      </c>
      <c r="J296" s="72">
        <v>0.936936936936937</v>
      </c>
      <c r="K296" s="72">
        <v>0.935779816513762</v>
      </c>
      <c r="L296" s="73">
        <v>0.91588785046729</v>
      </c>
      <c r="M296" s="72">
        <v>0.947423764458465</v>
      </c>
      <c r="N296" s="74">
        <v>0.9</v>
      </c>
      <c r="O296" s="72">
        <v>0.904297917778964</v>
      </c>
      <c r="P296" s="72">
        <v>0.904955085482469</v>
      </c>
      <c r="Q296" s="72">
        <v>0.936380307518691</v>
      </c>
      <c r="R296" s="72">
        <v>0.871231453325795</v>
      </c>
      <c r="S296" s="74">
        <v>0.9</v>
      </c>
      <c r="T296" s="72">
        <v>0.876268019220502</v>
      </c>
      <c r="U296" s="72">
        <v>0.880179658070125</v>
      </c>
      <c r="V296" s="72">
        <v>0.868951897305685</v>
      </c>
      <c r="W296" s="72">
        <v>0.855278639426677</v>
      </c>
      <c r="X296" s="74">
        <v>0.92</v>
      </c>
      <c r="Y296" s="74">
        <v>0.925584458347053</v>
      </c>
      <c r="Z296" s="74">
        <v>0.941627143378329</v>
      </c>
      <c r="AA296" s="74">
        <v>0.907620041753653</v>
      </c>
      <c r="AB296" s="74">
        <v>0.932137982963904</v>
      </c>
      <c r="AC296" s="74">
        <v>0.92</v>
      </c>
      <c r="AD296" s="72">
        <v>0.993388429752066</v>
      </c>
      <c r="AE296" s="72">
        <v>0.997122302158273</v>
      </c>
      <c r="AF296" s="72">
        <v>0.998278829604131</v>
      </c>
      <c r="AG296" s="72">
        <v>0.992819285347923</v>
      </c>
      <c r="AH296" s="74">
        <v>0.92</v>
      </c>
      <c r="AI296" s="72">
        <v>0.956315289648623</v>
      </c>
      <c r="AJ296" s="72">
        <v>0.969615264959038</v>
      </c>
      <c r="AK296" s="72">
        <v>0.963908939478068</v>
      </c>
      <c r="AL296" s="72">
        <v>0.965836216839677</v>
      </c>
      <c r="AM296" s="71">
        <v>0.99</v>
      </c>
      <c r="AN296" s="76">
        <v>1</v>
      </c>
      <c r="AO296" s="76">
        <v>1</v>
      </c>
      <c r="AP296" s="76">
        <v>1</v>
      </c>
      <c r="AQ296" s="76">
        <v>1</v>
      </c>
      <c r="AR296" s="96">
        <v>0.0922287257019438</v>
      </c>
      <c r="AS296" s="80">
        <v>0.0526315789473684</v>
      </c>
      <c r="AT296" s="80">
        <v>0.0909090909090909</v>
      </c>
      <c r="AU296" s="80">
        <v>0.35</v>
      </c>
      <c r="AV296" s="80">
        <v>0.0942028985507246</v>
      </c>
      <c r="AW296" s="29"/>
      <c r="AX296" s="34"/>
    </row>
    <row r="297" s="27" customFormat="1" ht="14.5" spans="1:50">
      <c r="A297" s="32"/>
      <c r="B297" s="29"/>
      <c r="C297" s="100" t="s">
        <v>289</v>
      </c>
      <c r="D297" s="69" t="s">
        <v>15</v>
      </c>
      <c r="E297" s="102" t="s">
        <v>348</v>
      </c>
      <c r="F297" s="102" t="s">
        <v>348</v>
      </c>
      <c r="G297" s="102" t="s">
        <v>348</v>
      </c>
      <c r="H297" s="102" t="s">
        <v>348</v>
      </c>
      <c r="I297" s="71">
        <v>0.9</v>
      </c>
      <c r="J297" s="72">
        <v>0</v>
      </c>
      <c r="K297" s="72">
        <v>0</v>
      </c>
      <c r="L297" s="73">
        <v>0</v>
      </c>
      <c r="M297" s="72">
        <v>0</v>
      </c>
      <c r="N297" s="74">
        <v>0.9</v>
      </c>
      <c r="O297" s="72">
        <v>0</v>
      </c>
      <c r="P297" s="72">
        <v>0</v>
      </c>
      <c r="Q297" s="72">
        <v>0</v>
      </c>
      <c r="R297" s="72">
        <v>0</v>
      </c>
      <c r="S297" s="74">
        <v>0.9</v>
      </c>
      <c r="T297" s="72">
        <v>0</v>
      </c>
      <c r="U297" s="72">
        <v>0</v>
      </c>
      <c r="V297" s="72">
        <v>0</v>
      </c>
      <c r="W297" s="72">
        <v>0</v>
      </c>
      <c r="X297" s="74">
        <v>0.92</v>
      </c>
      <c r="Y297" s="74">
        <v>0</v>
      </c>
      <c r="Z297" s="74">
        <v>0</v>
      </c>
      <c r="AA297" s="74">
        <v>0</v>
      </c>
      <c r="AB297" s="74">
        <v>0</v>
      </c>
      <c r="AC297" s="74">
        <v>0.92</v>
      </c>
      <c r="AD297" s="72">
        <v>0</v>
      </c>
      <c r="AE297" s="72">
        <v>0</v>
      </c>
      <c r="AF297" s="72">
        <v>0</v>
      </c>
      <c r="AG297" s="72">
        <v>0</v>
      </c>
      <c r="AH297" s="74">
        <v>0.92</v>
      </c>
      <c r="AI297" s="72">
        <v>0</v>
      </c>
      <c r="AJ297" s="72">
        <v>0</v>
      </c>
      <c r="AK297" s="72">
        <v>0</v>
      </c>
      <c r="AL297" s="72">
        <v>0</v>
      </c>
      <c r="AM297" s="71">
        <v>0.99</v>
      </c>
      <c r="AN297" s="76">
        <v>0</v>
      </c>
      <c r="AO297" s="76">
        <v>0</v>
      </c>
      <c r="AP297" s="76">
        <v>0</v>
      </c>
      <c r="AQ297" s="76">
        <v>0</v>
      </c>
      <c r="AR297" s="96">
        <v>0.0922287257019438</v>
      </c>
      <c r="AS297" s="80">
        <v>0</v>
      </c>
      <c r="AT297" s="80">
        <v>0</v>
      </c>
      <c r="AU297" s="80">
        <v>0</v>
      </c>
      <c r="AV297" s="80">
        <v>0</v>
      </c>
      <c r="AW297" s="29"/>
      <c r="AX297" s="34"/>
    </row>
    <row r="298" s="27" customFormat="1" ht="14.5" spans="1:50">
      <c r="A298" s="32"/>
      <c r="B298" s="29"/>
      <c r="C298" s="100" t="s">
        <v>289</v>
      </c>
      <c r="D298" s="69" t="s">
        <v>15</v>
      </c>
      <c r="E298" s="101" t="s">
        <v>349</v>
      </c>
      <c r="F298" s="101" t="s">
        <v>349</v>
      </c>
      <c r="G298" s="101" t="s">
        <v>349</v>
      </c>
      <c r="H298" s="101" t="s">
        <v>349</v>
      </c>
      <c r="I298" s="71">
        <v>0.9</v>
      </c>
      <c r="J298" s="72">
        <v>0.974137931034483</v>
      </c>
      <c r="K298" s="72">
        <v>0.96031746031746</v>
      </c>
      <c r="L298" s="73">
        <v>0.969924812030075</v>
      </c>
      <c r="M298" s="72">
        <v>0.956293706293706</v>
      </c>
      <c r="N298" s="74">
        <v>0.9</v>
      </c>
      <c r="O298" s="72">
        <v>0.860417797069995</v>
      </c>
      <c r="P298" s="72">
        <v>0.923932948302578</v>
      </c>
      <c r="Q298" s="72">
        <v>0.965297167929797</v>
      </c>
      <c r="R298" s="72">
        <v>0.909490726936609</v>
      </c>
      <c r="S298" s="74">
        <v>0.9</v>
      </c>
      <c r="T298" s="72">
        <v>0.900705371676614</v>
      </c>
      <c r="U298" s="72">
        <v>0.924919002676433</v>
      </c>
      <c r="V298" s="72">
        <v>0.927536231884058</v>
      </c>
      <c r="W298" s="72">
        <v>0.912040073945972</v>
      </c>
      <c r="X298" s="74">
        <v>0.92</v>
      </c>
      <c r="Y298" s="74">
        <v>0.966606498194946</v>
      </c>
      <c r="Z298" s="74">
        <v>0.989771066731612</v>
      </c>
      <c r="AA298" s="74">
        <v>0.991198131848392</v>
      </c>
      <c r="AB298" s="74">
        <v>0.979267943951959</v>
      </c>
      <c r="AC298" s="74">
        <v>0.92</v>
      </c>
      <c r="AD298" s="72">
        <v>0.994000749906262</v>
      </c>
      <c r="AE298" s="72">
        <v>0.995114006514658</v>
      </c>
      <c r="AF298" s="72">
        <v>0.987893462469734</v>
      </c>
      <c r="AG298" s="72">
        <v>0.959396635338975</v>
      </c>
      <c r="AH298" s="74">
        <v>0.92</v>
      </c>
      <c r="AI298" s="72">
        <v>0.975891583452211</v>
      </c>
      <c r="AJ298" s="72">
        <v>0.99298695422668</v>
      </c>
      <c r="AK298" s="72">
        <v>0.9939667023064</v>
      </c>
      <c r="AL298" s="72">
        <v>0.986388200398196</v>
      </c>
      <c r="AM298" s="71">
        <v>0.99</v>
      </c>
      <c r="AN298" s="76">
        <v>1</v>
      </c>
      <c r="AO298" s="76">
        <v>1</v>
      </c>
      <c r="AP298" s="76">
        <v>1</v>
      </c>
      <c r="AQ298" s="76">
        <v>1</v>
      </c>
      <c r="AR298" s="96">
        <v>0.0922287257019438</v>
      </c>
      <c r="AS298" s="80">
        <v>0.2</v>
      </c>
      <c r="AT298" s="80">
        <v>0.111111111111111</v>
      </c>
      <c r="AU298" s="80">
        <v>0.0666666666666667</v>
      </c>
      <c r="AV298" s="80">
        <v>0.0579710144927536</v>
      </c>
      <c r="AW298" s="29"/>
      <c r="AX298" s="34"/>
    </row>
    <row r="299" s="27" customFormat="1" ht="14.5" spans="1:50">
      <c r="A299" s="32"/>
      <c r="B299" s="29"/>
      <c r="C299" s="100" t="s">
        <v>289</v>
      </c>
      <c r="D299" s="69" t="s">
        <v>15</v>
      </c>
      <c r="E299" s="101" t="s">
        <v>350</v>
      </c>
      <c r="F299" s="101" t="s">
        <v>350</v>
      </c>
      <c r="G299" s="101" t="s">
        <v>350</v>
      </c>
      <c r="H299" s="101" t="s">
        <v>350</v>
      </c>
      <c r="I299" s="71">
        <v>0.9</v>
      </c>
      <c r="J299" s="72">
        <v>0.92814371257485</v>
      </c>
      <c r="K299" s="72">
        <v>0.913793103448276</v>
      </c>
      <c r="L299" s="73">
        <v>0.974874371859296</v>
      </c>
      <c r="M299" s="72">
        <v>0.957901159243441</v>
      </c>
      <c r="N299" s="74">
        <v>0.9</v>
      </c>
      <c r="O299" s="72">
        <v>0.920952571542926</v>
      </c>
      <c r="P299" s="72">
        <v>0.950116254491651</v>
      </c>
      <c r="Q299" s="72">
        <v>0.94995743070665</v>
      </c>
      <c r="R299" s="72">
        <v>0.923627504060639</v>
      </c>
      <c r="S299" s="74">
        <v>0.9</v>
      </c>
      <c r="T299" s="72">
        <v>0.914448669201521</v>
      </c>
      <c r="U299" s="72">
        <v>0.928767702388501</v>
      </c>
      <c r="V299" s="72">
        <v>0.936051461545738</v>
      </c>
      <c r="W299" s="72">
        <v>0.919870059556037</v>
      </c>
      <c r="X299" s="74">
        <v>0.92</v>
      </c>
      <c r="Y299" s="74">
        <v>0.964916056823074</v>
      </c>
      <c r="Z299" s="74">
        <v>0.982752338151342</v>
      </c>
      <c r="AA299" s="74">
        <v>0.984161730620654</v>
      </c>
      <c r="AB299" s="74">
        <v>0.979234305602452</v>
      </c>
      <c r="AC299" s="74">
        <v>0.92</v>
      </c>
      <c r="AD299" s="72">
        <v>0.989309576837416</v>
      </c>
      <c r="AE299" s="72">
        <v>0.981848529104945</v>
      </c>
      <c r="AF299" s="72">
        <v>0.985717576595254</v>
      </c>
      <c r="AG299" s="72">
        <v>0.986895575544496</v>
      </c>
      <c r="AH299" s="74">
        <v>0.92</v>
      </c>
      <c r="AI299" s="72">
        <v>0.972521775197014</v>
      </c>
      <c r="AJ299" s="72">
        <v>0.987178763061282</v>
      </c>
      <c r="AK299" s="72">
        <v>0.990189131738159</v>
      </c>
      <c r="AL299" s="72">
        <v>0.985778717073804</v>
      </c>
      <c r="AM299" s="71">
        <v>0.99</v>
      </c>
      <c r="AN299" s="76">
        <v>1</v>
      </c>
      <c r="AO299" s="76">
        <v>1</v>
      </c>
      <c r="AP299" s="76">
        <v>1</v>
      </c>
      <c r="AQ299" s="76">
        <v>1</v>
      </c>
      <c r="AR299" s="96">
        <v>0.0922287257019438</v>
      </c>
      <c r="AS299" s="80">
        <v>0.150684931506849</v>
      </c>
      <c r="AT299" s="80">
        <v>0.26865671641791</v>
      </c>
      <c r="AU299" s="80">
        <v>0.166666666666667</v>
      </c>
      <c r="AV299" s="80">
        <v>0.124816446402349</v>
      </c>
      <c r="AW299" s="29"/>
      <c r="AX299" s="34"/>
    </row>
    <row r="300" s="27" customFormat="1" ht="14.5" spans="1:50">
      <c r="A300" s="32"/>
      <c r="B300" s="29"/>
      <c r="C300" s="100" t="s">
        <v>289</v>
      </c>
      <c r="D300" s="69" t="s">
        <v>15</v>
      </c>
      <c r="E300" s="101" t="s">
        <v>351</v>
      </c>
      <c r="F300" s="101" t="s">
        <v>351</v>
      </c>
      <c r="G300" s="101" t="s">
        <v>351</v>
      </c>
      <c r="H300" s="101" t="s">
        <v>351</v>
      </c>
      <c r="I300" s="71">
        <v>0.9</v>
      </c>
      <c r="J300" s="72">
        <v>0</v>
      </c>
      <c r="K300" s="72">
        <v>0</v>
      </c>
      <c r="L300" s="73">
        <v>0</v>
      </c>
      <c r="M300" s="72">
        <v>0</v>
      </c>
      <c r="N300" s="74">
        <v>0.9</v>
      </c>
      <c r="O300" s="72">
        <v>0</v>
      </c>
      <c r="P300" s="72">
        <v>0</v>
      </c>
      <c r="Q300" s="72">
        <v>0</v>
      </c>
      <c r="R300" s="72">
        <v>0</v>
      </c>
      <c r="S300" s="74">
        <v>0.9</v>
      </c>
      <c r="T300" s="72">
        <v>0</v>
      </c>
      <c r="U300" s="72">
        <v>0</v>
      </c>
      <c r="V300" s="72">
        <v>0</v>
      </c>
      <c r="W300" s="72">
        <v>0</v>
      </c>
      <c r="X300" s="74">
        <v>0.92</v>
      </c>
      <c r="Y300" s="74">
        <v>0</v>
      </c>
      <c r="Z300" s="74">
        <v>0</v>
      </c>
      <c r="AA300" s="74">
        <v>0</v>
      </c>
      <c r="AB300" s="74">
        <v>0</v>
      </c>
      <c r="AC300" s="74">
        <v>0.92</v>
      </c>
      <c r="AD300" s="72">
        <v>0.998330550918197</v>
      </c>
      <c r="AE300" s="72">
        <v>0.888755980861244</v>
      </c>
      <c r="AF300" s="72">
        <v>0.923076923076923</v>
      </c>
      <c r="AG300" s="72">
        <v>0.961538461538462</v>
      </c>
      <c r="AH300" s="74">
        <v>0.92</v>
      </c>
      <c r="AI300" s="72">
        <v>0</v>
      </c>
      <c r="AJ300" s="72">
        <v>0</v>
      </c>
      <c r="AK300" s="72">
        <v>0</v>
      </c>
      <c r="AL300" s="72">
        <v>0</v>
      </c>
      <c r="AM300" s="71">
        <v>0.99</v>
      </c>
      <c r="AN300" s="76">
        <v>0</v>
      </c>
      <c r="AO300" s="76">
        <v>0</v>
      </c>
      <c r="AP300" s="76">
        <v>0</v>
      </c>
      <c r="AQ300" s="76">
        <v>1</v>
      </c>
      <c r="AR300" s="96">
        <v>0.0922287257019438</v>
      </c>
      <c r="AS300" s="80">
        <v>0</v>
      </c>
      <c r="AT300" s="80">
        <v>0</v>
      </c>
      <c r="AU300" s="80">
        <v>0</v>
      </c>
      <c r="AV300" s="80">
        <v>0</v>
      </c>
      <c r="AW300" s="29"/>
      <c r="AX300" s="34"/>
    </row>
    <row r="301" s="27" customFormat="1" ht="14.5" spans="1:50">
      <c r="A301" s="32"/>
      <c r="B301" s="29"/>
      <c r="C301" s="100" t="s">
        <v>289</v>
      </c>
      <c r="D301" s="69" t="s">
        <v>15</v>
      </c>
      <c r="E301" s="101" t="s">
        <v>352</v>
      </c>
      <c r="F301" s="101" t="s">
        <v>352</v>
      </c>
      <c r="G301" s="101" t="s">
        <v>352</v>
      </c>
      <c r="H301" s="101" t="s">
        <v>352</v>
      </c>
      <c r="I301" s="71">
        <v>0.9</v>
      </c>
      <c r="J301" s="72">
        <v>0</v>
      </c>
      <c r="K301" s="72">
        <v>0</v>
      </c>
      <c r="L301" s="73">
        <v>0</v>
      </c>
      <c r="M301" s="72">
        <v>0</v>
      </c>
      <c r="N301" s="74">
        <v>0.9</v>
      </c>
      <c r="O301" s="72">
        <v>0</v>
      </c>
      <c r="P301" s="72">
        <v>0</v>
      </c>
      <c r="Q301" s="72">
        <v>0</v>
      </c>
      <c r="R301" s="72">
        <v>0</v>
      </c>
      <c r="S301" s="74">
        <v>0.9</v>
      </c>
      <c r="T301" s="72">
        <v>0</v>
      </c>
      <c r="U301" s="72">
        <v>0</v>
      </c>
      <c r="V301" s="72">
        <v>0</v>
      </c>
      <c r="W301" s="72">
        <v>0</v>
      </c>
      <c r="X301" s="74">
        <v>0.92</v>
      </c>
      <c r="Y301" s="74">
        <v>0</v>
      </c>
      <c r="Z301" s="74">
        <v>0</v>
      </c>
      <c r="AA301" s="74">
        <v>0</v>
      </c>
      <c r="AB301" s="74">
        <v>0</v>
      </c>
      <c r="AC301" s="74">
        <v>0.92</v>
      </c>
      <c r="AD301" s="72">
        <v>1</v>
      </c>
      <c r="AE301" s="72">
        <v>1</v>
      </c>
      <c r="AF301" s="72">
        <v>0.996655518394649</v>
      </c>
      <c r="AG301" s="72">
        <v>0.995405316704956</v>
      </c>
      <c r="AH301" s="74">
        <v>0.92</v>
      </c>
      <c r="AI301" s="72">
        <v>0</v>
      </c>
      <c r="AJ301" s="72">
        <v>0</v>
      </c>
      <c r="AK301" s="72">
        <v>0</v>
      </c>
      <c r="AL301" s="72">
        <v>0</v>
      </c>
      <c r="AM301" s="71">
        <v>0.99</v>
      </c>
      <c r="AN301" s="76">
        <v>0</v>
      </c>
      <c r="AO301" s="76">
        <v>0</v>
      </c>
      <c r="AP301" s="76">
        <v>0</v>
      </c>
      <c r="AQ301" s="76">
        <v>1</v>
      </c>
      <c r="AR301" s="96">
        <v>0.0922287257019438</v>
      </c>
      <c r="AS301" s="80">
        <v>0</v>
      </c>
      <c r="AT301" s="80">
        <v>0</v>
      </c>
      <c r="AU301" s="80">
        <v>0</v>
      </c>
      <c r="AV301" s="80">
        <v>0</v>
      </c>
      <c r="AW301" s="29"/>
      <c r="AX301" s="34"/>
    </row>
    <row r="302" s="27" customFormat="1" ht="14.5" spans="1:50">
      <c r="A302" s="32"/>
      <c r="B302" s="29"/>
      <c r="C302" s="100" t="s">
        <v>289</v>
      </c>
      <c r="D302" s="69" t="s">
        <v>15</v>
      </c>
      <c r="E302" s="101" t="s">
        <v>353</v>
      </c>
      <c r="F302" s="101" t="s">
        <v>353</v>
      </c>
      <c r="G302" s="101" t="s">
        <v>353</v>
      </c>
      <c r="H302" s="101" t="s">
        <v>353</v>
      </c>
      <c r="I302" s="71">
        <v>0.9</v>
      </c>
      <c r="J302" s="72">
        <v>0</v>
      </c>
      <c r="K302" s="72">
        <v>0</v>
      </c>
      <c r="L302" s="73">
        <v>0</v>
      </c>
      <c r="M302" s="72">
        <v>0</v>
      </c>
      <c r="N302" s="74">
        <v>0.9</v>
      </c>
      <c r="O302" s="72">
        <v>0.972222222222222</v>
      </c>
      <c r="P302" s="72">
        <v>1</v>
      </c>
      <c r="Q302" s="72">
        <v>0.956521739130435</v>
      </c>
      <c r="R302" s="72">
        <v>0.971774193548387</v>
      </c>
      <c r="S302" s="74">
        <v>0.9</v>
      </c>
      <c r="T302" s="72">
        <v>0.972222222222222</v>
      </c>
      <c r="U302" s="72">
        <v>1</v>
      </c>
      <c r="V302" s="72">
        <v>0.956521739130435</v>
      </c>
      <c r="W302" s="72">
        <v>0.979838709677419</v>
      </c>
      <c r="X302" s="74">
        <v>0.92</v>
      </c>
      <c r="Y302" s="74">
        <v>1</v>
      </c>
      <c r="Z302" s="74">
        <v>1</v>
      </c>
      <c r="AA302" s="74">
        <v>1</v>
      </c>
      <c r="AB302" s="74">
        <v>0.98</v>
      </c>
      <c r="AC302" s="74">
        <v>0.92</v>
      </c>
      <c r="AD302" s="72">
        <v>0.998529411764706</v>
      </c>
      <c r="AE302" s="72">
        <v>0.999348321928967</v>
      </c>
      <c r="AF302" s="72">
        <v>0.998428167243005</v>
      </c>
      <c r="AG302" s="72">
        <v>0.997410859594615</v>
      </c>
      <c r="AH302" s="74">
        <v>0.92</v>
      </c>
      <c r="AI302" s="72">
        <v>0.981132075471698</v>
      </c>
      <c r="AJ302" s="72">
        <v>1</v>
      </c>
      <c r="AK302" s="72">
        <v>0.966666666666667</v>
      </c>
      <c r="AL302" s="72">
        <v>0.981182795698925</v>
      </c>
      <c r="AM302" s="71">
        <v>0.99</v>
      </c>
      <c r="AN302" s="76">
        <v>0</v>
      </c>
      <c r="AO302" s="76">
        <v>1</v>
      </c>
      <c r="AP302" s="76">
        <v>1</v>
      </c>
      <c r="AQ302" s="76">
        <v>1</v>
      </c>
      <c r="AR302" s="96">
        <v>0.0922287257019438</v>
      </c>
      <c r="AS302" s="80">
        <v>0</v>
      </c>
      <c r="AT302" s="80">
        <v>0</v>
      </c>
      <c r="AU302" s="80">
        <v>0</v>
      </c>
      <c r="AV302" s="80">
        <v>0</v>
      </c>
      <c r="AW302" s="29"/>
      <c r="AX302" s="34"/>
    </row>
    <row r="303" s="27" customFormat="1" ht="14.5" spans="1:50">
      <c r="A303" s="32"/>
      <c r="B303" s="29"/>
      <c r="C303" s="100" t="s">
        <v>289</v>
      </c>
      <c r="D303" s="69" t="s">
        <v>15</v>
      </c>
      <c r="E303" s="101" t="s">
        <v>354</v>
      </c>
      <c r="F303" s="101" t="s">
        <v>354</v>
      </c>
      <c r="G303" s="101" t="s">
        <v>354</v>
      </c>
      <c r="H303" s="101" t="s">
        <v>354</v>
      </c>
      <c r="I303" s="71">
        <v>0.9</v>
      </c>
      <c r="J303" s="72">
        <v>0</v>
      </c>
      <c r="K303" s="72">
        <v>0</v>
      </c>
      <c r="L303" s="73">
        <v>0</v>
      </c>
      <c r="M303" s="72">
        <v>0</v>
      </c>
      <c r="N303" s="74">
        <v>0.9</v>
      </c>
      <c r="O303" s="72">
        <v>1</v>
      </c>
      <c r="P303" s="72">
        <v>0</v>
      </c>
      <c r="Q303" s="72">
        <v>0</v>
      </c>
      <c r="R303" s="72">
        <v>1</v>
      </c>
      <c r="S303" s="74">
        <v>0.9</v>
      </c>
      <c r="T303" s="72">
        <v>0</v>
      </c>
      <c r="U303" s="72">
        <v>0</v>
      </c>
      <c r="V303" s="72">
        <v>0</v>
      </c>
      <c r="W303" s="72">
        <v>0</v>
      </c>
      <c r="X303" s="74">
        <v>0.92</v>
      </c>
      <c r="Y303" s="74">
        <v>0</v>
      </c>
      <c r="Z303" s="74">
        <v>0</v>
      </c>
      <c r="AA303" s="74">
        <v>0</v>
      </c>
      <c r="AB303" s="74">
        <v>0</v>
      </c>
      <c r="AC303" s="74">
        <v>0.92</v>
      </c>
      <c r="AD303" s="72">
        <v>0.999805938288376</v>
      </c>
      <c r="AE303" s="72">
        <v>0.999187322226737</v>
      </c>
      <c r="AF303" s="72">
        <v>0.999427917620137</v>
      </c>
      <c r="AG303" s="72">
        <v>0.991682087173192</v>
      </c>
      <c r="AH303" s="74">
        <v>0.92</v>
      </c>
      <c r="AI303" s="72">
        <v>1</v>
      </c>
      <c r="AJ303" s="72">
        <v>0</v>
      </c>
      <c r="AK303" s="72">
        <v>0</v>
      </c>
      <c r="AL303" s="72">
        <v>0.333333333333333</v>
      </c>
      <c r="AM303" s="71">
        <v>0.99</v>
      </c>
      <c r="AN303" s="76">
        <v>1</v>
      </c>
      <c r="AO303" s="76">
        <v>1</v>
      </c>
      <c r="AP303" s="76">
        <v>1</v>
      </c>
      <c r="AQ303" s="76">
        <v>1</v>
      </c>
      <c r="AR303" s="96">
        <v>0.0922287257019438</v>
      </c>
      <c r="AS303" s="80">
        <v>0</v>
      </c>
      <c r="AT303" s="80">
        <v>0</v>
      </c>
      <c r="AU303" s="80">
        <v>0</v>
      </c>
      <c r="AV303" s="80">
        <v>0</v>
      </c>
      <c r="AW303" s="29"/>
      <c r="AX303" s="34"/>
    </row>
    <row r="304" s="27" customFormat="1" ht="14.5" spans="1:50">
      <c r="A304" s="32"/>
      <c r="B304" s="29"/>
      <c r="C304" s="100" t="s">
        <v>289</v>
      </c>
      <c r="D304" s="69" t="s">
        <v>15</v>
      </c>
      <c r="E304" s="101" t="s">
        <v>355</v>
      </c>
      <c r="F304" s="101" t="s">
        <v>355</v>
      </c>
      <c r="G304" s="101" t="s">
        <v>355</v>
      </c>
      <c r="H304" s="101" t="s">
        <v>355</v>
      </c>
      <c r="I304" s="71">
        <v>0.9</v>
      </c>
      <c r="J304" s="72">
        <v>0</v>
      </c>
      <c r="K304" s="72">
        <v>0</v>
      </c>
      <c r="L304" s="73">
        <v>0</v>
      </c>
      <c r="M304" s="72">
        <v>0</v>
      </c>
      <c r="N304" s="74">
        <v>0.9</v>
      </c>
      <c r="O304" s="72">
        <v>0</v>
      </c>
      <c r="P304" s="72">
        <v>1</v>
      </c>
      <c r="Q304" s="72">
        <v>0</v>
      </c>
      <c r="R304" s="72">
        <v>0.0612244897959184</v>
      </c>
      <c r="S304" s="74">
        <v>0.9</v>
      </c>
      <c r="T304" s="72">
        <v>0</v>
      </c>
      <c r="U304" s="72">
        <v>0</v>
      </c>
      <c r="V304" s="72">
        <v>1</v>
      </c>
      <c r="W304" s="72">
        <v>0.653061224489796</v>
      </c>
      <c r="X304" s="74">
        <v>0.92</v>
      </c>
      <c r="Y304" s="74">
        <v>0</v>
      </c>
      <c r="Z304" s="74">
        <v>0</v>
      </c>
      <c r="AA304" s="74">
        <v>0</v>
      </c>
      <c r="AB304" s="74">
        <v>0.466666666666667</v>
      </c>
      <c r="AC304" s="74">
        <v>0.92</v>
      </c>
      <c r="AD304" s="72">
        <v>0.998600279944011</v>
      </c>
      <c r="AE304" s="72">
        <v>0.945874689826303</v>
      </c>
      <c r="AF304" s="72">
        <v>0.989523984561661</v>
      </c>
      <c r="AG304" s="72">
        <v>0.980189917981313</v>
      </c>
      <c r="AH304" s="74">
        <v>0.92</v>
      </c>
      <c r="AI304" s="72">
        <v>0.0526315789473684</v>
      </c>
      <c r="AJ304" s="72">
        <v>0</v>
      </c>
      <c r="AK304" s="72">
        <v>1</v>
      </c>
      <c r="AL304" s="72">
        <v>0.621212121212121</v>
      </c>
      <c r="AM304" s="71">
        <v>0.99</v>
      </c>
      <c r="AN304" s="76">
        <v>1</v>
      </c>
      <c r="AO304" s="76">
        <v>1</v>
      </c>
      <c r="AP304" s="76">
        <v>1</v>
      </c>
      <c r="AQ304" s="76">
        <v>1</v>
      </c>
      <c r="AR304" s="96">
        <v>0.0922287257019438</v>
      </c>
      <c r="AS304" s="80">
        <v>0</v>
      </c>
      <c r="AT304" s="80">
        <v>0</v>
      </c>
      <c r="AU304" s="80">
        <v>0</v>
      </c>
      <c r="AV304" s="80">
        <v>0</v>
      </c>
      <c r="AW304" s="29"/>
      <c r="AX304" s="34"/>
    </row>
    <row r="305" s="27" customFormat="1" ht="14.5" spans="1:50">
      <c r="A305" s="32"/>
      <c r="B305" s="29"/>
      <c r="C305" s="100" t="s">
        <v>289</v>
      </c>
      <c r="D305" s="69" t="s">
        <v>15</v>
      </c>
      <c r="E305" s="101" t="s">
        <v>356</v>
      </c>
      <c r="F305" s="101" t="s">
        <v>356</v>
      </c>
      <c r="G305" s="101" t="s">
        <v>356</v>
      </c>
      <c r="H305" s="101" t="s">
        <v>356</v>
      </c>
      <c r="I305" s="71">
        <v>0.9</v>
      </c>
      <c r="J305" s="72">
        <v>0</v>
      </c>
      <c r="K305" s="72">
        <v>0</v>
      </c>
      <c r="L305" s="73">
        <v>0</v>
      </c>
      <c r="M305" s="72">
        <v>0</v>
      </c>
      <c r="N305" s="74">
        <v>0.9</v>
      </c>
      <c r="O305" s="72">
        <v>0</v>
      </c>
      <c r="P305" s="72">
        <v>0</v>
      </c>
      <c r="Q305" s="72">
        <v>0</v>
      </c>
      <c r="R305" s="72">
        <v>0</v>
      </c>
      <c r="S305" s="74">
        <v>0.9</v>
      </c>
      <c r="T305" s="72">
        <v>0</v>
      </c>
      <c r="U305" s="72">
        <v>0</v>
      </c>
      <c r="V305" s="72">
        <v>1</v>
      </c>
      <c r="W305" s="72">
        <v>1</v>
      </c>
      <c r="X305" s="74">
        <v>0.92</v>
      </c>
      <c r="Y305" s="74">
        <v>0</v>
      </c>
      <c r="Z305" s="74">
        <v>0</v>
      </c>
      <c r="AA305" s="74">
        <v>0</v>
      </c>
      <c r="AB305" s="74">
        <v>0</v>
      </c>
      <c r="AC305" s="74">
        <v>0.92</v>
      </c>
      <c r="AD305" s="72">
        <v>0.999476302697041</v>
      </c>
      <c r="AE305" s="72">
        <v>0.971943573667712</v>
      </c>
      <c r="AF305" s="72">
        <v>0.998426930942268</v>
      </c>
      <c r="AG305" s="72">
        <v>0.994225651497146</v>
      </c>
      <c r="AH305" s="74">
        <v>0.92</v>
      </c>
      <c r="AI305" s="72">
        <v>0</v>
      </c>
      <c r="AJ305" s="72">
        <v>0</v>
      </c>
      <c r="AK305" s="72">
        <v>0.5</v>
      </c>
      <c r="AL305" s="72">
        <v>0.5</v>
      </c>
      <c r="AM305" s="71">
        <v>0.99</v>
      </c>
      <c r="AN305" s="76">
        <v>1</v>
      </c>
      <c r="AO305" s="76">
        <v>1</v>
      </c>
      <c r="AP305" s="76">
        <v>0</v>
      </c>
      <c r="AQ305" s="76">
        <v>1</v>
      </c>
      <c r="AR305" s="96">
        <v>0.0922287257019438</v>
      </c>
      <c r="AS305" s="80">
        <v>0</v>
      </c>
      <c r="AT305" s="80">
        <v>0</v>
      </c>
      <c r="AU305" s="80">
        <v>0</v>
      </c>
      <c r="AV305" s="80">
        <v>0</v>
      </c>
      <c r="AW305" s="29"/>
      <c r="AX305" s="34"/>
    </row>
    <row r="306" s="27" customFormat="1" ht="14.5" spans="1:50">
      <c r="A306" s="32"/>
      <c r="B306" s="29"/>
      <c r="C306" s="100" t="s">
        <v>289</v>
      </c>
      <c r="D306" s="69" t="s">
        <v>15</v>
      </c>
      <c r="E306" s="101" t="s">
        <v>357</v>
      </c>
      <c r="F306" s="101" t="s">
        <v>357</v>
      </c>
      <c r="G306" s="101" t="s">
        <v>357</v>
      </c>
      <c r="H306" s="101" t="s">
        <v>357</v>
      </c>
      <c r="I306" s="71">
        <v>0.9</v>
      </c>
      <c r="J306" s="72">
        <v>0</v>
      </c>
      <c r="K306" s="72">
        <v>0</v>
      </c>
      <c r="L306" s="73">
        <v>0</v>
      </c>
      <c r="M306" s="72">
        <v>0</v>
      </c>
      <c r="N306" s="74">
        <v>0.9</v>
      </c>
      <c r="O306" s="72">
        <v>0</v>
      </c>
      <c r="P306" s="72">
        <v>0</v>
      </c>
      <c r="Q306" s="72">
        <v>0</v>
      </c>
      <c r="R306" s="72">
        <v>0</v>
      </c>
      <c r="S306" s="74">
        <v>0.9</v>
      </c>
      <c r="T306" s="72">
        <v>0</v>
      </c>
      <c r="U306" s="72">
        <v>0</v>
      </c>
      <c r="V306" s="72">
        <v>0</v>
      </c>
      <c r="W306" s="72">
        <v>0</v>
      </c>
      <c r="X306" s="74">
        <v>0.92</v>
      </c>
      <c r="Y306" s="74">
        <v>0</v>
      </c>
      <c r="Z306" s="74">
        <v>0</v>
      </c>
      <c r="AA306" s="74">
        <v>0</v>
      </c>
      <c r="AB306" s="74">
        <v>0</v>
      </c>
      <c r="AC306" s="74">
        <v>0.92</v>
      </c>
      <c r="AD306" s="72">
        <v>0.983353151010702</v>
      </c>
      <c r="AE306" s="72">
        <v>0.98372513562387</v>
      </c>
      <c r="AF306" s="72">
        <v>0.954898911353033</v>
      </c>
      <c r="AG306" s="72">
        <v>0.94430506773708</v>
      </c>
      <c r="AH306" s="74">
        <v>0.92</v>
      </c>
      <c r="AI306" s="72">
        <v>0</v>
      </c>
      <c r="AJ306" s="72">
        <v>0</v>
      </c>
      <c r="AK306" s="72">
        <v>0</v>
      </c>
      <c r="AL306" s="72">
        <v>0</v>
      </c>
      <c r="AM306" s="71">
        <v>0.99</v>
      </c>
      <c r="AN306" s="76">
        <v>0</v>
      </c>
      <c r="AO306" s="76">
        <v>0</v>
      </c>
      <c r="AP306" s="76">
        <v>0</v>
      </c>
      <c r="AQ306" s="76">
        <v>1</v>
      </c>
      <c r="AR306" s="96">
        <v>0.0922287257019438</v>
      </c>
      <c r="AS306" s="80">
        <v>0</v>
      </c>
      <c r="AT306" s="80">
        <v>0</v>
      </c>
      <c r="AU306" s="80">
        <v>0</v>
      </c>
      <c r="AV306" s="80">
        <v>0</v>
      </c>
      <c r="AW306" s="29"/>
      <c r="AX306" s="34"/>
    </row>
    <row r="307" s="27" customFormat="1" ht="14.5" spans="1:50">
      <c r="A307" s="32"/>
      <c r="B307" s="29"/>
      <c r="C307" s="100" t="s">
        <v>289</v>
      </c>
      <c r="D307" s="69" t="s">
        <v>15</v>
      </c>
      <c r="E307" s="101" t="s">
        <v>358</v>
      </c>
      <c r="F307" s="101" t="s">
        <v>358</v>
      </c>
      <c r="G307" s="101" t="s">
        <v>358</v>
      </c>
      <c r="H307" s="101" t="s">
        <v>358</v>
      </c>
      <c r="I307" s="71">
        <v>0.9</v>
      </c>
      <c r="J307" s="72">
        <v>0.936363636363636</v>
      </c>
      <c r="K307" s="72">
        <v>0.954128440366973</v>
      </c>
      <c r="L307" s="73">
        <v>0.966386554621849</v>
      </c>
      <c r="M307" s="72">
        <v>0.976649746192893</v>
      </c>
      <c r="N307" s="74">
        <v>0.9</v>
      </c>
      <c r="O307" s="72">
        <v>0.944789180588703</v>
      </c>
      <c r="P307" s="72">
        <v>0.946171210279562</v>
      </c>
      <c r="Q307" s="72">
        <v>0.973300165837479</v>
      </c>
      <c r="R307" s="72">
        <v>0.953726386847406</v>
      </c>
      <c r="S307" s="74">
        <v>0.9</v>
      </c>
      <c r="T307" s="72">
        <v>0.9175815433572</v>
      </c>
      <c r="U307" s="72">
        <v>0.92672338947734</v>
      </c>
      <c r="V307" s="72">
        <v>0.955058043117745</v>
      </c>
      <c r="W307" s="72">
        <v>0.937194911717205</v>
      </c>
      <c r="X307" s="74">
        <v>0.92</v>
      </c>
      <c r="Y307" s="74">
        <v>0.977118341079728</v>
      </c>
      <c r="Z307" s="74">
        <v>0.985640648011782</v>
      </c>
      <c r="AA307" s="74">
        <v>0.989460370994941</v>
      </c>
      <c r="AB307" s="74">
        <v>0.984746967705797</v>
      </c>
      <c r="AC307" s="74">
        <v>0.92</v>
      </c>
      <c r="AD307" s="72">
        <v>0.984790011350738</v>
      </c>
      <c r="AE307" s="72">
        <v>0.991820040899795</v>
      </c>
      <c r="AF307" s="72">
        <v>0.99063829787234</v>
      </c>
      <c r="AG307" s="72">
        <v>0.991455671396096</v>
      </c>
      <c r="AH307" s="74">
        <v>0.92</v>
      </c>
      <c r="AI307" s="72">
        <v>0.982069197743918</v>
      </c>
      <c r="AJ307" s="72">
        <v>0.98874396998392</v>
      </c>
      <c r="AK307" s="72">
        <v>0.993502877297197</v>
      </c>
      <c r="AL307" s="72">
        <v>0.989866761204171</v>
      </c>
      <c r="AM307" s="71">
        <v>0.99</v>
      </c>
      <c r="AN307" s="76">
        <v>1</v>
      </c>
      <c r="AO307" s="76">
        <v>1</v>
      </c>
      <c r="AP307" s="76">
        <v>1</v>
      </c>
      <c r="AQ307" s="76">
        <v>1</v>
      </c>
      <c r="AR307" s="96">
        <v>0.0922287257019438</v>
      </c>
      <c r="AS307" s="80">
        <v>0.0344827586206897</v>
      </c>
      <c r="AT307" s="80">
        <v>0</v>
      </c>
      <c r="AU307" s="80">
        <v>0</v>
      </c>
      <c r="AV307" s="80">
        <v>0.0466666666666667</v>
      </c>
      <c r="AW307" s="29"/>
      <c r="AX307" s="34"/>
    </row>
    <row r="308" s="27" customFormat="1" ht="14.5" spans="1:50">
      <c r="A308" s="32"/>
      <c r="B308" s="29"/>
      <c r="C308" s="100" t="s">
        <v>289</v>
      </c>
      <c r="D308" s="69" t="s">
        <v>15</v>
      </c>
      <c r="E308" s="101" t="s">
        <v>359</v>
      </c>
      <c r="F308" s="101" t="s">
        <v>359</v>
      </c>
      <c r="G308" s="101" t="s">
        <v>359</v>
      </c>
      <c r="H308" s="101" t="s">
        <v>359</v>
      </c>
      <c r="I308" s="71">
        <v>0.9</v>
      </c>
      <c r="J308" s="72">
        <v>0</v>
      </c>
      <c r="K308" s="72">
        <v>0</v>
      </c>
      <c r="L308" s="73">
        <v>0</v>
      </c>
      <c r="M308" s="72">
        <v>0</v>
      </c>
      <c r="N308" s="74">
        <v>0.9</v>
      </c>
      <c r="O308" s="72">
        <v>0</v>
      </c>
      <c r="P308" s="72">
        <v>0</v>
      </c>
      <c r="Q308" s="72">
        <v>0</v>
      </c>
      <c r="R308" s="72">
        <v>0</v>
      </c>
      <c r="S308" s="74">
        <v>0.9</v>
      </c>
      <c r="T308" s="72">
        <v>0</v>
      </c>
      <c r="U308" s="72">
        <v>0</v>
      </c>
      <c r="V308" s="72">
        <v>0</v>
      </c>
      <c r="W308" s="72">
        <v>1</v>
      </c>
      <c r="X308" s="74">
        <v>0.92</v>
      </c>
      <c r="Y308" s="74">
        <v>0</v>
      </c>
      <c r="Z308" s="74">
        <v>0</v>
      </c>
      <c r="AA308" s="74">
        <v>0</v>
      </c>
      <c r="AB308" s="74">
        <v>0</v>
      </c>
      <c r="AC308" s="74">
        <v>0.92</v>
      </c>
      <c r="AD308" s="72">
        <v>0.8714859437751</v>
      </c>
      <c r="AE308" s="72">
        <v>1</v>
      </c>
      <c r="AF308" s="72">
        <v>1</v>
      </c>
      <c r="AG308" s="72">
        <v>0.982954545454545</v>
      </c>
      <c r="AH308" s="74">
        <v>0.92</v>
      </c>
      <c r="AI308" s="72">
        <v>0</v>
      </c>
      <c r="AJ308" s="72">
        <v>0</v>
      </c>
      <c r="AK308" s="72">
        <v>0</v>
      </c>
      <c r="AL308" s="72">
        <v>1</v>
      </c>
      <c r="AM308" s="71">
        <v>0.99</v>
      </c>
      <c r="AN308" s="76">
        <v>0</v>
      </c>
      <c r="AO308" s="76">
        <v>1</v>
      </c>
      <c r="AP308" s="76">
        <v>1</v>
      </c>
      <c r="AQ308" s="76">
        <v>1</v>
      </c>
      <c r="AR308" s="96">
        <v>0.0922287257019438</v>
      </c>
      <c r="AS308" s="80">
        <v>0</v>
      </c>
      <c r="AT308" s="80">
        <v>0</v>
      </c>
      <c r="AU308" s="80">
        <v>0</v>
      </c>
      <c r="AV308" s="80">
        <v>0</v>
      </c>
      <c r="AW308" s="29"/>
      <c r="AX308" s="34"/>
    </row>
    <row r="309" s="27" customFormat="1" ht="14.5" spans="1:50">
      <c r="A309" s="32"/>
      <c r="B309" s="29"/>
      <c r="C309" s="100" t="s">
        <v>289</v>
      </c>
      <c r="D309" s="69" t="s">
        <v>15</v>
      </c>
      <c r="E309" s="101" t="s">
        <v>360</v>
      </c>
      <c r="F309" s="101" t="s">
        <v>360</v>
      </c>
      <c r="G309" s="101" t="s">
        <v>360</v>
      </c>
      <c r="H309" s="101" t="s">
        <v>360</v>
      </c>
      <c r="I309" s="71">
        <v>0.9</v>
      </c>
      <c r="J309" s="72">
        <v>0</v>
      </c>
      <c r="K309" s="72">
        <v>0</v>
      </c>
      <c r="L309" s="73">
        <v>0</v>
      </c>
      <c r="M309" s="72">
        <v>0</v>
      </c>
      <c r="N309" s="74">
        <v>0.9</v>
      </c>
      <c r="O309" s="72">
        <v>1</v>
      </c>
      <c r="P309" s="72">
        <v>0.5</v>
      </c>
      <c r="Q309" s="72">
        <v>1</v>
      </c>
      <c r="R309" s="72">
        <v>0.909090909090909</v>
      </c>
      <c r="S309" s="74">
        <v>0.9</v>
      </c>
      <c r="T309" s="72">
        <v>1</v>
      </c>
      <c r="U309" s="72">
        <v>0.5</v>
      </c>
      <c r="V309" s="72">
        <v>1</v>
      </c>
      <c r="W309" s="72">
        <v>0.909090909090909</v>
      </c>
      <c r="X309" s="74">
        <v>0.92</v>
      </c>
      <c r="Y309" s="74">
        <v>1</v>
      </c>
      <c r="Z309" s="74">
        <v>0</v>
      </c>
      <c r="AA309" s="74">
        <v>0</v>
      </c>
      <c r="AB309" s="74">
        <v>1</v>
      </c>
      <c r="AC309" s="74">
        <v>0.92</v>
      </c>
      <c r="AD309" s="72">
        <v>0.999310978410657</v>
      </c>
      <c r="AE309" s="72">
        <v>0.998522531396208</v>
      </c>
      <c r="AF309" s="72">
        <v>0.998913043478261</v>
      </c>
      <c r="AG309" s="72">
        <v>0.998241844110178</v>
      </c>
      <c r="AH309" s="74">
        <v>0.92</v>
      </c>
      <c r="AI309" s="72">
        <v>1</v>
      </c>
      <c r="AJ309" s="72">
        <v>0.75</v>
      </c>
      <c r="AK309" s="72">
        <v>1</v>
      </c>
      <c r="AL309" s="72">
        <v>0.875</v>
      </c>
      <c r="AM309" s="71">
        <v>0.99</v>
      </c>
      <c r="AN309" s="76">
        <v>0</v>
      </c>
      <c r="AO309" s="76">
        <v>1</v>
      </c>
      <c r="AP309" s="76">
        <v>0</v>
      </c>
      <c r="AQ309" s="76">
        <v>1</v>
      </c>
      <c r="AR309" s="96">
        <v>0.0922287257019438</v>
      </c>
      <c r="AS309" s="80">
        <v>0</v>
      </c>
      <c r="AT309" s="80">
        <v>0</v>
      </c>
      <c r="AU309" s="80">
        <v>0</v>
      </c>
      <c r="AV309" s="80">
        <v>0</v>
      </c>
      <c r="AW309" s="29"/>
      <c r="AX309" s="34"/>
    </row>
    <row r="310" s="27" customFormat="1" ht="14.5" spans="1:50">
      <c r="A310" s="32"/>
      <c r="B310" s="29"/>
      <c r="C310" s="100" t="s">
        <v>289</v>
      </c>
      <c r="D310" s="69" t="s">
        <v>15</v>
      </c>
      <c r="E310" s="101" t="s">
        <v>361</v>
      </c>
      <c r="F310" s="101" t="s">
        <v>361</v>
      </c>
      <c r="G310" s="101" t="s">
        <v>361</v>
      </c>
      <c r="H310" s="101" t="s">
        <v>361</v>
      </c>
      <c r="I310" s="71">
        <v>0.9</v>
      </c>
      <c r="J310" s="72">
        <v>0.961538461538462</v>
      </c>
      <c r="K310" s="72">
        <v>0.963414634146341</v>
      </c>
      <c r="L310" s="73">
        <v>0.976190476190476</v>
      </c>
      <c r="M310" s="72">
        <v>0.959349593495935</v>
      </c>
      <c r="N310" s="74">
        <v>0.9</v>
      </c>
      <c r="O310" s="72">
        <v>0.968967843489993</v>
      </c>
      <c r="P310" s="72">
        <v>0.958462640248269</v>
      </c>
      <c r="Q310" s="72">
        <v>0.973366625052018</v>
      </c>
      <c r="R310" s="72">
        <v>0.95905915007657</v>
      </c>
      <c r="S310" s="74">
        <v>0.9</v>
      </c>
      <c r="T310" s="72">
        <v>0.922644479424331</v>
      </c>
      <c r="U310" s="72">
        <v>0.941513487705896</v>
      </c>
      <c r="V310" s="72">
        <v>0.938410320432792</v>
      </c>
      <c r="W310" s="72">
        <v>0.931446209800919</v>
      </c>
      <c r="X310" s="74">
        <v>0.92</v>
      </c>
      <c r="Y310" s="74">
        <v>0.977421704297159</v>
      </c>
      <c r="Z310" s="74">
        <v>0.992243915485424</v>
      </c>
      <c r="AA310" s="74">
        <v>0.991363907087552</v>
      </c>
      <c r="AB310" s="74">
        <v>0.989317065912811</v>
      </c>
      <c r="AC310" s="74">
        <v>0.92</v>
      </c>
      <c r="AD310" s="72">
        <v>0.99078183680437</v>
      </c>
      <c r="AE310" s="72">
        <v>0.372437971952535</v>
      </c>
      <c r="AF310" s="72">
        <v>0.97124813029749</v>
      </c>
      <c r="AG310" s="72">
        <v>0.889047481390475</v>
      </c>
      <c r="AH310" s="74">
        <v>0.92</v>
      </c>
      <c r="AI310" s="72">
        <v>0.984940462292785</v>
      </c>
      <c r="AJ310" s="72">
        <v>0.994954591321897</v>
      </c>
      <c r="AK310" s="72">
        <v>0.994247246022032</v>
      </c>
      <c r="AL310" s="72">
        <v>0.993024705273906</v>
      </c>
      <c r="AM310" s="71">
        <v>0.99</v>
      </c>
      <c r="AN310" s="76">
        <v>1</v>
      </c>
      <c r="AO310" s="76">
        <v>1</v>
      </c>
      <c r="AP310" s="76">
        <v>1</v>
      </c>
      <c r="AQ310" s="76">
        <v>1</v>
      </c>
      <c r="AR310" s="96">
        <v>0.0922287257019438</v>
      </c>
      <c r="AS310" s="80">
        <v>0.0769230769230769</v>
      </c>
      <c r="AT310" s="80">
        <v>0.314285714285714</v>
      </c>
      <c r="AU310" s="80">
        <v>0.0465116279069767</v>
      </c>
      <c r="AV310" s="80">
        <v>0.105820105820106</v>
      </c>
      <c r="AW310" s="29"/>
      <c r="AX310" s="34"/>
    </row>
    <row r="311" s="27" customFormat="1" ht="14.5" spans="1:50">
      <c r="A311" s="32"/>
      <c r="B311" s="29"/>
      <c r="C311" s="100" t="s">
        <v>289</v>
      </c>
      <c r="D311" s="69" t="s">
        <v>15</v>
      </c>
      <c r="E311" s="101" t="s">
        <v>362</v>
      </c>
      <c r="F311" s="101" t="s">
        <v>362</v>
      </c>
      <c r="G311" s="101" t="s">
        <v>362</v>
      </c>
      <c r="H311" s="101" t="s">
        <v>362</v>
      </c>
      <c r="I311" s="71">
        <v>0.9</v>
      </c>
      <c r="J311" s="72">
        <v>0.969072164948454</v>
      </c>
      <c r="K311" s="72">
        <v>0.955555555555556</v>
      </c>
      <c r="L311" s="73">
        <v>1</v>
      </c>
      <c r="M311" s="72">
        <v>0.982394366197183</v>
      </c>
      <c r="N311" s="74">
        <v>0.9</v>
      </c>
      <c r="O311" s="72">
        <v>0.950330659912762</v>
      </c>
      <c r="P311" s="72">
        <v>0.971772963075984</v>
      </c>
      <c r="Q311" s="72">
        <v>0.963285714285714</v>
      </c>
      <c r="R311" s="72">
        <v>0.96253805831947</v>
      </c>
      <c r="S311" s="74">
        <v>0.9</v>
      </c>
      <c r="T311" s="72">
        <v>0.91191782749402</v>
      </c>
      <c r="U311" s="72">
        <v>0.945224290509612</v>
      </c>
      <c r="V311" s="72">
        <v>0.931857142857143</v>
      </c>
      <c r="W311" s="72">
        <v>0.930553375812172</v>
      </c>
      <c r="X311" s="74">
        <v>0.92</v>
      </c>
      <c r="Y311" s="74">
        <v>0.92318150917743</v>
      </c>
      <c r="Z311" s="74">
        <v>0.904723455793298</v>
      </c>
      <c r="AA311" s="74">
        <v>0.932892730045755</v>
      </c>
      <c r="AB311" s="74">
        <v>0.938117647058824</v>
      </c>
      <c r="AC311" s="74">
        <v>0.92</v>
      </c>
      <c r="AD311" s="72">
        <v>0.969361147327249</v>
      </c>
      <c r="AE311" s="72">
        <v>0.955079474775397</v>
      </c>
      <c r="AF311" s="72">
        <v>0.980974124809741</v>
      </c>
      <c r="AG311" s="72">
        <v>0.970400061666538</v>
      </c>
      <c r="AH311" s="74">
        <v>0.92</v>
      </c>
      <c r="AI311" s="72">
        <v>0.94977623073098</v>
      </c>
      <c r="AJ311" s="72">
        <v>0.955275102402303</v>
      </c>
      <c r="AK311" s="72">
        <v>0.964094558429973</v>
      </c>
      <c r="AL311" s="72">
        <v>0.966948663944746</v>
      </c>
      <c r="AM311" s="71">
        <v>0.99</v>
      </c>
      <c r="AN311" s="76">
        <v>1</v>
      </c>
      <c r="AO311" s="76">
        <v>1</v>
      </c>
      <c r="AP311" s="76">
        <v>1</v>
      </c>
      <c r="AQ311" s="76">
        <v>1</v>
      </c>
      <c r="AR311" s="96">
        <v>0.0922287257019438</v>
      </c>
      <c r="AS311" s="80">
        <v>0</v>
      </c>
      <c r="AT311" s="80">
        <v>0</v>
      </c>
      <c r="AU311" s="80">
        <v>0.0416666666666667</v>
      </c>
      <c r="AV311" s="80">
        <v>0.0524017467248908</v>
      </c>
      <c r="AW311" s="29"/>
      <c r="AX311" s="34"/>
    </row>
    <row r="312" s="27" customFormat="1" ht="14.5" spans="1:50">
      <c r="A312" s="32"/>
      <c r="B312" s="29"/>
      <c r="C312" s="100" t="s">
        <v>289</v>
      </c>
      <c r="D312" s="69" t="s">
        <v>15</v>
      </c>
      <c r="E312" s="101" t="s">
        <v>363</v>
      </c>
      <c r="F312" s="101" t="s">
        <v>363</v>
      </c>
      <c r="G312" s="101" t="s">
        <v>363</v>
      </c>
      <c r="H312" s="101" t="s">
        <v>363</v>
      </c>
      <c r="I312" s="71">
        <v>0.9</v>
      </c>
      <c r="J312" s="72">
        <v>0.960674157303371</v>
      </c>
      <c r="K312" s="72">
        <v>0.968253968253968</v>
      </c>
      <c r="L312" s="73">
        <v>0.984771573604061</v>
      </c>
      <c r="M312" s="72">
        <v>0.972443355786895</v>
      </c>
      <c r="N312" s="74">
        <v>0.9</v>
      </c>
      <c r="O312" s="72">
        <v>0.927228915662651</v>
      </c>
      <c r="P312" s="72">
        <v>0.97037037037037</v>
      </c>
      <c r="Q312" s="72">
        <v>0.974854154093744</v>
      </c>
      <c r="R312" s="72">
        <v>0.946367806747576</v>
      </c>
      <c r="S312" s="74">
        <v>0.9</v>
      </c>
      <c r="T312" s="72">
        <v>0.943132530120482</v>
      </c>
      <c r="U312" s="72">
        <v>0.959634997316157</v>
      </c>
      <c r="V312" s="72">
        <v>0.951015892174613</v>
      </c>
      <c r="W312" s="72">
        <v>0.943185645432902</v>
      </c>
      <c r="X312" s="74">
        <v>0.92</v>
      </c>
      <c r="Y312" s="74">
        <v>0.96490692706744</v>
      </c>
      <c r="Z312" s="74">
        <v>0.965509568313307</v>
      </c>
      <c r="AA312" s="74">
        <v>0.978723404255319</v>
      </c>
      <c r="AB312" s="74">
        <v>0.972872453876506</v>
      </c>
      <c r="AC312" s="74">
        <v>0.92</v>
      </c>
      <c r="AD312" s="72">
        <v>0.993122716526972</v>
      </c>
      <c r="AE312" s="72">
        <v>0.978348545956273</v>
      </c>
      <c r="AF312" s="72">
        <v>0.989000916590284</v>
      </c>
      <c r="AG312" s="72">
        <v>0.98541372424877</v>
      </c>
      <c r="AH312" s="74">
        <v>0.92</v>
      </c>
      <c r="AI312" s="72">
        <v>0.976295343197902</v>
      </c>
      <c r="AJ312" s="72">
        <v>0.979404534280251</v>
      </c>
      <c r="AK312" s="72">
        <v>0.986586183769282</v>
      </c>
      <c r="AL312" s="72">
        <v>0.983519074685398</v>
      </c>
      <c r="AM312" s="71">
        <v>0.99</v>
      </c>
      <c r="AN312" s="76">
        <v>1</v>
      </c>
      <c r="AO312" s="76">
        <v>1</v>
      </c>
      <c r="AP312" s="76">
        <v>1</v>
      </c>
      <c r="AQ312" s="76">
        <v>1</v>
      </c>
      <c r="AR312" s="96">
        <v>0.0922287257019438</v>
      </c>
      <c r="AS312" s="80">
        <v>0.0238095238095238</v>
      </c>
      <c r="AT312" s="80">
        <v>0.108108108108108</v>
      </c>
      <c r="AU312" s="80">
        <v>0.0975609756097561</v>
      </c>
      <c r="AV312" s="80">
        <v>0.0741839762611276</v>
      </c>
      <c r="AW312" s="29"/>
      <c r="AX312" s="34"/>
    </row>
    <row r="313" s="27" customFormat="1" ht="14.5" spans="1:50">
      <c r="A313" s="32"/>
      <c r="B313" s="29"/>
      <c r="C313" s="100" t="s">
        <v>289</v>
      </c>
      <c r="D313" s="69" t="s">
        <v>15</v>
      </c>
      <c r="E313" s="101" t="s">
        <v>364</v>
      </c>
      <c r="F313" s="101" t="s">
        <v>364</v>
      </c>
      <c r="G313" s="101" t="s">
        <v>364</v>
      </c>
      <c r="H313" s="101" t="s">
        <v>364</v>
      </c>
      <c r="I313" s="71">
        <v>0.9</v>
      </c>
      <c r="J313" s="72">
        <v>0.958333333333333</v>
      </c>
      <c r="K313" s="72">
        <v>0.95</v>
      </c>
      <c r="L313" s="73">
        <v>0.980769230769231</v>
      </c>
      <c r="M313" s="72">
        <v>0.977678571428571</v>
      </c>
      <c r="N313" s="74">
        <v>0.9</v>
      </c>
      <c r="O313" s="72">
        <v>0.958723058153721</v>
      </c>
      <c r="P313" s="72">
        <v>0.9814200398142</v>
      </c>
      <c r="Q313" s="72">
        <v>0.982772764561116</v>
      </c>
      <c r="R313" s="72">
        <v>0.968251764433646</v>
      </c>
      <c r="S313" s="74">
        <v>0.9</v>
      </c>
      <c r="T313" s="72">
        <v>0.947132980886539</v>
      </c>
      <c r="U313" s="72">
        <v>0.973678389736784</v>
      </c>
      <c r="V313" s="72">
        <v>0.965340442986054</v>
      </c>
      <c r="W313" s="72">
        <v>0.951660303135485</v>
      </c>
      <c r="X313" s="74">
        <v>0.92</v>
      </c>
      <c r="Y313" s="74">
        <v>0.958250055518543</v>
      </c>
      <c r="Z313" s="74">
        <v>0.975536579736903</v>
      </c>
      <c r="AA313" s="74">
        <v>0.968030344080195</v>
      </c>
      <c r="AB313" s="74">
        <v>0.976527912398816</v>
      </c>
      <c r="AC313" s="74">
        <v>0.92</v>
      </c>
      <c r="AD313" s="72">
        <v>0.998149518874907</v>
      </c>
      <c r="AE313" s="72">
        <v>0.999013806706114</v>
      </c>
      <c r="AF313" s="72">
        <v>0.998711340206186</v>
      </c>
      <c r="AG313" s="72">
        <v>0.998877432230168</v>
      </c>
      <c r="AH313" s="74">
        <v>0.92</v>
      </c>
      <c r="AI313" s="72">
        <v>0.971452828186353</v>
      </c>
      <c r="AJ313" s="72">
        <v>0.984417344173442</v>
      </c>
      <c r="AK313" s="72">
        <v>0.983191315513015</v>
      </c>
      <c r="AL313" s="72">
        <v>0.985172354487605</v>
      </c>
      <c r="AM313" s="71">
        <v>0.99</v>
      </c>
      <c r="AN313" s="76">
        <v>1</v>
      </c>
      <c r="AO313" s="76">
        <v>1</v>
      </c>
      <c r="AP313" s="76">
        <v>1</v>
      </c>
      <c r="AQ313" s="76">
        <v>1</v>
      </c>
      <c r="AR313" s="96">
        <v>0.0922287257019438</v>
      </c>
      <c r="AS313" s="80">
        <v>0</v>
      </c>
      <c r="AT313" s="80">
        <v>0.142857142857143</v>
      </c>
      <c r="AU313" s="80">
        <v>0</v>
      </c>
      <c r="AV313" s="80">
        <v>0.0625</v>
      </c>
      <c r="AW313" s="29"/>
      <c r="AX313" s="34"/>
    </row>
    <row r="314" s="27" customFormat="1" ht="14.5" spans="1:50">
      <c r="A314" s="32"/>
      <c r="B314" s="29"/>
      <c r="C314" s="100" t="s">
        <v>289</v>
      </c>
      <c r="D314" s="69" t="s">
        <v>15</v>
      </c>
      <c r="E314" s="101" t="s">
        <v>365</v>
      </c>
      <c r="F314" s="101" t="s">
        <v>365</v>
      </c>
      <c r="G314" s="101" t="s">
        <v>365</v>
      </c>
      <c r="H314" s="101" t="s">
        <v>365</v>
      </c>
      <c r="I314" s="71">
        <v>0.9</v>
      </c>
      <c r="J314" s="72">
        <v>1</v>
      </c>
      <c r="K314" s="72">
        <v>0.973333333333333</v>
      </c>
      <c r="L314" s="73">
        <v>0.988372093023256</v>
      </c>
      <c r="M314" s="72">
        <v>0.990527740189445</v>
      </c>
      <c r="N314" s="74">
        <v>0.9</v>
      </c>
      <c r="O314" s="72">
        <v>0.963221195746906</v>
      </c>
      <c r="P314" s="72">
        <v>0.976216814159292</v>
      </c>
      <c r="Q314" s="72">
        <v>0.975717439293598</v>
      </c>
      <c r="R314" s="72">
        <v>0.967134210078518</v>
      </c>
      <c r="S314" s="74">
        <v>0.9</v>
      </c>
      <c r="T314" s="72">
        <v>0.95921213177619</v>
      </c>
      <c r="U314" s="72">
        <v>0.978982300884956</v>
      </c>
      <c r="V314" s="72">
        <v>0.967868530782438</v>
      </c>
      <c r="W314" s="72">
        <v>0.960181831441282</v>
      </c>
      <c r="X314" s="74">
        <v>0.92</v>
      </c>
      <c r="Y314" s="74">
        <v>0.971974522292994</v>
      </c>
      <c r="Z314" s="74">
        <v>0.966403162055336</v>
      </c>
      <c r="AA314" s="74">
        <v>0.978295563357804</v>
      </c>
      <c r="AB314" s="74">
        <v>0.971535399831142</v>
      </c>
      <c r="AC314" s="74">
        <v>0.92</v>
      </c>
      <c r="AD314" s="72">
        <v>0.709119496855346</v>
      </c>
      <c r="AE314" s="72">
        <v>0.993329627570873</v>
      </c>
      <c r="AF314" s="72">
        <v>0.984687868080094</v>
      </c>
      <c r="AG314" s="72">
        <v>0.957527975584944</v>
      </c>
      <c r="AH314" s="74">
        <v>0.92</v>
      </c>
      <c r="AI314" s="72">
        <v>0.976643598615917</v>
      </c>
      <c r="AJ314" s="72">
        <v>0.982624113475177</v>
      </c>
      <c r="AK314" s="72">
        <v>0.982667775929007</v>
      </c>
      <c r="AL314" s="72">
        <v>0.981276982503976</v>
      </c>
      <c r="AM314" s="71">
        <v>0.99</v>
      </c>
      <c r="AN314" s="76">
        <v>1</v>
      </c>
      <c r="AO314" s="76">
        <v>1</v>
      </c>
      <c r="AP314" s="76">
        <v>1</v>
      </c>
      <c r="AQ314" s="76">
        <v>1</v>
      </c>
      <c r="AR314" s="96">
        <v>0.0922287257019438</v>
      </c>
      <c r="AS314" s="80">
        <v>0.166666666666667</v>
      </c>
      <c r="AT314" s="80">
        <v>0.125</v>
      </c>
      <c r="AU314" s="80">
        <v>0.105263157894737</v>
      </c>
      <c r="AV314" s="80">
        <v>0.105691056910569</v>
      </c>
      <c r="AW314" s="29"/>
      <c r="AX314" s="34"/>
    </row>
    <row r="315" s="27" customFormat="1" ht="14.5" spans="1:50">
      <c r="A315" s="32"/>
      <c r="B315" s="29"/>
      <c r="C315" s="100" t="s">
        <v>289</v>
      </c>
      <c r="D315" s="69" t="s">
        <v>15</v>
      </c>
      <c r="E315" s="101" t="s">
        <v>366</v>
      </c>
      <c r="F315" s="101" t="s">
        <v>366</v>
      </c>
      <c r="G315" s="101" t="s">
        <v>366</v>
      </c>
      <c r="H315" s="101" t="s">
        <v>366</v>
      </c>
      <c r="I315" s="71">
        <v>0.9</v>
      </c>
      <c r="J315" s="72">
        <v>0</v>
      </c>
      <c r="K315" s="72">
        <v>0</v>
      </c>
      <c r="L315" s="73">
        <v>0</v>
      </c>
      <c r="M315" s="72">
        <v>0</v>
      </c>
      <c r="N315" s="74">
        <v>0.9</v>
      </c>
      <c r="O315" s="72">
        <v>0</v>
      </c>
      <c r="P315" s="72">
        <v>0</v>
      </c>
      <c r="Q315" s="72">
        <v>0</v>
      </c>
      <c r="R315" s="72">
        <v>0</v>
      </c>
      <c r="S315" s="74">
        <v>0.9</v>
      </c>
      <c r="T315" s="72">
        <v>0</v>
      </c>
      <c r="U315" s="72">
        <v>0</v>
      </c>
      <c r="V315" s="72">
        <v>0</v>
      </c>
      <c r="W315" s="72">
        <v>0</v>
      </c>
      <c r="X315" s="74">
        <v>0.92</v>
      </c>
      <c r="Y315" s="74">
        <v>0</v>
      </c>
      <c r="Z315" s="74">
        <v>0</v>
      </c>
      <c r="AA315" s="74">
        <v>0</v>
      </c>
      <c r="AB315" s="74">
        <v>0</v>
      </c>
      <c r="AC315" s="74">
        <v>0.92</v>
      </c>
      <c r="AD315" s="72">
        <v>0.889285714285714</v>
      </c>
      <c r="AE315" s="72">
        <v>0.976109215017065</v>
      </c>
      <c r="AF315" s="72">
        <v>0.982142857142857</v>
      </c>
      <c r="AG315" s="72">
        <v>0.976444014198128</v>
      </c>
      <c r="AH315" s="74">
        <v>0.92</v>
      </c>
      <c r="AI315" s="72">
        <v>0</v>
      </c>
      <c r="AJ315" s="72">
        <v>0</v>
      </c>
      <c r="AK315" s="72">
        <v>0</v>
      </c>
      <c r="AL315" s="72">
        <v>0</v>
      </c>
      <c r="AM315" s="71">
        <v>0.99</v>
      </c>
      <c r="AN315" s="76">
        <v>1</v>
      </c>
      <c r="AO315" s="76">
        <v>0</v>
      </c>
      <c r="AP315" s="76">
        <v>0</v>
      </c>
      <c r="AQ315" s="76">
        <v>1</v>
      </c>
      <c r="AR315" s="96">
        <v>0.0922287257019438</v>
      </c>
      <c r="AS315" s="80">
        <v>0</v>
      </c>
      <c r="AT315" s="80">
        <v>0</v>
      </c>
      <c r="AU315" s="80">
        <v>0</v>
      </c>
      <c r="AV315" s="80">
        <v>0</v>
      </c>
      <c r="AW315" s="29"/>
      <c r="AX315" s="34"/>
    </row>
    <row r="316" s="27" customFormat="1" ht="14.5" spans="1:50">
      <c r="A316" s="32"/>
      <c r="B316" s="29"/>
      <c r="C316" s="100" t="s">
        <v>289</v>
      </c>
      <c r="D316" s="69" t="s">
        <v>15</v>
      </c>
      <c r="E316" s="101" t="s">
        <v>367</v>
      </c>
      <c r="F316" s="101" t="s">
        <v>367</v>
      </c>
      <c r="G316" s="101" t="s">
        <v>367</v>
      </c>
      <c r="H316" s="101" t="s">
        <v>367</v>
      </c>
      <c r="I316" s="71">
        <v>0.9</v>
      </c>
      <c r="J316" s="72">
        <v>0</v>
      </c>
      <c r="K316" s="72">
        <v>0</v>
      </c>
      <c r="L316" s="73">
        <v>0</v>
      </c>
      <c r="M316" s="72">
        <v>0</v>
      </c>
      <c r="N316" s="74">
        <v>0.9</v>
      </c>
      <c r="O316" s="72">
        <v>0</v>
      </c>
      <c r="P316" s="72">
        <v>0</v>
      </c>
      <c r="Q316" s="72">
        <v>0</v>
      </c>
      <c r="R316" s="72">
        <v>0.0588235294117647</v>
      </c>
      <c r="S316" s="74">
        <v>0.9</v>
      </c>
      <c r="T316" s="72">
        <v>0</v>
      </c>
      <c r="U316" s="72">
        <v>0</v>
      </c>
      <c r="V316" s="72">
        <v>1</v>
      </c>
      <c r="W316" s="72">
        <v>0.852941176470588</v>
      </c>
      <c r="X316" s="74">
        <v>0.92</v>
      </c>
      <c r="Y316" s="74">
        <v>0</v>
      </c>
      <c r="Z316" s="74">
        <v>0</v>
      </c>
      <c r="AA316" s="74">
        <v>0</v>
      </c>
      <c r="AB316" s="74">
        <v>0</v>
      </c>
      <c r="AC316" s="74">
        <v>0.92</v>
      </c>
      <c r="AD316" s="72">
        <v>0.999928805353837</v>
      </c>
      <c r="AE316" s="72">
        <v>0.999897519983603</v>
      </c>
      <c r="AF316" s="72">
        <v>0.999731002017485</v>
      </c>
      <c r="AG316" s="72">
        <v>0.999750517507602</v>
      </c>
      <c r="AH316" s="74">
        <v>0.92</v>
      </c>
      <c r="AI316" s="72">
        <v>1</v>
      </c>
      <c r="AJ316" s="72">
        <v>0</v>
      </c>
      <c r="AK316" s="72">
        <v>0.5</v>
      </c>
      <c r="AL316" s="72">
        <v>0.868421052631579</v>
      </c>
      <c r="AM316" s="71">
        <v>0.99</v>
      </c>
      <c r="AN316" s="76">
        <v>1</v>
      </c>
      <c r="AO316" s="76">
        <v>1</v>
      </c>
      <c r="AP316" s="76">
        <v>0</v>
      </c>
      <c r="AQ316" s="76">
        <v>1</v>
      </c>
      <c r="AR316" s="96">
        <v>0.0922287257019438</v>
      </c>
      <c r="AS316" s="80">
        <v>0</v>
      </c>
      <c r="AT316" s="80">
        <v>0</v>
      </c>
      <c r="AU316" s="80">
        <v>0</v>
      </c>
      <c r="AV316" s="80">
        <v>0</v>
      </c>
      <c r="AW316" s="29"/>
      <c r="AX316" s="34"/>
    </row>
    <row r="317" s="27" customFormat="1" ht="14.5" spans="1:50">
      <c r="A317" s="32"/>
      <c r="B317" s="29"/>
      <c r="C317" s="100" t="s">
        <v>289</v>
      </c>
      <c r="D317" s="69" t="s">
        <v>15</v>
      </c>
      <c r="E317" s="101" t="s">
        <v>368</v>
      </c>
      <c r="F317" s="101" t="s">
        <v>368</v>
      </c>
      <c r="G317" s="101" t="s">
        <v>368</v>
      </c>
      <c r="H317" s="101" t="s">
        <v>368</v>
      </c>
      <c r="I317" s="71">
        <v>0.9</v>
      </c>
      <c r="J317" s="72">
        <v>0</v>
      </c>
      <c r="K317" s="72">
        <v>0</v>
      </c>
      <c r="L317" s="73">
        <v>0</v>
      </c>
      <c r="M317" s="72">
        <v>0</v>
      </c>
      <c r="N317" s="74">
        <v>0.9</v>
      </c>
      <c r="O317" s="72">
        <v>0</v>
      </c>
      <c r="P317" s="72">
        <v>1</v>
      </c>
      <c r="Q317" s="72">
        <v>0</v>
      </c>
      <c r="R317" s="72">
        <v>0.666666666666667</v>
      </c>
      <c r="S317" s="74">
        <v>0.9</v>
      </c>
      <c r="T317" s="72">
        <v>0</v>
      </c>
      <c r="U317" s="72">
        <v>0</v>
      </c>
      <c r="V317" s="72">
        <v>0</v>
      </c>
      <c r="W317" s="72">
        <v>0</v>
      </c>
      <c r="X317" s="74">
        <v>0.92</v>
      </c>
      <c r="Y317" s="74">
        <v>0</v>
      </c>
      <c r="Z317" s="74">
        <v>0</v>
      </c>
      <c r="AA317" s="74">
        <v>0</v>
      </c>
      <c r="AB317" s="74">
        <v>1</v>
      </c>
      <c r="AC317" s="74">
        <v>0.92</v>
      </c>
      <c r="AD317" s="72">
        <v>0.99981778425656</v>
      </c>
      <c r="AE317" s="72">
        <v>0.999521072796935</v>
      </c>
      <c r="AF317" s="72">
        <v>0.999142787166299</v>
      </c>
      <c r="AG317" s="72">
        <v>0.998552250592261</v>
      </c>
      <c r="AH317" s="74">
        <v>0.92</v>
      </c>
      <c r="AI317" s="72">
        <v>0</v>
      </c>
      <c r="AJ317" s="72">
        <v>0</v>
      </c>
      <c r="AK317" s="72">
        <v>0</v>
      </c>
      <c r="AL317" s="72">
        <v>0.25</v>
      </c>
      <c r="AM317" s="71">
        <v>0.99</v>
      </c>
      <c r="AN317" s="76">
        <v>1</v>
      </c>
      <c r="AO317" s="76">
        <v>0</v>
      </c>
      <c r="AP317" s="76">
        <v>1</v>
      </c>
      <c r="AQ317" s="76">
        <v>1</v>
      </c>
      <c r="AR317" s="96">
        <v>0.0922287257019438</v>
      </c>
      <c r="AS317" s="80">
        <v>0</v>
      </c>
      <c r="AT317" s="80">
        <v>0</v>
      </c>
      <c r="AU317" s="80">
        <v>0</v>
      </c>
      <c r="AV317" s="80">
        <v>0</v>
      </c>
      <c r="AW317" s="29"/>
      <c r="AX317" s="34"/>
    </row>
    <row r="318" s="27" customFormat="1" ht="14.5" spans="1:50">
      <c r="A318" s="32"/>
      <c r="B318" s="29"/>
      <c r="C318" s="100" t="s">
        <v>289</v>
      </c>
      <c r="D318" s="69" t="s">
        <v>15</v>
      </c>
      <c r="E318" s="101" t="s">
        <v>369</v>
      </c>
      <c r="F318" s="101" t="s">
        <v>369</v>
      </c>
      <c r="G318" s="101" t="s">
        <v>369</v>
      </c>
      <c r="H318" s="101" t="s">
        <v>369</v>
      </c>
      <c r="I318" s="71">
        <v>0.9</v>
      </c>
      <c r="J318" s="72">
        <v>0</v>
      </c>
      <c r="K318" s="72">
        <v>0</v>
      </c>
      <c r="L318" s="73">
        <v>0</v>
      </c>
      <c r="M318" s="72">
        <v>0</v>
      </c>
      <c r="N318" s="74">
        <v>0.9</v>
      </c>
      <c r="O318" s="72">
        <v>0</v>
      </c>
      <c r="P318" s="72">
        <v>0</v>
      </c>
      <c r="Q318" s="72">
        <v>0</v>
      </c>
      <c r="R318" s="72">
        <v>0</v>
      </c>
      <c r="S318" s="74">
        <v>0.9</v>
      </c>
      <c r="T318" s="72">
        <v>0.5</v>
      </c>
      <c r="U318" s="72">
        <v>0</v>
      </c>
      <c r="V318" s="72">
        <v>0</v>
      </c>
      <c r="W318" s="72">
        <v>0.5</v>
      </c>
      <c r="X318" s="74">
        <v>0.92</v>
      </c>
      <c r="Y318" s="74">
        <v>0</v>
      </c>
      <c r="Z318" s="74">
        <v>0</v>
      </c>
      <c r="AA318" s="74">
        <v>0</v>
      </c>
      <c r="AB318" s="74">
        <v>0</v>
      </c>
      <c r="AC318" s="74">
        <v>0.92</v>
      </c>
      <c r="AD318" s="72">
        <v>0.998104864181933</v>
      </c>
      <c r="AE318" s="72">
        <v>0.979755462016436</v>
      </c>
      <c r="AF318" s="72">
        <v>0.975774225774226</v>
      </c>
      <c r="AG318" s="72">
        <v>0.960803220596389</v>
      </c>
      <c r="AH318" s="74">
        <v>0.92</v>
      </c>
      <c r="AI318" s="72">
        <v>0.5</v>
      </c>
      <c r="AJ318" s="72">
        <v>0</v>
      </c>
      <c r="AK318" s="72">
        <v>0</v>
      </c>
      <c r="AL318" s="72">
        <v>0.333333333333333</v>
      </c>
      <c r="AM318" s="71">
        <v>0.99</v>
      </c>
      <c r="AN318" s="76">
        <v>1</v>
      </c>
      <c r="AO318" s="76">
        <v>1</v>
      </c>
      <c r="AP318" s="76">
        <v>1</v>
      </c>
      <c r="AQ318" s="76">
        <v>1</v>
      </c>
      <c r="AR318" s="96">
        <v>0.0922287257019438</v>
      </c>
      <c r="AS318" s="80">
        <v>0</v>
      </c>
      <c r="AT318" s="80">
        <v>0</v>
      </c>
      <c r="AU318" s="80">
        <v>0</v>
      </c>
      <c r="AV318" s="80">
        <v>0</v>
      </c>
      <c r="AW318" s="29"/>
      <c r="AX318" s="34"/>
    </row>
    <row r="319" s="27" customFormat="1" ht="14.5" spans="1:50">
      <c r="A319" s="32"/>
      <c r="B319" s="29"/>
      <c r="C319" s="100" t="s">
        <v>289</v>
      </c>
      <c r="D319" s="69" t="s">
        <v>15</v>
      </c>
      <c r="E319" s="101" t="s">
        <v>370</v>
      </c>
      <c r="F319" s="101" t="s">
        <v>370</v>
      </c>
      <c r="G319" s="101" t="s">
        <v>370</v>
      </c>
      <c r="H319" s="101" t="s">
        <v>370</v>
      </c>
      <c r="I319" s="71">
        <v>0.9</v>
      </c>
      <c r="J319" s="72">
        <v>0</v>
      </c>
      <c r="K319" s="72">
        <v>0</v>
      </c>
      <c r="L319" s="73">
        <v>0</v>
      </c>
      <c r="M319" s="72">
        <v>0</v>
      </c>
      <c r="N319" s="74">
        <v>0.9</v>
      </c>
      <c r="O319" s="72">
        <v>0</v>
      </c>
      <c r="P319" s="72">
        <v>0.5</v>
      </c>
      <c r="Q319" s="72">
        <v>0</v>
      </c>
      <c r="R319" s="72">
        <v>0.333333333333333</v>
      </c>
      <c r="S319" s="74">
        <v>0.9</v>
      </c>
      <c r="T319" s="72">
        <v>0</v>
      </c>
      <c r="U319" s="72">
        <v>0.5</v>
      </c>
      <c r="V319" s="72">
        <v>0</v>
      </c>
      <c r="W319" s="72">
        <v>0.666666666666667</v>
      </c>
      <c r="X319" s="74">
        <v>0.92</v>
      </c>
      <c r="Y319" s="74">
        <v>0</v>
      </c>
      <c r="Z319" s="74">
        <v>0</v>
      </c>
      <c r="AA319" s="74">
        <v>0</v>
      </c>
      <c r="AB319" s="74">
        <v>0</v>
      </c>
      <c r="AC319" s="74">
        <v>0.92</v>
      </c>
      <c r="AD319" s="72">
        <v>0.999609222352481</v>
      </c>
      <c r="AE319" s="72">
        <v>0.999305362600722</v>
      </c>
      <c r="AF319" s="72">
        <v>0.999380421313507</v>
      </c>
      <c r="AG319" s="72">
        <v>0.966682270900257</v>
      </c>
      <c r="AH319" s="74">
        <v>0.92</v>
      </c>
      <c r="AI319" s="72">
        <v>0</v>
      </c>
      <c r="AJ319" s="72">
        <v>0.5</v>
      </c>
      <c r="AK319" s="72">
        <v>0</v>
      </c>
      <c r="AL319" s="72">
        <v>0.666666666666667</v>
      </c>
      <c r="AM319" s="71">
        <v>0.99</v>
      </c>
      <c r="AN319" s="76">
        <v>1</v>
      </c>
      <c r="AO319" s="76">
        <v>1</v>
      </c>
      <c r="AP319" s="76">
        <v>1</v>
      </c>
      <c r="AQ319" s="76">
        <v>1</v>
      </c>
      <c r="AR319" s="96">
        <v>0.0922287257019438</v>
      </c>
      <c r="AS319" s="80">
        <v>0</v>
      </c>
      <c r="AT319" s="80">
        <v>0</v>
      </c>
      <c r="AU319" s="80">
        <v>0</v>
      </c>
      <c r="AV319" s="80">
        <v>0</v>
      </c>
      <c r="AW319" s="29"/>
      <c r="AX319" s="34"/>
    </row>
    <row r="320" s="27" customFormat="1" ht="14.5" spans="1:50">
      <c r="A320" s="32"/>
      <c r="B320" s="29"/>
      <c r="C320" s="100" t="s">
        <v>289</v>
      </c>
      <c r="D320" s="69" t="s">
        <v>15</v>
      </c>
      <c r="E320" s="101" t="s">
        <v>371</v>
      </c>
      <c r="F320" s="101" t="s">
        <v>371</v>
      </c>
      <c r="G320" s="101" t="s">
        <v>371</v>
      </c>
      <c r="H320" s="101" t="s">
        <v>371</v>
      </c>
      <c r="I320" s="71">
        <v>0.9</v>
      </c>
      <c r="J320" s="72">
        <v>0</v>
      </c>
      <c r="K320" s="72">
        <v>0</v>
      </c>
      <c r="L320" s="73">
        <v>0</v>
      </c>
      <c r="M320" s="72">
        <v>0</v>
      </c>
      <c r="N320" s="74">
        <v>0.9</v>
      </c>
      <c r="O320" s="72">
        <v>1</v>
      </c>
      <c r="P320" s="72">
        <v>0</v>
      </c>
      <c r="Q320" s="72">
        <v>0</v>
      </c>
      <c r="R320" s="72">
        <v>0.5</v>
      </c>
      <c r="S320" s="74">
        <v>0.9</v>
      </c>
      <c r="T320" s="72">
        <v>0.5</v>
      </c>
      <c r="U320" s="72">
        <v>0.5</v>
      </c>
      <c r="V320" s="72">
        <v>0</v>
      </c>
      <c r="W320" s="72">
        <v>0.75</v>
      </c>
      <c r="X320" s="74">
        <v>0.92</v>
      </c>
      <c r="Y320" s="74">
        <v>0</v>
      </c>
      <c r="Z320" s="74">
        <v>0</v>
      </c>
      <c r="AA320" s="74">
        <v>0</v>
      </c>
      <c r="AB320" s="74">
        <v>0</v>
      </c>
      <c r="AC320" s="74">
        <v>0.92</v>
      </c>
      <c r="AD320" s="72">
        <v>0.994325419803127</v>
      </c>
      <c r="AE320" s="72">
        <v>0.958917616126205</v>
      </c>
      <c r="AF320" s="72">
        <v>0.963819771351715</v>
      </c>
      <c r="AG320" s="72">
        <v>0.983556597001178</v>
      </c>
      <c r="AH320" s="74">
        <v>0.92</v>
      </c>
      <c r="AI320" s="72">
        <v>0.5</v>
      </c>
      <c r="AJ320" s="72">
        <v>0.5</v>
      </c>
      <c r="AK320" s="72">
        <v>1</v>
      </c>
      <c r="AL320" s="72">
        <v>0.8</v>
      </c>
      <c r="AM320" s="71">
        <v>0.99</v>
      </c>
      <c r="AN320" s="76">
        <v>0</v>
      </c>
      <c r="AO320" s="76">
        <v>0</v>
      </c>
      <c r="AP320" s="76">
        <v>0</v>
      </c>
      <c r="AQ320" s="76">
        <v>1</v>
      </c>
      <c r="AR320" s="96">
        <v>0.0922287257019438</v>
      </c>
      <c r="AS320" s="80">
        <v>0</v>
      </c>
      <c r="AT320" s="80">
        <v>0</v>
      </c>
      <c r="AU320" s="80">
        <v>0</v>
      </c>
      <c r="AV320" s="80">
        <v>0</v>
      </c>
      <c r="AW320" s="29"/>
      <c r="AX320" s="34"/>
    </row>
    <row r="321" s="27" customFormat="1" ht="14.5" spans="1:50">
      <c r="A321" s="32"/>
      <c r="B321" s="29"/>
      <c r="C321" s="100" t="s">
        <v>289</v>
      </c>
      <c r="D321" s="69" t="s">
        <v>15</v>
      </c>
      <c r="E321" s="101" t="s">
        <v>372</v>
      </c>
      <c r="F321" s="101" t="s">
        <v>372</v>
      </c>
      <c r="G321" s="101" t="s">
        <v>372</v>
      </c>
      <c r="H321" s="101" t="s">
        <v>372</v>
      </c>
      <c r="I321" s="71">
        <v>0.9</v>
      </c>
      <c r="J321" s="72">
        <v>0.934579439252336</v>
      </c>
      <c r="K321" s="72">
        <v>0.981481481481482</v>
      </c>
      <c r="L321" s="73">
        <v>0.966101694915254</v>
      </c>
      <c r="M321" s="72">
        <v>0.961538461538462</v>
      </c>
      <c r="N321" s="74">
        <v>0.9</v>
      </c>
      <c r="O321" s="72">
        <v>0.957449919578886</v>
      </c>
      <c r="P321" s="72">
        <v>0.974755443357526</v>
      </c>
      <c r="Q321" s="72">
        <v>0.977830940988836</v>
      </c>
      <c r="R321" s="72">
        <v>0.968124355230718</v>
      </c>
      <c r="S321" s="74">
        <v>0.9</v>
      </c>
      <c r="T321" s="72">
        <v>0.955549056879661</v>
      </c>
      <c r="U321" s="72">
        <v>0.969706532029031</v>
      </c>
      <c r="V321" s="72">
        <v>0.968102073365231</v>
      </c>
      <c r="W321" s="72">
        <v>0.957930443601266</v>
      </c>
      <c r="X321" s="74">
        <v>0.92</v>
      </c>
      <c r="Y321" s="74">
        <v>0.96586277173913</v>
      </c>
      <c r="Z321" s="74">
        <v>0.974248927038627</v>
      </c>
      <c r="AA321" s="74">
        <v>0.979946797626356</v>
      </c>
      <c r="AB321" s="74">
        <v>0.977318548387097</v>
      </c>
      <c r="AC321" s="74">
        <v>0.92</v>
      </c>
      <c r="AD321" s="72">
        <v>0.975322054943349</v>
      </c>
      <c r="AE321" s="72">
        <v>0.867402190286203</v>
      </c>
      <c r="AF321" s="72">
        <v>0.969391926417987</v>
      </c>
      <c r="AG321" s="72">
        <v>0.880651831045571</v>
      </c>
      <c r="AH321" s="74">
        <v>0.92</v>
      </c>
      <c r="AI321" s="72">
        <v>0.976744186046512</v>
      </c>
      <c r="AJ321" s="72">
        <v>0.984829435923225</v>
      </c>
      <c r="AK321" s="72">
        <v>0.988978494623656</v>
      </c>
      <c r="AL321" s="72">
        <v>0.986320318238622</v>
      </c>
      <c r="AM321" s="71">
        <v>0.99</v>
      </c>
      <c r="AN321" s="76">
        <v>1</v>
      </c>
      <c r="AO321" s="76">
        <v>1</v>
      </c>
      <c r="AP321" s="76">
        <v>1</v>
      </c>
      <c r="AQ321" s="76">
        <v>1</v>
      </c>
      <c r="AR321" s="96">
        <v>0.0922287257019438</v>
      </c>
      <c r="AS321" s="80">
        <v>0.0277777777777778</v>
      </c>
      <c r="AT321" s="80">
        <v>0</v>
      </c>
      <c r="AU321" s="80">
        <v>0</v>
      </c>
      <c r="AV321" s="80">
        <v>0.0293040293040293</v>
      </c>
      <c r="AW321" s="29"/>
      <c r="AX321" s="34"/>
    </row>
    <row r="322" s="27" customFormat="1" ht="14.5" spans="1:50">
      <c r="A322" s="32"/>
      <c r="B322" s="29"/>
      <c r="C322" s="100" t="s">
        <v>289</v>
      </c>
      <c r="D322" s="69" t="s">
        <v>15</v>
      </c>
      <c r="E322" s="101" t="s">
        <v>373</v>
      </c>
      <c r="F322" s="101" t="s">
        <v>373</v>
      </c>
      <c r="G322" s="101" t="s">
        <v>373</v>
      </c>
      <c r="H322" s="101" t="s">
        <v>373</v>
      </c>
      <c r="I322" s="71">
        <v>0.9</v>
      </c>
      <c r="J322" s="72">
        <v>0</v>
      </c>
      <c r="K322" s="72">
        <v>0</v>
      </c>
      <c r="L322" s="73">
        <v>0</v>
      </c>
      <c r="M322" s="72">
        <v>0</v>
      </c>
      <c r="N322" s="74">
        <v>0.9</v>
      </c>
      <c r="O322" s="72">
        <v>0</v>
      </c>
      <c r="P322" s="72">
        <v>0</v>
      </c>
      <c r="Q322" s="72">
        <v>0</v>
      </c>
      <c r="R322" s="72">
        <v>0</v>
      </c>
      <c r="S322" s="74">
        <v>0.9</v>
      </c>
      <c r="T322" s="72">
        <v>0</v>
      </c>
      <c r="U322" s="72">
        <v>0</v>
      </c>
      <c r="V322" s="72">
        <v>0</v>
      </c>
      <c r="W322" s="72">
        <v>0</v>
      </c>
      <c r="X322" s="74">
        <v>0.92</v>
      </c>
      <c r="Y322" s="74">
        <v>0</v>
      </c>
      <c r="Z322" s="74">
        <v>0</v>
      </c>
      <c r="AA322" s="74">
        <v>0</v>
      </c>
      <c r="AB322" s="74">
        <v>0</v>
      </c>
      <c r="AC322" s="74">
        <v>0.92</v>
      </c>
      <c r="AD322" s="72">
        <v>0.79070981210856</v>
      </c>
      <c r="AE322" s="72">
        <v>0.961145194274029</v>
      </c>
      <c r="AF322" s="72">
        <v>0.978586723768737</v>
      </c>
      <c r="AG322" s="72">
        <v>0.898610125850608</v>
      </c>
      <c r="AH322" s="74">
        <v>0.92</v>
      </c>
      <c r="AI322" s="72">
        <v>0</v>
      </c>
      <c r="AJ322" s="72">
        <v>0</v>
      </c>
      <c r="AK322" s="72">
        <v>0</v>
      </c>
      <c r="AL322" s="72">
        <v>0.333333333333333</v>
      </c>
      <c r="AM322" s="71">
        <v>0.99</v>
      </c>
      <c r="AN322" s="76">
        <v>1</v>
      </c>
      <c r="AO322" s="76">
        <v>1</v>
      </c>
      <c r="AP322" s="76">
        <v>1</v>
      </c>
      <c r="AQ322" s="76">
        <v>1</v>
      </c>
      <c r="AR322" s="96">
        <v>0.0922287257019438</v>
      </c>
      <c r="AS322" s="80">
        <v>0</v>
      </c>
      <c r="AT322" s="80">
        <v>0</v>
      </c>
      <c r="AU322" s="80">
        <v>0</v>
      </c>
      <c r="AV322" s="80">
        <v>0</v>
      </c>
      <c r="AW322" s="29"/>
      <c r="AX322" s="34"/>
    </row>
    <row r="323" s="27" customFormat="1" ht="14.5" spans="1:50">
      <c r="A323" s="32"/>
      <c r="B323" s="29"/>
      <c r="C323" s="100" t="s">
        <v>289</v>
      </c>
      <c r="D323" s="69" t="s">
        <v>15</v>
      </c>
      <c r="E323" s="101" t="s">
        <v>374</v>
      </c>
      <c r="F323" s="101" t="s">
        <v>374</v>
      </c>
      <c r="G323" s="101" t="s">
        <v>374</v>
      </c>
      <c r="H323" s="101" t="s">
        <v>374</v>
      </c>
      <c r="I323" s="71">
        <v>0.9</v>
      </c>
      <c r="J323" s="72">
        <v>0.642857142857143</v>
      </c>
      <c r="K323" s="72">
        <v>0.655172413793103</v>
      </c>
      <c r="L323" s="73">
        <v>0.607142857142857</v>
      </c>
      <c r="M323" s="72">
        <v>0.735772357723577</v>
      </c>
      <c r="N323" s="74">
        <v>0.9</v>
      </c>
      <c r="O323" s="72">
        <v>0.890631282669883</v>
      </c>
      <c r="P323" s="72">
        <v>0.966073645014481</v>
      </c>
      <c r="Q323" s="72">
        <v>0.930623973727422</v>
      </c>
      <c r="R323" s="72">
        <v>0.93778791121865</v>
      </c>
      <c r="S323" s="74">
        <v>0.9</v>
      </c>
      <c r="T323" s="72">
        <v>0.897466827503016</v>
      </c>
      <c r="U323" s="72">
        <v>0.921803889118742</v>
      </c>
      <c r="V323" s="72">
        <v>0.915435139573071</v>
      </c>
      <c r="W323" s="72">
        <v>0.910985994137081</v>
      </c>
      <c r="X323" s="74">
        <v>0.92</v>
      </c>
      <c r="Y323" s="74">
        <v>0.897493036211699</v>
      </c>
      <c r="Z323" s="74">
        <v>0.949381327334083</v>
      </c>
      <c r="AA323" s="74">
        <v>0.927631578947368</v>
      </c>
      <c r="AB323" s="74">
        <v>0.937511992324912</v>
      </c>
      <c r="AC323" s="74">
        <v>0.92</v>
      </c>
      <c r="AD323" s="72">
        <v>0.999875332446808</v>
      </c>
      <c r="AE323" s="72">
        <v>0.999939311181915</v>
      </c>
      <c r="AF323" s="72">
        <v>0.999923960155121</v>
      </c>
      <c r="AG323" s="72">
        <v>0.999946036371486</v>
      </c>
      <c r="AH323" s="74">
        <v>0.92</v>
      </c>
      <c r="AI323" s="72">
        <v>0.932306255835668</v>
      </c>
      <c r="AJ323" s="72">
        <v>0.967580452920143</v>
      </c>
      <c r="AK323" s="72">
        <v>0.958860759493671</v>
      </c>
      <c r="AL323" s="72">
        <v>0.960629073086659</v>
      </c>
      <c r="AM323" s="71">
        <v>0.99</v>
      </c>
      <c r="AN323" s="76">
        <v>1</v>
      </c>
      <c r="AO323" s="76">
        <v>1</v>
      </c>
      <c r="AP323" s="76">
        <v>1</v>
      </c>
      <c r="AQ323" s="76">
        <v>1</v>
      </c>
      <c r="AR323" s="96">
        <v>0.0922287257019438</v>
      </c>
      <c r="AS323" s="80">
        <v>0.0666666666666667</v>
      </c>
      <c r="AT323" s="80">
        <v>0.181818181818182</v>
      </c>
      <c r="AU323" s="80">
        <v>0.4</v>
      </c>
      <c r="AV323" s="80">
        <v>0.0989010989010989</v>
      </c>
      <c r="AW323" s="29"/>
      <c r="AX323" s="34"/>
    </row>
    <row r="324" s="27" customFormat="1" ht="14.5" spans="1:50">
      <c r="A324" s="32"/>
      <c r="B324" s="29"/>
      <c r="C324" s="100" t="s">
        <v>289</v>
      </c>
      <c r="D324" s="69" t="s">
        <v>15</v>
      </c>
      <c r="E324" s="101" t="s">
        <v>375</v>
      </c>
      <c r="F324" s="101" t="s">
        <v>375</v>
      </c>
      <c r="G324" s="101" t="s">
        <v>375</v>
      </c>
      <c r="H324" s="101" t="s">
        <v>375</v>
      </c>
      <c r="I324" s="71">
        <v>0.9</v>
      </c>
      <c r="J324" s="72">
        <v>0.96</v>
      </c>
      <c r="K324" s="72">
        <v>0.967741935483871</v>
      </c>
      <c r="L324" s="73">
        <v>0.966666666666667</v>
      </c>
      <c r="M324" s="72">
        <v>0.920318725099602</v>
      </c>
      <c r="N324" s="74">
        <v>0.9</v>
      </c>
      <c r="O324" s="72">
        <v>0.946463978849967</v>
      </c>
      <c r="P324" s="72">
        <v>0.974904942965779</v>
      </c>
      <c r="Q324" s="72">
        <v>0.986156888595913</v>
      </c>
      <c r="R324" s="72">
        <v>0.952367100574504</v>
      </c>
      <c r="S324" s="74">
        <v>0.9</v>
      </c>
      <c r="T324" s="72">
        <v>0.86186384666226</v>
      </c>
      <c r="U324" s="72">
        <v>0.914068441064639</v>
      </c>
      <c r="V324" s="72">
        <v>0.928147659854977</v>
      </c>
      <c r="W324" s="72">
        <v>0.908661188277216</v>
      </c>
      <c r="X324" s="74">
        <v>0.92</v>
      </c>
      <c r="Y324" s="74">
        <v>0.924773022049287</v>
      </c>
      <c r="Z324" s="74">
        <v>0.962780898876405</v>
      </c>
      <c r="AA324" s="74">
        <v>0.964912280701754</v>
      </c>
      <c r="AB324" s="74">
        <v>0.954329922635388</v>
      </c>
      <c r="AC324" s="74">
        <v>0.92</v>
      </c>
      <c r="AD324" s="72">
        <v>0.99390243902439</v>
      </c>
      <c r="AE324" s="72">
        <v>0.989082969432314</v>
      </c>
      <c r="AF324" s="72">
        <v>0.993174061433447</v>
      </c>
      <c r="AG324" s="72">
        <v>0.989864864864865</v>
      </c>
      <c r="AH324" s="74">
        <v>0.92</v>
      </c>
      <c r="AI324" s="72">
        <v>0.943574690150033</v>
      </c>
      <c r="AJ324" s="72">
        <v>0.973347937203359</v>
      </c>
      <c r="AK324" s="72">
        <v>0.975681650700074</v>
      </c>
      <c r="AL324" s="72">
        <v>0.968825126017836</v>
      </c>
      <c r="AM324" s="71">
        <v>0.99</v>
      </c>
      <c r="AN324" s="76">
        <v>1</v>
      </c>
      <c r="AO324" s="76">
        <v>1</v>
      </c>
      <c r="AP324" s="76">
        <v>1</v>
      </c>
      <c r="AQ324" s="76">
        <v>1</v>
      </c>
      <c r="AR324" s="96">
        <v>0.0922287257019438</v>
      </c>
      <c r="AS324" s="80">
        <v>0</v>
      </c>
      <c r="AT324" s="80">
        <v>0.125</v>
      </c>
      <c r="AU324" s="80">
        <v>0.2</v>
      </c>
      <c r="AV324" s="80">
        <v>0.0967741935483871</v>
      </c>
      <c r="AW324" s="29"/>
      <c r="AX324" s="34"/>
    </row>
    <row r="325" s="27" customFormat="1" ht="14.5" spans="1:50">
      <c r="A325" s="32"/>
      <c r="B325" s="29"/>
      <c r="C325" s="100" t="s">
        <v>289</v>
      </c>
      <c r="D325" s="69" t="s">
        <v>15</v>
      </c>
      <c r="E325" s="101" t="s">
        <v>376</v>
      </c>
      <c r="F325" s="101" t="s">
        <v>376</v>
      </c>
      <c r="G325" s="101" t="s">
        <v>376</v>
      </c>
      <c r="H325" s="101" t="s">
        <v>376</v>
      </c>
      <c r="I325" s="71">
        <v>0.9</v>
      </c>
      <c r="J325" s="72">
        <v>0</v>
      </c>
      <c r="K325" s="72">
        <v>0</v>
      </c>
      <c r="L325" s="73">
        <v>0</v>
      </c>
      <c r="M325" s="72">
        <v>0</v>
      </c>
      <c r="N325" s="74">
        <v>0.9</v>
      </c>
      <c r="O325" s="72">
        <v>1</v>
      </c>
      <c r="P325" s="72">
        <v>1</v>
      </c>
      <c r="Q325" s="72">
        <v>1</v>
      </c>
      <c r="R325" s="72">
        <v>1</v>
      </c>
      <c r="S325" s="74">
        <v>0.9</v>
      </c>
      <c r="T325" s="72">
        <v>1</v>
      </c>
      <c r="U325" s="72">
        <v>1</v>
      </c>
      <c r="V325" s="72">
        <v>1</v>
      </c>
      <c r="W325" s="72">
        <v>1</v>
      </c>
      <c r="X325" s="74">
        <v>0.92</v>
      </c>
      <c r="Y325" s="74">
        <v>0</v>
      </c>
      <c r="Z325" s="74">
        <v>0</v>
      </c>
      <c r="AA325" s="74">
        <v>1</v>
      </c>
      <c r="AB325" s="74">
        <v>1</v>
      </c>
      <c r="AC325" s="74">
        <v>0.92</v>
      </c>
      <c r="AD325" s="72">
        <v>0.999895670318205</v>
      </c>
      <c r="AE325" s="72">
        <v>0.999705362404243</v>
      </c>
      <c r="AF325" s="72">
        <v>0.999901797112835</v>
      </c>
      <c r="AG325" s="72">
        <v>0.99983587005285</v>
      </c>
      <c r="AH325" s="74">
        <v>0.92</v>
      </c>
      <c r="AI325" s="72">
        <v>1</v>
      </c>
      <c r="AJ325" s="72">
        <v>1</v>
      </c>
      <c r="AK325" s="72">
        <v>1</v>
      </c>
      <c r="AL325" s="72">
        <v>1</v>
      </c>
      <c r="AM325" s="71">
        <v>0.99</v>
      </c>
      <c r="AN325" s="76">
        <v>0</v>
      </c>
      <c r="AO325" s="76">
        <v>1</v>
      </c>
      <c r="AP325" s="76">
        <v>1</v>
      </c>
      <c r="AQ325" s="76">
        <v>1</v>
      </c>
      <c r="AR325" s="96">
        <v>0.0922287257019438</v>
      </c>
      <c r="AS325" s="80">
        <v>0</v>
      </c>
      <c r="AT325" s="80">
        <v>0</v>
      </c>
      <c r="AU325" s="80">
        <v>0</v>
      </c>
      <c r="AV325" s="80">
        <v>0</v>
      </c>
      <c r="AW325" s="29"/>
      <c r="AX325" s="34"/>
    </row>
    <row r="326" ht="14.5" spans="1:50">
      <c r="A326" s="32"/>
      <c r="C326" s="103"/>
      <c r="D326" s="103"/>
      <c r="E326" s="103"/>
      <c r="F326" s="103"/>
      <c r="G326" s="103"/>
      <c r="H326" s="103"/>
      <c r="I326" s="104"/>
      <c r="J326" s="105"/>
      <c r="K326" s="105"/>
      <c r="L326" s="73"/>
      <c r="M326" s="105"/>
      <c r="N326" s="89"/>
      <c r="O326" s="105"/>
      <c r="P326" s="105"/>
      <c r="Q326" s="72"/>
      <c r="R326" s="105"/>
      <c r="S326" s="89"/>
      <c r="T326" s="105"/>
      <c r="U326" s="105"/>
      <c r="V326" s="72"/>
      <c r="W326" s="105"/>
      <c r="X326" s="89"/>
      <c r="Y326" s="89"/>
      <c r="Z326" s="89"/>
      <c r="AA326" s="74"/>
      <c r="AB326" s="89"/>
      <c r="AC326" s="105"/>
      <c r="AD326" s="105"/>
      <c r="AE326" s="105"/>
      <c r="AF326" s="72"/>
      <c r="AG326" s="105"/>
      <c r="AH326" s="105"/>
      <c r="AI326" s="105"/>
      <c r="AJ326" s="105"/>
      <c r="AK326" s="72"/>
      <c r="AL326" s="105"/>
      <c r="AM326" s="106"/>
      <c r="AN326" s="106"/>
      <c r="AO326" s="106"/>
      <c r="AP326" s="76"/>
      <c r="AQ326" s="106"/>
      <c r="AR326" s="105"/>
      <c r="AS326" s="106"/>
      <c r="AT326" s="106"/>
      <c r="AU326" s="80"/>
      <c r="AV326" s="106"/>
      <c r="AW326" s="36"/>
      <c r="AX326" s="34"/>
    </row>
    <row r="327" ht="14.5" spans="1:50">
      <c r="A327" s="32"/>
      <c r="B327" s="36"/>
      <c r="C327" s="100" t="s">
        <v>377</v>
      </c>
      <c r="D327" s="69" t="s">
        <v>17</v>
      </c>
      <c r="E327" s="107" t="s">
        <v>378</v>
      </c>
      <c r="F327" s="107" t="s">
        <v>378</v>
      </c>
      <c r="G327" s="107" t="s">
        <v>378</v>
      </c>
      <c r="H327" s="107" t="s">
        <v>378</v>
      </c>
      <c r="I327" s="71">
        <v>0.9</v>
      </c>
      <c r="J327" s="72">
        <v>0.975609756097561</v>
      </c>
      <c r="K327" s="72">
        <v>0.926829268292683</v>
      </c>
      <c r="L327" s="73">
        <v>0.91578947368421</v>
      </c>
      <c r="M327" s="72">
        <v>0.931506849315068</v>
      </c>
      <c r="N327" s="74">
        <v>0.9</v>
      </c>
      <c r="O327" s="72">
        <v>0.917364813404417</v>
      </c>
      <c r="P327" s="72">
        <v>0.927153716216216</v>
      </c>
      <c r="Q327" s="72">
        <v>0.933536469243954</v>
      </c>
      <c r="R327" s="72">
        <v>0.927776862228082</v>
      </c>
      <c r="S327" s="74">
        <v>0.9</v>
      </c>
      <c r="T327" s="72">
        <v>0.898705255140899</v>
      </c>
      <c r="U327" s="72">
        <v>0.88597972972973</v>
      </c>
      <c r="V327" s="72">
        <v>0.914302037707103</v>
      </c>
      <c r="W327" s="72">
        <v>0.912059162821358</v>
      </c>
      <c r="X327" s="74">
        <v>0.92</v>
      </c>
      <c r="Y327" s="74">
        <v>0.911795589779489</v>
      </c>
      <c r="Z327" s="74">
        <v>0.93717277486911</v>
      </c>
      <c r="AA327" s="74">
        <v>0.942162615255658</v>
      </c>
      <c r="AB327" s="74">
        <v>0.938444149803291</v>
      </c>
      <c r="AC327" s="74">
        <v>0.92</v>
      </c>
      <c r="AD327" s="72">
        <v>0.994696132596685</v>
      </c>
      <c r="AE327" s="72">
        <v>0.99394581504465</v>
      </c>
      <c r="AF327" s="72">
        <v>0.992339933516404</v>
      </c>
      <c r="AG327" s="72">
        <v>0.988941181027637</v>
      </c>
      <c r="AH327" s="74">
        <v>0.92</v>
      </c>
      <c r="AI327" s="72">
        <v>0.930730020025487</v>
      </c>
      <c r="AJ327" s="72">
        <v>0.949563938215824</v>
      </c>
      <c r="AK327" s="72">
        <v>0.957951375049821</v>
      </c>
      <c r="AL327" s="72">
        <v>0.954117883045998</v>
      </c>
      <c r="AM327" s="71">
        <v>0.99</v>
      </c>
      <c r="AN327" s="76">
        <v>1</v>
      </c>
      <c r="AO327" s="76">
        <v>1</v>
      </c>
      <c r="AP327" s="76">
        <v>1</v>
      </c>
      <c r="AQ327" s="76">
        <v>1</v>
      </c>
      <c r="AR327" s="96">
        <v>0.0739852556983447</v>
      </c>
      <c r="AS327" s="80">
        <v>0.0422535211267606</v>
      </c>
      <c r="AT327" s="80">
        <v>0.0379746835443038</v>
      </c>
      <c r="AU327" s="80">
        <v>0</v>
      </c>
      <c r="AV327" s="80">
        <v>0.0433017591339648</v>
      </c>
      <c r="AW327" s="36"/>
      <c r="AX327" s="34"/>
    </row>
    <row r="328" ht="14.5" spans="1:50">
      <c r="A328" s="32"/>
      <c r="B328" s="36"/>
      <c r="C328" s="100" t="s">
        <v>377</v>
      </c>
      <c r="D328" s="69" t="s">
        <v>17</v>
      </c>
      <c r="E328" s="107" t="s">
        <v>379</v>
      </c>
      <c r="F328" s="107" t="s">
        <v>379</v>
      </c>
      <c r="G328" s="107" t="s">
        <v>379</v>
      </c>
      <c r="H328" s="107" t="s">
        <v>379</v>
      </c>
      <c r="I328" s="71">
        <v>0.9</v>
      </c>
      <c r="J328" s="72">
        <v>0</v>
      </c>
      <c r="K328" s="72">
        <v>0</v>
      </c>
      <c r="L328" s="73">
        <v>0</v>
      </c>
      <c r="M328" s="72">
        <v>0</v>
      </c>
      <c r="N328" s="74">
        <v>0.9</v>
      </c>
      <c r="O328" s="72">
        <v>0</v>
      </c>
      <c r="P328" s="72">
        <v>0</v>
      </c>
      <c r="Q328" s="72">
        <v>0</v>
      </c>
      <c r="R328" s="72">
        <v>0</v>
      </c>
      <c r="S328" s="74">
        <v>0.9</v>
      </c>
      <c r="T328" s="72">
        <v>0</v>
      </c>
      <c r="U328" s="72">
        <v>0</v>
      </c>
      <c r="V328" s="72">
        <v>0</v>
      </c>
      <c r="W328" s="72">
        <v>0</v>
      </c>
      <c r="X328" s="74">
        <v>0.92</v>
      </c>
      <c r="Y328" s="74">
        <v>0</v>
      </c>
      <c r="Z328" s="74">
        <v>0</v>
      </c>
      <c r="AA328" s="74">
        <v>0</v>
      </c>
      <c r="AB328" s="74">
        <v>1</v>
      </c>
      <c r="AC328" s="74">
        <v>0.92</v>
      </c>
      <c r="AD328" s="72">
        <v>0.989145183175034</v>
      </c>
      <c r="AE328" s="72">
        <v>0.8290273556231</v>
      </c>
      <c r="AF328" s="72">
        <v>0.849213691026827</v>
      </c>
      <c r="AG328" s="72">
        <v>0.891874237937642</v>
      </c>
      <c r="AH328" s="74">
        <v>0.92</v>
      </c>
      <c r="AI328" s="72">
        <v>0</v>
      </c>
      <c r="AJ328" s="72">
        <v>0</v>
      </c>
      <c r="AK328" s="72">
        <v>0</v>
      </c>
      <c r="AL328" s="72">
        <v>1</v>
      </c>
      <c r="AM328" s="71">
        <v>0.99</v>
      </c>
      <c r="AN328" s="76">
        <v>1</v>
      </c>
      <c r="AO328" s="76">
        <v>1</v>
      </c>
      <c r="AP328" s="76">
        <v>1</v>
      </c>
      <c r="AQ328" s="76">
        <v>1</v>
      </c>
      <c r="AR328" s="96">
        <v>0.0739852556983447</v>
      </c>
      <c r="AS328" s="80">
        <v>0</v>
      </c>
      <c r="AT328" s="80">
        <v>0</v>
      </c>
      <c r="AU328" s="80">
        <v>0</v>
      </c>
      <c r="AV328" s="80">
        <v>0</v>
      </c>
      <c r="AW328" s="36"/>
      <c r="AX328" s="34"/>
    </row>
    <row r="329" ht="14.5" spans="1:50">
      <c r="A329" s="32"/>
      <c r="B329" s="36"/>
      <c r="C329" s="100" t="s">
        <v>377</v>
      </c>
      <c r="D329" s="69" t="s">
        <v>17</v>
      </c>
      <c r="E329" s="107" t="s">
        <v>380</v>
      </c>
      <c r="F329" s="107" t="s">
        <v>380</v>
      </c>
      <c r="G329" s="107" t="s">
        <v>380</v>
      </c>
      <c r="H329" s="107" t="s">
        <v>380</v>
      </c>
      <c r="I329" s="71">
        <v>0.9</v>
      </c>
      <c r="J329" s="72">
        <v>0.863157894736842</v>
      </c>
      <c r="K329" s="72">
        <v>0.872549019607843</v>
      </c>
      <c r="L329" s="73">
        <v>0.894736842105263</v>
      </c>
      <c r="M329" s="72">
        <v>0.889123548046463</v>
      </c>
      <c r="N329" s="74">
        <v>0.9</v>
      </c>
      <c r="O329" s="72">
        <v>0.936507936507937</v>
      </c>
      <c r="P329" s="72">
        <v>0.940954773869347</v>
      </c>
      <c r="Q329" s="72">
        <v>0.94996751137102</v>
      </c>
      <c r="R329" s="72">
        <v>0.925658468515611</v>
      </c>
      <c r="S329" s="74">
        <v>0.9</v>
      </c>
      <c r="T329" s="72">
        <v>0.849047619047619</v>
      </c>
      <c r="U329" s="72">
        <v>0.868090452261307</v>
      </c>
      <c r="V329" s="72">
        <v>0.86825860948668</v>
      </c>
      <c r="W329" s="72">
        <v>0.858049886621315</v>
      </c>
      <c r="X329" s="74">
        <v>0.92</v>
      </c>
      <c r="Y329" s="74">
        <v>0.913900979325354</v>
      </c>
      <c r="Z329" s="74">
        <v>0.927329192546584</v>
      </c>
      <c r="AA329" s="74">
        <v>0.956056429382196</v>
      </c>
      <c r="AB329" s="74">
        <v>0.93684917702385</v>
      </c>
      <c r="AC329" s="74">
        <v>0.92</v>
      </c>
      <c r="AD329" s="72">
        <v>0.988814317673378</v>
      </c>
      <c r="AE329" s="72">
        <v>0.994071146245059</v>
      </c>
      <c r="AF329" s="72">
        <v>0.991738097696995</v>
      </c>
      <c r="AG329" s="72">
        <v>0.989937560038425</v>
      </c>
      <c r="AH329" s="74">
        <v>0.92</v>
      </c>
      <c r="AI329" s="72">
        <v>0.92836780937066</v>
      </c>
      <c r="AJ329" s="72">
        <v>0.941944606171505</v>
      </c>
      <c r="AK329" s="72">
        <v>0.962108331309206</v>
      </c>
      <c r="AL329" s="72">
        <v>0.95049572591182</v>
      </c>
      <c r="AM329" s="71">
        <v>0.99</v>
      </c>
      <c r="AN329" s="76">
        <v>1</v>
      </c>
      <c r="AO329" s="76">
        <v>1</v>
      </c>
      <c r="AP329" s="76">
        <v>1</v>
      </c>
      <c r="AQ329" s="76">
        <v>1</v>
      </c>
      <c r="AR329" s="96">
        <v>0.0739852556983447</v>
      </c>
      <c r="AS329" s="80">
        <v>0.055045871559633</v>
      </c>
      <c r="AT329" s="80">
        <v>0.0471698113207547</v>
      </c>
      <c r="AU329" s="80">
        <v>0.0404040404040404</v>
      </c>
      <c r="AV329" s="80">
        <v>0.0484210526315789</v>
      </c>
      <c r="AW329" s="36"/>
      <c r="AX329" s="34"/>
    </row>
    <row r="330" ht="14.5" spans="1:50">
      <c r="A330" s="32"/>
      <c r="B330" s="36"/>
      <c r="C330" s="100" t="s">
        <v>377</v>
      </c>
      <c r="D330" s="69" t="s">
        <v>17</v>
      </c>
      <c r="E330" s="107" t="s">
        <v>381</v>
      </c>
      <c r="F330" s="107" t="s">
        <v>381</v>
      </c>
      <c r="G330" s="107" t="s">
        <v>381</v>
      </c>
      <c r="H330" s="107" t="s">
        <v>381</v>
      </c>
      <c r="I330" s="71">
        <v>0.9</v>
      </c>
      <c r="J330" s="72">
        <v>0</v>
      </c>
      <c r="K330" s="72">
        <v>0</v>
      </c>
      <c r="L330" s="73">
        <v>0</v>
      </c>
      <c r="M330" s="72">
        <v>0</v>
      </c>
      <c r="N330" s="74">
        <v>0.9</v>
      </c>
      <c r="O330" s="72">
        <v>0</v>
      </c>
      <c r="P330" s="72">
        <v>0</v>
      </c>
      <c r="Q330" s="72">
        <v>0</v>
      </c>
      <c r="R330" s="72">
        <v>0</v>
      </c>
      <c r="S330" s="74">
        <v>0.9</v>
      </c>
      <c r="T330" s="72">
        <v>0</v>
      </c>
      <c r="U330" s="72">
        <v>0</v>
      </c>
      <c r="V330" s="72">
        <v>0</v>
      </c>
      <c r="W330" s="72">
        <v>0</v>
      </c>
      <c r="X330" s="74">
        <v>0.92</v>
      </c>
      <c r="Y330" s="74">
        <v>0</v>
      </c>
      <c r="Z330" s="74">
        <v>0</v>
      </c>
      <c r="AA330" s="74">
        <v>0</v>
      </c>
      <c r="AB330" s="74">
        <v>0</v>
      </c>
      <c r="AC330" s="74">
        <v>0.92</v>
      </c>
      <c r="AD330" s="72">
        <v>1</v>
      </c>
      <c r="AE330" s="72">
        <v>1</v>
      </c>
      <c r="AF330" s="72">
        <v>1</v>
      </c>
      <c r="AG330" s="72">
        <v>0.998466257668712</v>
      </c>
      <c r="AH330" s="74">
        <v>0.92</v>
      </c>
      <c r="AI330" s="72">
        <v>0</v>
      </c>
      <c r="AJ330" s="72">
        <v>0</v>
      </c>
      <c r="AK330" s="72">
        <v>0</v>
      </c>
      <c r="AL330" s="72">
        <v>0</v>
      </c>
      <c r="AM330" s="71">
        <v>0.99</v>
      </c>
      <c r="AN330" s="76">
        <v>1</v>
      </c>
      <c r="AO330" s="76">
        <v>1</v>
      </c>
      <c r="AP330" s="76">
        <v>1</v>
      </c>
      <c r="AQ330" s="76">
        <v>1</v>
      </c>
      <c r="AR330" s="96">
        <v>0.0739852556983447</v>
      </c>
      <c r="AS330" s="80">
        <v>0</v>
      </c>
      <c r="AT330" s="80">
        <v>0</v>
      </c>
      <c r="AU330" s="80">
        <v>0</v>
      </c>
      <c r="AV330" s="80">
        <v>0</v>
      </c>
      <c r="AW330" s="36"/>
      <c r="AX330" s="34"/>
    </row>
    <row r="331" ht="14.5" spans="1:50">
      <c r="A331" s="32"/>
      <c r="B331" s="36"/>
      <c r="C331" s="100" t="s">
        <v>377</v>
      </c>
      <c r="D331" s="69" t="s">
        <v>17</v>
      </c>
      <c r="E331" s="107" t="s">
        <v>382</v>
      </c>
      <c r="F331" s="107" t="s">
        <v>382</v>
      </c>
      <c r="G331" s="107" t="s">
        <v>382</v>
      </c>
      <c r="H331" s="107" t="s">
        <v>382</v>
      </c>
      <c r="I331" s="71">
        <v>0.9</v>
      </c>
      <c r="J331" s="72">
        <v>0.918918918918919</v>
      </c>
      <c r="K331" s="72">
        <v>0.952941176470588</v>
      </c>
      <c r="L331" s="73">
        <v>0.979591836734694</v>
      </c>
      <c r="M331" s="72">
        <v>0.9449423815621</v>
      </c>
      <c r="N331" s="74">
        <v>0.9</v>
      </c>
      <c r="O331" s="72">
        <v>0.948459383753501</v>
      </c>
      <c r="P331" s="72">
        <v>0.958240871494856</v>
      </c>
      <c r="Q331" s="72">
        <v>0.960412447063156</v>
      </c>
      <c r="R331" s="72">
        <v>0.950802075257916</v>
      </c>
      <c r="S331" s="74">
        <v>0.9</v>
      </c>
      <c r="T331" s="72">
        <v>0.913725490196078</v>
      </c>
      <c r="U331" s="72">
        <v>0.925358079483559</v>
      </c>
      <c r="V331" s="72">
        <v>0.936475787147855</v>
      </c>
      <c r="W331" s="72">
        <v>0.922953068161488</v>
      </c>
      <c r="X331" s="74">
        <v>0.92</v>
      </c>
      <c r="Y331" s="74">
        <v>0.908373888236281</v>
      </c>
      <c r="Z331" s="74">
        <v>0.940823670531787</v>
      </c>
      <c r="AA331" s="74">
        <v>0.95386873558398</v>
      </c>
      <c r="AB331" s="74">
        <v>0.940618434177296</v>
      </c>
      <c r="AC331" s="74">
        <v>0.92</v>
      </c>
      <c r="AD331" s="72">
        <v>0.982619047619048</v>
      </c>
      <c r="AE331" s="72">
        <v>0.986876239890127</v>
      </c>
      <c r="AF331" s="72">
        <v>0.969263194871344</v>
      </c>
      <c r="AG331" s="72">
        <v>0.96566471505542</v>
      </c>
      <c r="AH331" s="74">
        <v>0.92</v>
      </c>
      <c r="AI331" s="72">
        <v>0.93036187113857</v>
      </c>
      <c r="AJ331" s="72">
        <v>0.954321855235418</v>
      </c>
      <c r="AK331" s="72">
        <v>0.96766291033807</v>
      </c>
      <c r="AL331" s="72">
        <v>0.957986552416875</v>
      </c>
      <c r="AM331" s="71">
        <v>0.99</v>
      </c>
      <c r="AN331" s="76">
        <v>1</v>
      </c>
      <c r="AO331" s="76">
        <v>1</v>
      </c>
      <c r="AP331" s="76">
        <v>1</v>
      </c>
      <c r="AQ331" s="76">
        <v>0.998863636363636</v>
      </c>
      <c r="AR331" s="96">
        <v>0.0739852556983447</v>
      </c>
      <c r="AS331" s="80">
        <v>0.153846153846154</v>
      </c>
      <c r="AT331" s="80">
        <v>0.0208333333333333</v>
      </c>
      <c r="AU331" s="80">
        <v>0</v>
      </c>
      <c r="AV331" s="80">
        <v>0.0514018691588785</v>
      </c>
      <c r="AW331" s="36"/>
      <c r="AX331" s="34"/>
    </row>
    <row r="332" ht="14.5" spans="1:50">
      <c r="A332" s="32"/>
      <c r="B332" s="36"/>
      <c r="C332" s="100" t="s">
        <v>377</v>
      </c>
      <c r="D332" s="69" t="s">
        <v>17</v>
      </c>
      <c r="E332" s="107" t="s">
        <v>383</v>
      </c>
      <c r="F332" s="107" t="s">
        <v>383</v>
      </c>
      <c r="G332" s="107" t="s">
        <v>383</v>
      </c>
      <c r="H332" s="107" t="s">
        <v>383</v>
      </c>
      <c r="I332" s="71">
        <v>0.9</v>
      </c>
      <c r="J332" s="72">
        <v>0.925</v>
      </c>
      <c r="K332" s="72">
        <v>1</v>
      </c>
      <c r="L332" s="73">
        <v>1</v>
      </c>
      <c r="M332" s="72">
        <v>0.962566844919786</v>
      </c>
      <c r="N332" s="74">
        <v>0.9</v>
      </c>
      <c r="O332" s="72">
        <v>0.926609105180534</v>
      </c>
      <c r="P332" s="72">
        <v>0.937943262411348</v>
      </c>
      <c r="Q332" s="72">
        <v>0.957055214723926</v>
      </c>
      <c r="R332" s="72">
        <v>0.938664496509187</v>
      </c>
      <c r="S332" s="74">
        <v>0.9</v>
      </c>
      <c r="T332" s="72">
        <v>0.896781789638933</v>
      </c>
      <c r="U332" s="72">
        <v>0.918439716312057</v>
      </c>
      <c r="V332" s="72">
        <v>0.923926380368098</v>
      </c>
      <c r="W332" s="72">
        <v>0.918661926585857</v>
      </c>
      <c r="X332" s="74">
        <v>0.92</v>
      </c>
      <c r="Y332" s="74">
        <v>0.951131518530666</v>
      </c>
      <c r="Z332" s="74">
        <v>0.958018154311649</v>
      </c>
      <c r="AA332" s="74">
        <v>0.976092641016063</v>
      </c>
      <c r="AB332" s="74">
        <v>0.96964580066739</v>
      </c>
      <c r="AC332" s="74">
        <v>0.92</v>
      </c>
      <c r="AD332" s="72">
        <v>0.991013869896464</v>
      </c>
      <c r="AE332" s="72">
        <v>0.991908377940993</v>
      </c>
      <c r="AF332" s="72">
        <v>0.984843492586491</v>
      </c>
      <c r="AG332" s="72">
        <v>0.980574653002984</v>
      </c>
      <c r="AH332" s="74">
        <v>0.92</v>
      </c>
      <c r="AI332" s="72">
        <v>0.954293876093555</v>
      </c>
      <c r="AJ332" s="72">
        <v>0.967787971457696</v>
      </c>
      <c r="AK332" s="72">
        <v>0.977808059178509</v>
      </c>
      <c r="AL332" s="72">
        <v>0.975202848153668</v>
      </c>
      <c r="AM332" s="71">
        <v>0.99</v>
      </c>
      <c r="AN332" s="76">
        <v>1</v>
      </c>
      <c r="AO332" s="76">
        <v>1</v>
      </c>
      <c r="AP332" s="76">
        <v>1</v>
      </c>
      <c r="AQ332" s="76">
        <v>1</v>
      </c>
      <c r="AR332" s="96">
        <v>0.0739852556983447</v>
      </c>
      <c r="AS332" s="80">
        <v>0.0857142857142857</v>
      </c>
      <c r="AT332" s="80">
        <v>0</v>
      </c>
      <c r="AU332" s="80">
        <v>0</v>
      </c>
      <c r="AV332" s="80">
        <v>0.0178041543026706</v>
      </c>
      <c r="AW332" s="36"/>
      <c r="AX332" s="34"/>
    </row>
    <row r="333" ht="14.5" spans="1:50">
      <c r="A333" s="32"/>
      <c r="B333" s="36"/>
      <c r="C333" s="100" t="s">
        <v>377</v>
      </c>
      <c r="D333" s="69" t="s">
        <v>17</v>
      </c>
      <c r="E333" s="107" t="s">
        <v>384</v>
      </c>
      <c r="F333" s="107" t="s">
        <v>384</v>
      </c>
      <c r="G333" s="107" t="s">
        <v>384</v>
      </c>
      <c r="H333" s="107" t="s">
        <v>384</v>
      </c>
      <c r="I333" s="71">
        <v>0.9</v>
      </c>
      <c r="J333" s="72">
        <v>0.970588235294118</v>
      </c>
      <c r="K333" s="72">
        <v>0.90625</v>
      </c>
      <c r="L333" s="73">
        <v>1</v>
      </c>
      <c r="M333" s="72">
        <v>0.944444444444444</v>
      </c>
      <c r="N333" s="74">
        <v>0.9</v>
      </c>
      <c r="O333" s="72">
        <v>0.942746448557899</v>
      </c>
      <c r="P333" s="72">
        <v>0.966950425638458</v>
      </c>
      <c r="Q333" s="72">
        <v>0.968113374667848</v>
      </c>
      <c r="R333" s="72">
        <v>0.960070603950005</v>
      </c>
      <c r="S333" s="74">
        <v>0.9</v>
      </c>
      <c r="T333" s="72">
        <v>0.856650882479552</v>
      </c>
      <c r="U333" s="72">
        <v>0.924386579869805</v>
      </c>
      <c r="V333" s="72">
        <v>0.909654561558902</v>
      </c>
      <c r="W333" s="72">
        <v>0.917612823203893</v>
      </c>
      <c r="X333" s="74">
        <v>0.92</v>
      </c>
      <c r="Y333" s="74">
        <v>0.95155325443787</v>
      </c>
      <c r="Z333" s="74">
        <v>0.949433304272014</v>
      </c>
      <c r="AA333" s="74">
        <v>0.963928726640591</v>
      </c>
      <c r="AB333" s="74">
        <v>0.961185065662678</v>
      </c>
      <c r="AC333" s="74">
        <v>0.92</v>
      </c>
      <c r="AD333" s="72">
        <v>1</v>
      </c>
      <c r="AE333" s="72">
        <v>0.966374269005848</v>
      </c>
      <c r="AF333" s="72">
        <v>0.990343347639485</v>
      </c>
      <c r="AG333" s="72">
        <v>0.992636465503442</v>
      </c>
      <c r="AH333" s="74">
        <v>0.92</v>
      </c>
      <c r="AI333" s="72">
        <v>0.955303933253874</v>
      </c>
      <c r="AJ333" s="72">
        <v>0.960884749708964</v>
      </c>
      <c r="AK333" s="72">
        <v>0.97417377982053</v>
      </c>
      <c r="AL333" s="72">
        <v>0.970130319455657</v>
      </c>
      <c r="AM333" s="71">
        <v>0.99</v>
      </c>
      <c r="AN333" s="76">
        <v>1</v>
      </c>
      <c r="AO333" s="76">
        <v>1</v>
      </c>
      <c r="AP333" s="76">
        <v>1</v>
      </c>
      <c r="AQ333" s="76">
        <v>1</v>
      </c>
      <c r="AR333" s="96">
        <v>0.0739852556983447</v>
      </c>
      <c r="AS333" s="80">
        <v>0</v>
      </c>
      <c r="AT333" s="80">
        <v>0.0571428571428571</v>
      </c>
      <c r="AU333" s="80">
        <v>0.0540540540540541</v>
      </c>
      <c r="AV333" s="80">
        <v>0.0545454545454545</v>
      </c>
      <c r="AW333" s="36"/>
      <c r="AX333" s="34"/>
    </row>
    <row r="334" ht="14.5" spans="1:50">
      <c r="A334" s="32"/>
      <c r="B334" s="36"/>
      <c r="C334" s="100" t="s">
        <v>377</v>
      </c>
      <c r="D334" s="69" t="s">
        <v>17</v>
      </c>
      <c r="E334" s="107" t="s">
        <v>385</v>
      </c>
      <c r="F334" s="107" t="s">
        <v>385</v>
      </c>
      <c r="G334" s="107" t="s">
        <v>385</v>
      </c>
      <c r="H334" s="107" t="s">
        <v>385</v>
      </c>
      <c r="I334" s="71">
        <v>0.9</v>
      </c>
      <c r="J334" s="72">
        <v>0.916666666666667</v>
      </c>
      <c r="K334" s="72">
        <v>0.884615384615385</v>
      </c>
      <c r="L334" s="73">
        <v>0.983050847457627</v>
      </c>
      <c r="M334" s="72">
        <v>0.907630522088353</v>
      </c>
      <c r="N334" s="74">
        <v>0.9</v>
      </c>
      <c r="O334" s="72">
        <v>0.907960199004975</v>
      </c>
      <c r="P334" s="72">
        <v>0.980833893745797</v>
      </c>
      <c r="Q334" s="72">
        <v>0.983865763149403</v>
      </c>
      <c r="R334" s="72">
        <v>0.966656907712827</v>
      </c>
      <c r="S334" s="74">
        <v>0.9</v>
      </c>
      <c r="T334" s="72">
        <v>0.846600331674959</v>
      </c>
      <c r="U334" s="72">
        <v>0.914256893073302</v>
      </c>
      <c r="V334" s="72">
        <v>0.915456598902872</v>
      </c>
      <c r="W334" s="72">
        <v>0.904362252366546</v>
      </c>
      <c r="X334" s="74">
        <v>0.92</v>
      </c>
      <c r="Y334" s="74">
        <v>0.930182599355532</v>
      </c>
      <c r="Z334" s="74">
        <v>0.962162162162162</v>
      </c>
      <c r="AA334" s="74">
        <v>0.963356164383562</v>
      </c>
      <c r="AB334" s="74">
        <v>0.955741586899243</v>
      </c>
      <c r="AC334" s="74">
        <v>0.92</v>
      </c>
      <c r="AD334" s="72">
        <v>0.992798353909465</v>
      </c>
      <c r="AE334" s="72">
        <v>0.988446726572529</v>
      </c>
      <c r="AF334" s="72">
        <v>0.994058670627553</v>
      </c>
      <c r="AG334" s="72">
        <v>0.988054876606481</v>
      </c>
      <c r="AH334" s="74">
        <v>0.92</v>
      </c>
      <c r="AI334" s="72">
        <v>0.920032639738882</v>
      </c>
      <c r="AJ334" s="72">
        <v>0.967684021543986</v>
      </c>
      <c r="AK334" s="72">
        <v>0.97215777262181</v>
      </c>
      <c r="AL334" s="72">
        <v>0.961979748832928</v>
      </c>
      <c r="AM334" s="71">
        <v>0.99</v>
      </c>
      <c r="AN334" s="76">
        <v>1</v>
      </c>
      <c r="AO334" s="76">
        <v>1</v>
      </c>
      <c r="AP334" s="76">
        <v>1</v>
      </c>
      <c r="AQ334" s="76">
        <v>1</v>
      </c>
      <c r="AR334" s="96">
        <v>0.0739852556983447</v>
      </c>
      <c r="AS334" s="80">
        <v>0.0975609756097561</v>
      </c>
      <c r="AT334" s="80">
        <v>0.0454545454545455</v>
      </c>
      <c r="AU334" s="80">
        <v>0</v>
      </c>
      <c r="AV334" s="80">
        <v>0.0398009950248756</v>
      </c>
      <c r="AW334" s="36"/>
      <c r="AX334" s="34"/>
    </row>
    <row r="335" ht="14.5" spans="1:50">
      <c r="A335" s="32"/>
      <c r="B335" s="36"/>
      <c r="C335" s="100" t="s">
        <v>377</v>
      </c>
      <c r="D335" s="69" t="s">
        <v>17</v>
      </c>
      <c r="E335" s="107" t="s">
        <v>386</v>
      </c>
      <c r="F335" s="107" t="s">
        <v>386</v>
      </c>
      <c r="G335" s="107" t="s">
        <v>386</v>
      </c>
      <c r="H335" s="107" t="s">
        <v>386</v>
      </c>
      <c r="I335" s="71">
        <v>0.9</v>
      </c>
      <c r="J335" s="72">
        <v>0.883116883116883</v>
      </c>
      <c r="K335" s="72">
        <v>0.875</v>
      </c>
      <c r="L335" s="73">
        <v>0.924050632911392</v>
      </c>
      <c r="M335" s="72">
        <v>0.921161825726141</v>
      </c>
      <c r="N335" s="74">
        <v>0.9</v>
      </c>
      <c r="O335" s="72">
        <v>0.972300205876848</v>
      </c>
      <c r="P335" s="72">
        <v>0.971896955503513</v>
      </c>
      <c r="Q335" s="72">
        <v>0.976387487386478</v>
      </c>
      <c r="R335" s="72">
        <v>0.974334864835987</v>
      </c>
      <c r="S335" s="74">
        <v>0.9</v>
      </c>
      <c r="T335" s="72">
        <v>0.895189968182669</v>
      </c>
      <c r="U335" s="72">
        <v>0.915477964658293</v>
      </c>
      <c r="V335" s="72">
        <v>0.916044399596367</v>
      </c>
      <c r="W335" s="72">
        <v>0.917298856715461</v>
      </c>
      <c r="X335" s="74">
        <v>0.92</v>
      </c>
      <c r="Y335" s="74">
        <v>0.946324007807417</v>
      </c>
      <c r="Z335" s="74">
        <v>0.95971515768057</v>
      </c>
      <c r="AA335" s="74">
        <v>0.965063707357172</v>
      </c>
      <c r="AB335" s="74">
        <v>0.963643201905598</v>
      </c>
      <c r="AC335" s="74">
        <v>0.92</v>
      </c>
      <c r="AD335" s="72">
        <v>0.998426160706479</v>
      </c>
      <c r="AE335" s="72">
        <v>0.882392137264701</v>
      </c>
      <c r="AF335" s="72">
        <v>0.940822278671559</v>
      </c>
      <c r="AG335" s="72">
        <v>0.946190678456964</v>
      </c>
      <c r="AH335" s="74">
        <v>0.92</v>
      </c>
      <c r="AI335" s="72">
        <v>0.95212026416406</v>
      </c>
      <c r="AJ335" s="72">
        <v>0.967252313130263</v>
      </c>
      <c r="AK335" s="72">
        <v>0.967873119154128</v>
      </c>
      <c r="AL335" s="72">
        <v>0.971053020233348</v>
      </c>
      <c r="AM335" s="71">
        <v>0.99</v>
      </c>
      <c r="AN335" s="76">
        <v>1</v>
      </c>
      <c r="AO335" s="76">
        <v>1</v>
      </c>
      <c r="AP335" s="76">
        <v>1</v>
      </c>
      <c r="AQ335" s="76">
        <v>1</v>
      </c>
      <c r="AR335" s="96">
        <v>0.0739852556983447</v>
      </c>
      <c r="AS335" s="80">
        <v>0</v>
      </c>
      <c r="AT335" s="80">
        <v>0</v>
      </c>
      <c r="AU335" s="80">
        <v>0.0454545454545455</v>
      </c>
      <c r="AV335" s="80">
        <v>0.0222222222222222</v>
      </c>
      <c r="AW335" s="36"/>
      <c r="AX335" s="34"/>
    </row>
    <row r="336" ht="14.5" spans="1:50">
      <c r="A336" s="32"/>
      <c r="B336" s="36"/>
      <c r="C336" s="100" t="s">
        <v>377</v>
      </c>
      <c r="D336" s="69" t="s">
        <v>17</v>
      </c>
      <c r="E336" s="107" t="s">
        <v>387</v>
      </c>
      <c r="F336" s="107" t="s">
        <v>387</v>
      </c>
      <c r="G336" s="107" t="s">
        <v>387</v>
      </c>
      <c r="H336" s="107" t="s">
        <v>387</v>
      </c>
      <c r="I336" s="71">
        <v>0.9</v>
      </c>
      <c r="J336" s="72">
        <v>0</v>
      </c>
      <c r="K336" s="72">
        <v>0</v>
      </c>
      <c r="L336" s="73">
        <v>0</v>
      </c>
      <c r="M336" s="72">
        <v>0</v>
      </c>
      <c r="N336" s="74">
        <v>0.9</v>
      </c>
      <c r="O336" s="72">
        <v>0</v>
      </c>
      <c r="P336" s="72">
        <v>0</v>
      </c>
      <c r="Q336" s="72">
        <v>0</v>
      </c>
      <c r="R336" s="72">
        <v>0</v>
      </c>
      <c r="S336" s="74">
        <v>0.9</v>
      </c>
      <c r="T336" s="72">
        <v>0</v>
      </c>
      <c r="U336" s="72">
        <v>0</v>
      </c>
      <c r="V336" s="72">
        <v>0</v>
      </c>
      <c r="W336" s="72">
        <v>0</v>
      </c>
      <c r="X336" s="74">
        <v>0.92</v>
      </c>
      <c r="Y336" s="74">
        <v>0</v>
      </c>
      <c r="Z336" s="74">
        <v>0</v>
      </c>
      <c r="AA336" s="74">
        <v>0</v>
      </c>
      <c r="AB336" s="74">
        <v>0</v>
      </c>
      <c r="AC336" s="74">
        <v>0.92</v>
      </c>
      <c r="AD336" s="72">
        <v>0.994630872483221</v>
      </c>
      <c r="AE336" s="72">
        <v>0.907484407484408</v>
      </c>
      <c r="AF336" s="72">
        <v>1</v>
      </c>
      <c r="AG336" s="72">
        <v>0.987333333333333</v>
      </c>
      <c r="AH336" s="74">
        <v>0.92</v>
      </c>
      <c r="AI336" s="72">
        <v>0</v>
      </c>
      <c r="AJ336" s="72">
        <v>0</v>
      </c>
      <c r="AK336" s="72">
        <v>0</v>
      </c>
      <c r="AL336" s="72">
        <v>0</v>
      </c>
      <c r="AM336" s="71">
        <v>0.99</v>
      </c>
      <c r="AN336" s="76">
        <v>1</v>
      </c>
      <c r="AO336" s="76">
        <v>1</v>
      </c>
      <c r="AP336" s="76">
        <v>0</v>
      </c>
      <c r="AQ336" s="76">
        <v>1</v>
      </c>
      <c r="AR336" s="96">
        <v>0.0739852556983447</v>
      </c>
      <c r="AS336" s="80">
        <v>0</v>
      </c>
      <c r="AT336" s="80">
        <v>0</v>
      </c>
      <c r="AU336" s="80">
        <v>0</v>
      </c>
      <c r="AV336" s="80">
        <v>0</v>
      </c>
      <c r="AW336" s="36"/>
      <c r="AX336" s="34"/>
    </row>
    <row r="337" ht="14.5" spans="1:50">
      <c r="A337" s="32"/>
      <c r="B337" s="36"/>
      <c r="C337" s="100" t="s">
        <v>377</v>
      </c>
      <c r="D337" s="69" t="s">
        <v>17</v>
      </c>
      <c r="E337" s="107" t="s">
        <v>388</v>
      </c>
      <c r="F337" s="107" t="s">
        <v>388</v>
      </c>
      <c r="G337" s="107" t="s">
        <v>388</v>
      </c>
      <c r="H337" s="107" t="s">
        <v>388</v>
      </c>
      <c r="I337" s="71">
        <v>0.9</v>
      </c>
      <c r="J337" s="72">
        <v>0.870967741935484</v>
      </c>
      <c r="K337" s="72">
        <v>0.8828125</v>
      </c>
      <c r="L337" s="73">
        <v>0.932330827067669</v>
      </c>
      <c r="M337" s="72">
        <v>0.904518329070759</v>
      </c>
      <c r="N337" s="74">
        <v>0.9</v>
      </c>
      <c r="O337" s="72">
        <v>0.955313418217434</v>
      </c>
      <c r="P337" s="72">
        <v>0.972879479728795</v>
      </c>
      <c r="Q337" s="72">
        <v>0.973680747466772</v>
      </c>
      <c r="R337" s="72">
        <v>0.956202290076336</v>
      </c>
      <c r="S337" s="74">
        <v>0.9</v>
      </c>
      <c r="T337" s="72">
        <v>0.911973555337904</v>
      </c>
      <c r="U337" s="72">
        <v>0.925418569254186</v>
      </c>
      <c r="V337" s="72">
        <v>0.908014212396368</v>
      </c>
      <c r="W337" s="72">
        <v>0.917325517993457</v>
      </c>
      <c r="X337" s="74">
        <v>0.92</v>
      </c>
      <c r="Y337" s="74">
        <v>0.941430854564257</v>
      </c>
      <c r="Z337" s="74">
        <v>0.949108079748164</v>
      </c>
      <c r="AA337" s="74">
        <v>0.949645948072384</v>
      </c>
      <c r="AB337" s="74">
        <v>0.95009324009324</v>
      </c>
      <c r="AC337" s="74">
        <v>0.92</v>
      </c>
      <c r="AD337" s="72">
        <v>0.983090108871902</v>
      </c>
      <c r="AE337" s="72">
        <v>0.977148754238538</v>
      </c>
      <c r="AF337" s="72">
        <v>0.988886959541587</v>
      </c>
      <c r="AG337" s="72">
        <v>0.98134755210858</v>
      </c>
      <c r="AH337" s="74">
        <v>0.92</v>
      </c>
      <c r="AI337" s="72">
        <v>0.953063608367845</v>
      </c>
      <c r="AJ337" s="72">
        <v>0.959096058672709</v>
      </c>
      <c r="AK337" s="72">
        <v>0.960587559692921</v>
      </c>
      <c r="AL337" s="72">
        <v>0.962859597739716</v>
      </c>
      <c r="AM337" s="71">
        <v>0.99</v>
      </c>
      <c r="AN337" s="76">
        <v>1</v>
      </c>
      <c r="AO337" s="76">
        <v>1</v>
      </c>
      <c r="AP337" s="76">
        <v>1</v>
      </c>
      <c r="AQ337" s="76">
        <v>1</v>
      </c>
      <c r="AR337" s="96">
        <v>0.0739852556983447</v>
      </c>
      <c r="AS337" s="80">
        <v>0.0547945205479452</v>
      </c>
      <c r="AT337" s="80">
        <v>0.0428571428571429</v>
      </c>
      <c r="AU337" s="80">
        <v>0.0952380952380952</v>
      </c>
      <c r="AV337" s="80">
        <v>0.0396825396825397</v>
      </c>
      <c r="AW337" s="36"/>
      <c r="AX337" s="34"/>
    </row>
    <row r="338" ht="14.5" spans="1:50">
      <c r="A338" s="32"/>
      <c r="B338" s="36"/>
      <c r="C338" s="100" t="s">
        <v>377</v>
      </c>
      <c r="D338" s="69" t="s">
        <v>17</v>
      </c>
      <c r="E338" s="107" t="s">
        <v>389</v>
      </c>
      <c r="F338" s="107" t="s">
        <v>389</v>
      </c>
      <c r="G338" s="107" t="s">
        <v>389</v>
      </c>
      <c r="H338" s="107" t="s">
        <v>389</v>
      </c>
      <c r="I338" s="71">
        <v>0.9</v>
      </c>
      <c r="J338" s="72">
        <v>0.949152542372881</v>
      </c>
      <c r="K338" s="72">
        <v>0.96551724137931</v>
      </c>
      <c r="L338" s="73">
        <v>0.96969696969697</v>
      </c>
      <c r="M338" s="72">
        <v>0.957642725598527</v>
      </c>
      <c r="N338" s="74">
        <v>0.9</v>
      </c>
      <c r="O338" s="72">
        <v>0.953018138566756</v>
      </c>
      <c r="P338" s="72">
        <v>0.967698967698968</v>
      </c>
      <c r="Q338" s="72">
        <v>0.963119709794438</v>
      </c>
      <c r="R338" s="72">
        <v>0.96124210456695</v>
      </c>
      <c r="S338" s="74">
        <v>0.9</v>
      </c>
      <c r="T338" s="72">
        <v>0.902468034493012</v>
      </c>
      <c r="U338" s="72">
        <v>0.921744921744922</v>
      </c>
      <c r="V338" s="72">
        <v>0.919891172914148</v>
      </c>
      <c r="W338" s="72">
        <v>0.919144151592315</v>
      </c>
      <c r="X338" s="74">
        <v>0.92</v>
      </c>
      <c r="Y338" s="74">
        <v>0.946831364124597</v>
      </c>
      <c r="Z338" s="74">
        <v>0.954219869199626</v>
      </c>
      <c r="AA338" s="74">
        <v>0.958803783948734</v>
      </c>
      <c r="AB338" s="74">
        <v>0.960212032188019</v>
      </c>
      <c r="AC338" s="74">
        <v>0.92</v>
      </c>
      <c r="AD338" s="72">
        <v>0.994091580502216</v>
      </c>
      <c r="AE338" s="72">
        <v>0.992939792116101</v>
      </c>
      <c r="AF338" s="72">
        <v>0.996991576413959</v>
      </c>
      <c r="AG338" s="72">
        <v>0.988022013596633</v>
      </c>
      <c r="AH338" s="74">
        <v>0.92</v>
      </c>
      <c r="AI338" s="72">
        <v>0.956031567080045</v>
      </c>
      <c r="AJ338" s="72">
        <v>0.966082623372448</v>
      </c>
      <c r="AK338" s="72">
        <v>0.968010915706489</v>
      </c>
      <c r="AL338" s="72">
        <v>0.969032362722038</v>
      </c>
      <c r="AM338" s="71">
        <v>0.99</v>
      </c>
      <c r="AN338" s="76">
        <v>1</v>
      </c>
      <c r="AO338" s="76">
        <v>1</v>
      </c>
      <c r="AP338" s="76">
        <v>1</v>
      </c>
      <c r="AQ338" s="76">
        <v>1</v>
      </c>
      <c r="AR338" s="96">
        <v>0.0739852556983447</v>
      </c>
      <c r="AS338" s="80">
        <v>0.0425531914893617</v>
      </c>
      <c r="AT338" s="80">
        <v>0.0444444444444444</v>
      </c>
      <c r="AU338" s="80">
        <v>0</v>
      </c>
      <c r="AV338" s="80">
        <v>0.0501138952164009</v>
      </c>
      <c r="AW338" s="36"/>
      <c r="AX338" s="34"/>
    </row>
    <row r="339" ht="14.5" spans="1:50">
      <c r="A339" s="32"/>
      <c r="B339" s="36"/>
      <c r="C339" s="100" t="s">
        <v>377</v>
      </c>
      <c r="D339" s="69" t="s">
        <v>17</v>
      </c>
      <c r="E339" s="107" t="s">
        <v>390</v>
      </c>
      <c r="F339" s="107" t="s">
        <v>390</v>
      </c>
      <c r="G339" s="107" t="s">
        <v>390</v>
      </c>
      <c r="H339" s="107" t="s">
        <v>390</v>
      </c>
      <c r="I339" s="71">
        <v>0.9</v>
      </c>
      <c r="J339" s="72">
        <v>0</v>
      </c>
      <c r="K339" s="72">
        <v>0</v>
      </c>
      <c r="L339" s="73">
        <v>0</v>
      </c>
      <c r="M339" s="72">
        <v>0</v>
      </c>
      <c r="N339" s="74">
        <v>0.9</v>
      </c>
      <c r="O339" s="72">
        <v>0</v>
      </c>
      <c r="P339" s="72">
        <v>0</v>
      </c>
      <c r="Q339" s="72">
        <v>0</v>
      </c>
      <c r="R339" s="72">
        <v>0</v>
      </c>
      <c r="S339" s="74">
        <v>0.9</v>
      </c>
      <c r="T339" s="72">
        <v>0</v>
      </c>
      <c r="U339" s="72">
        <v>0</v>
      </c>
      <c r="V339" s="72">
        <v>0</v>
      </c>
      <c r="W339" s="72">
        <v>0</v>
      </c>
      <c r="X339" s="74">
        <v>0.92</v>
      </c>
      <c r="Y339" s="74">
        <v>0</v>
      </c>
      <c r="Z339" s="74">
        <v>0</v>
      </c>
      <c r="AA339" s="74">
        <v>0</v>
      </c>
      <c r="AB339" s="74">
        <v>0</v>
      </c>
      <c r="AC339" s="74">
        <v>0.92</v>
      </c>
      <c r="AD339" s="72">
        <v>1</v>
      </c>
      <c r="AE339" s="72">
        <v>1</v>
      </c>
      <c r="AF339" s="72">
        <v>1</v>
      </c>
      <c r="AG339" s="72">
        <v>1</v>
      </c>
      <c r="AH339" s="74">
        <v>0.92</v>
      </c>
      <c r="AI339" s="72">
        <v>0</v>
      </c>
      <c r="AJ339" s="72">
        <v>0</v>
      </c>
      <c r="AK339" s="72">
        <v>0</v>
      </c>
      <c r="AL339" s="72">
        <v>0</v>
      </c>
      <c r="AM339" s="71">
        <v>0.99</v>
      </c>
      <c r="AN339" s="76">
        <v>0</v>
      </c>
      <c r="AO339" s="76">
        <v>0</v>
      </c>
      <c r="AP339" s="76">
        <v>0</v>
      </c>
      <c r="AQ339" s="76">
        <v>1</v>
      </c>
      <c r="AR339" s="96">
        <v>0.0739852556983447</v>
      </c>
      <c r="AS339" s="80">
        <v>0</v>
      </c>
      <c r="AT339" s="80">
        <v>0</v>
      </c>
      <c r="AU339" s="80">
        <v>0</v>
      </c>
      <c r="AV339" s="80">
        <v>0</v>
      </c>
      <c r="AW339" s="36"/>
      <c r="AX339" s="34"/>
    </row>
    <row r="340" ht="14.5" spans="1:50">
      <c r="A340" s="32"/>
      <c r="B340" s="36"/>
      <c r="C340" s="100" t="s">
        <v>377</v>
      </c>
      <c r="D340" s="69" t="s">
        <v>17</v>
      </c>
      <c r="E340" s="107" t="s">
        <v>391</v>
      </c>
      <c r="F340" s="107" t="s">
        <v>391</v>
      </c>
      <c r="G340" s="107" t="s">
        <v>391</v>
      </c>
      <c r="H340" s="107" t="s">
        <v>391</v>
      </c>
      <c r="I340" s="71">
        <v>0.9</v>
      </c>
      <c r="J340" s="72">
        <v>0.9625</v>
      </c>
      <c r="K340" s="72">
        <v>0.975308641975309</v>
      </c>
      <c r="L340" s="73">
        <v>0.965909090909091</v>
      </c>
      <c r="M340" s="72">
        <v>0.971830985915493</v>
      </c>
      <c r="N340" s="74">
        <v>0.9</v>
      </c>
      <c r="O340" s="72">
        <v>0.957847840986977</v>
      </c>
      <c r="P340" s="72">
        <v>0.971538744032317</v>
      </c>
      <c r="Q340" s="72">
        <v>0.969707769066287</v>
      </c>
      <c r="R340" s="72">
        <v>0.970632429862102</v>
      </c>
      <c r="S340" s="74">
        <v>0.9</v>
      </c>
      <c r="T340" s="72">
        <v>0.926319396847156</v>
      </c>
      <c r="U340" s="72">
        <v>0.933712816746236</v>
      </c>
      <c r="V340" s="72">
        <v>0.94119743406985</v>
      </c>
      <c r="W340" s="72">
        <v>0.938354731336186</v>
      </c>
      <c r="X340" s="74">
        <v>0.92</v>
      </c>
      <c r="Y340" s="74">
        <v>0.958469498910675</v>
      </c>
      <c r="Z340" s="74">
        <v>0.971561051004637</v>
      </c>
      <c r="AA340" s="74">
        <v>0.973755047106326</v>
      </c>
      <c r="AB340" s="74">
        <v>0.971443115296513</v>
      </c>
      <c r="AC340" s="74">
        <v>0.92</v>
      </c>
      <c r="AD340" s="72">
        <v>0.998743267504488</v>
      </c>
      <c r="AE340" s="72">
        <v>0.998668695321415</v>
      </c>
      <c r="AF340" s="72">
        <v>0.987151394422311</v>
      </c>
      <c r="AG340" s="72">
        <v>0.997572505429922</v>
      </c>
      <c r="AH340" s="74">
        <v>0.92</v>
      </c>
      <c r="AI340" s="72">
        <v>0.965835921521097</v>
      </c>
      <c r="AJ340" s="72">
        <v>0.975247524752475</v>
      </c>
      <c r="AK340" s="72">
        <v>0.978082664595737</v>
      </c>
      <c r="AL340" s="72">
        <v>0.977334980396369</v>
      </c>
      <c r="AM340" s="71">
        <v>0.99</v>
      </c>
      <c r="AN340" s="76">
        <v>1</v>
      </c>
      <c r="AO340" s="76">
        <v>1</v>
      </c>
      <c r="AP340" s="76">
        <v>1</v>
      </c>
      <c r="AQ340" s="76">
        <v>1</v>
      </c>
      <c r="AR340" s="96">
        <v>0.0739852556983447</v>
      </c>
      <c r="AS340" s="80">
        <v>0.0666666666666667</v>
      </c>
      <c r="AT340" s="80">
        <v>0.0888888888888889</v>
      </c>
      <c r="AU340" s="80">
        <v>0.0444444444444444</v>
      </c>
      <c r="AV340" s="80">
        <v>0.0593406593406593</v>
      </c>
      <c r="AW340" s="36"/>
      <c r="AX340" s="34"/>
    </row>
    <row r="341" ht="14.5" spans="1:50">
      <c r="A341" s="32"/>
      <c r="B341" s="36"/>
      <c r="C341" s="100" t="s">
        <v>377</v>
      </c>
      <c r="D341" s="69" t="s">
        <v>17</v>
      </c>
      <c r="E341" s="107" t="s">
        <v>392</v>
      </c>
      <c r="F341" s="107" t="s">
        <v>392</v>
      </c>
      <c r="G341" s="107" t="s">
        <v>392</v>
      </c>
      <c r="H341" s="107" t="s">
        <v>392</v>
      </c>
      <c r="I341" s="71">
        <v>0.9</v>
      </c>
      <c r="J341" s="72">
        <v>0</v>
      </c>
      <c r="K341" s="72">
        <v>0</v>
      </c>
      <c r="L341" s="73">
        <v>0</v>
      </c>
      <c r="M341" s="72">
        <v>0</v>
      </c>
      <c r="N341" s="74">
        <v>0.9</v>
      </c>
      <c r="O341" s="72">
        <v>0</v>
      </c>
      <c r="P341" s="72">
        <v>0</v>
      </c>
      <c r="Q341" s="72">
        <v>0</v>
      </c>
      <c r="R341" s="72">
        <v>0</v>
      </c>
      <c r="S341" s="74">
        <v>0.9</v>
      </c>
      <c r="T341" s="72">
        <v>0</v>
      </c>
      <c r="U341" s="72">
        <v>0</v>
      </c>
      <c r="V341" s="72">
        <v>0</v>
      </c>
      <c r="W341" s="72">
        <v>0</v>
      </c>
      <c r="X341" s="74">
        <v>0.92</v>
      </c>
      <c r="Y341" s="74">
        <v>0</v>
      </c>
      <c r="Z341" s="74">
        <v>0</v>
      </c>
      <c r="AA341" s="74">
        <v>0</v>
      </c>
      <c r="AB341" s="74">
        <v>0</v>
      </c>
      <c r="AC341" s="74">
        <v>0.92</v>
      </c>
      <c r="AD341" s="72">
        <v>0.994334277620397</v>
      </c>
      <c r="AE341" s="72">
        <v>0.972826086956522</v>
      </c>
      <c r="AF341" s="72">
        <v>0.992307692307692</v>
      </c>
      <c r="AG341" s="72">
        <v>0.98467254993033</v>
      </c>
      <c r="AH341" s="74">
        <v>0.92</v>
      </c>
      <c r="AI341" s="72">
        <v>0</v>
      </c>
      <c r="AJ341" s="72">
        <v>0</v>
      </c>
      <c r="AK341" s="72">
        <v>0</v>
      </c>
      <c r="AL341" s="72">
        <v>0</v>
      </c>
      <c r="AM341" s="71">
        <v>0.99</v>
      </c>
      <c r="AN341" s="76">
        <v>0</v>
      </c>
      <c r="AO341" s="76">
        <v>0</v>
      </c>
      <c r="AP341" s="76">
        <v>0</v>
      </c>
      <c r="AQ341" s="76">
        <v>0</v>
      </c>
      <c r="AR341" s="96">
        <v>0.0739852556983447</v>
      </c>
      <c r="AS341" s="80">
        <v>0</v>
      </c>
      <c r="AT341" s="80">
        <v>0</v>
      </c>
      <c r="AU341" s="80">
        <v>0</v>
      </c>
      <c r="AV341" s="80">
        <v>0</v>
      </c>
      <c r="AW341" s="36"/>
      <c r="AX341" s="34"/>
    </row>
    <row r="342" ht="14.5" spans="1:50">
      <c r="A342" s="32"/>
      <c r="B342" s="36"/>
      <c r="C342" s="100" t="s">
        <v>377</v>
      </c>
      <c r="D342" s="69" t="s">
        <v>17</v>
      </c>
      <c r="E342" s="107" t="s">
        <v>393</v>
      </c>
      <c r="F342" s="107" t="s">
        <v>393</v>
      </c>
      <c r="G342" s="107" t="s">
        <v>393</v>
      </c>
      <c r="H342" s="107" t="s">
        <v>393</v>
      </c>
      <c r="I342" s="71">
        <v>0.9</v>
      </c>
      <c r="J342" s="72">
        <v>0.789473684210526</v>
      </c>
      <c r="K342" s="72">
        <v>0.854545454545454</v>
      </c>
      <c r="L342" s="73">
        <v>0.944444444444444</v>
      </c>
      <c r="M342" s="72">
        <v>0.901768172888016</v>
      </c>
      <c r="N342" s="74">
        <v>0.9</v>
      </c>
      <c r="O342" s="72">
        <v>0.905602455871067</v>
      </c>
      <c r="P342" s="72">
        <v>0.928208027133974</v>
      </c>
      <c r="Q342" s="72">
        <v>0.916554869868527</v>
      </c>
      <c r="R342" s="72">
        <v>0.908304834987628</v>
      </c>
      <c r="S342" s="74">
        <v>0.9</v>
      </c>
      <c r="T342" s="72">
        <v>0.887695062675876</v>
      </c>
      <c r="U342" s="72">
        <v>0.879592990390051</v>
      </c>
      <c r="V342" s="72">
        <v>0.891870136839281</v>
      </c>
      <c r="W342" s="72">
        <v>0.898935134984847</v>
      </c>
      <c r="X342" s="74">
        <v>0.92</v>
      </c>
      <c r="Y342" s="74">
        <v>0.922504072608797</v>
      </c>
      <c r="Z342" s="74">
        <v>0.924459494660068</v>
      </c>
      <c r="AA342" s="74">
        <v>0.932770663562282</v>
      </c>
      <c r="AB342" s="74">
        <v>0.938371862709035</v>
      </c>
      <c r="AC342" s="74">
        <v>0.92</v>
      </c>
      <c r="AD342" s="72">
        <v>0.998477929984779</v>
      </c>
      <c r="AE342" s="72">
        <v>0.816122584943371</v>
      </c>
      <c r="AF342" s="72">
        <v>0.966772151898734</v>
      </c>
      <c r="AG342" s="72">
        <v>0.90797164773279</v>
      </c>
      <c r="AH342" s="74">
        <v>0.92</v>
      </c>
      <c r="AI342" s="72">
        <v>0.93792599805258</v>
      </c>
      <c r="AJ342" s="72">
        <v>0.940674522551808</v>
      </c>
      <c r="AK342" s="72">
        <v>0.944707520891365</v>
      </c>
      <c r="AL342" s="72">
        <v>0.952315599310992</v>
      </c>
      <c r="AM342" s="71">
        <v>0.99</v>
      </c>
      <c r="AN342" s="76">
        <v>1</v>
      </c>
      <c r="AO342" s="76">
        <v>1</v>
      </c>
      <c r="AP342" s="76">
        <v>1</v>
      </c>
      <c r="AQ342" s="76">
        <v>1</v>
      </c>
      <c r="AR342" s="96">
        <v>0.0739852556983447</v>
      </c>
      <c r="AS342" s="80">
        <v>0.0754716981132075</v>
      </c>
      <c r="AT342" s="80">
        <v>0.0612244897959184</v>
      </c>
      <c r="AU342" s="80">
        <v>0.0227272727272727</v>
      </c>
      <c r="AV342" s="80">
        <v>0.055</v>
      </c>
      <c r="AW342" s="36"/>
      <c r="AX342" s="34"/>
    </row>
    <row r="343" ht="14.5" spans="1:50">
      <c r="A343" s="32"/>
      <c r="B343" s="36"/>
      <c r="C343" s="100" t="s">
        <v>377</v>
      </c>
      <c r="D343" s="69" t="s">
        <v>17</v>
      </c>
      <c r="E343" s="107" t="s">
        <v>394</v>
      </c>
      <c r="F343" s="107" t="s">
        <v>394</v>
      </c>
      <c r="G343" s="107" t="s">
        <v>394</v>
      </c>
      <c r="H343" s="107" t="s">
        <v>394</v>
      </c>
      <c r="I343" s="71">
        <v>0.9</v>
      </c>
      <c r="J343" s="72">
        <v>0</v>
      </c>
      <c r="K343" s="72">
        <v>0</v>
      </c>
      <c r="L343" s="73">
        <v>0</v>
      </c>
      <c r="M343" s="72">
        <v>0</v>
      </c>
      <c r="N343" s="74">
        <v>0.9</v>
      </c>
      <c r="O343" s="72">
        <v>0</v>
      </c>
      <c r="P343" s="72">
        <v>0</v>
      </c>
      <c r="Q343" s="72">
        <v>0</v>
      </c>
      <c r="R343" s="72">
        <v>0</v>
      </c>
      <c r="S343" s="74">
        <v>0.9</v>
      </c>
      <c r="T343" s="72">
        <v>0</v>
      </c>
      <c r="U343" s="72">
        <v>0</v>
      </c>
      <c r="V343" s="72">
        <v>0</v>
      </c>
      <c r="W343" s="72">
        <v>0</v>
      </c>
      <c r="X343" s="74">
        <v>0.92</v>
      </c>
      <c r="Y343" s="74">
        <v>0</v>
      </c>
      <c r="Z343" s="74">
        <v>0</v>
      </c>
      <c r="AA343" s="74">
        <v>0</v>
      </c>
      <c r="AB343" s="74">
        <v>0</v>
      </c>
      <c r="AC343" s="74">
        <v>0.92</v>
      </c>
      <c r="AD343" s="72">
        <v>1</v>
      </c>
      <c r="AE343" s="72">
        <v>0.946236559139785</v>
      </c>
      <c r="AF343" s="72">
        <v>0.991150442477876</v>
      </c>
      <c r="AG343" s="72">
        <v>0.981825691862867</v>
      </c>
      <c r="AH343" s="74">
        <v>0.92</v>
      </c>
      <c r="AI343" s="72">
        <v>0</v>
      </c>
      <c r="AJ343" s="72">
        <v>0</v>
      </c>
      <c r="AK343" s="72">
        <v>0</v>
      </c>
      <c r="AL343" s="72">
        <v>0</v>
      </c>
      <c r="AM343" s="71">
        <v>0.99</v>
      </c>
      <c r="AN343" s="76">
        <v>0</v>
      </c>
      <c r="AO343" s="76">
        <v>1</v>
      </c>
      <c r="AP343" s="76">
        <v>0</v>
      </c>
      <c r="AQ343" s="76">
        <v>1</v>
      </c>
      <c r="AR343" s="96">
        <v>0.0739852556983447</v>
      </c>
      <c r="AS343" s="80">
        <v>0</v>
      </c>
      <c r="AT343" s="80">
        <v>0</v>
      </c>
      <c r="AU343" s="80">
        <v>0</v>
      </c>
      <c r="AV343" s="80">
        <v>0</v>
      </c>
      <c r="AW343" s="36"/>
      <c r="AX343" s="34"/>
    </row>
    <row r="344" ht="14.5" spans="1:50">
      <c r="A344" s="32"/>
      <c r="B344" s="36"/>
      <c r="C344" s="100" t="s">
        <v>377</v>
      </c>
      <c r="D344" s="69" t="s">
        <v>17</v>
      </c>
      <c r="E344" s="107" t="s">
        <v>395</v>
      </c>
      <c r="F344" s="107" t="s">
        <v>395</v>
      </c>
      <c r="G344" s="107" t="s">
        <v>395</v>
      </c>
      <c r="H344" s="107" t="s">
        <v>395</v>
      </c>
      <c r="I344" s="71">
        <v>0.9</v>
      </c>
      <c r="J344" s="72">
        <v>0.902777777777778</v>
      </c>
      <c r="K344" s="72">
        <v>0.92</v>
      </c>
      <c r="L344" s="73">
        <v>0.94047619047619</v>
      </c>
      <c r="M344" s="72">
        <v>0.930635838150289</v>
      </c>
      <c r="N344" s="74">
        <v>0.9</v>
      </c>
      <c r="O344" s="72">
        <v>0.925095680699836</v>
      </c>
      <c r="P344" s="72">
        <v>0.938492063492063</v>
      </c>
      <c r="Q344" s="72">
        <v>0.948475492087997</v>
      </c>
      <c r="R344" s="72">
        <v>0.932657047193878</v>
      </c>
      <c r="S344" s="74">
        <v>0.9</v>
      </c>
      <c r="T344" s="72">
        <v>0.905959540732641</v>
      </c>
      <c r="U344" s="72">
        <v>0.92718253968254</v>
      </c>
      <c r="V344" s="72">
        <v>0.923195677344655</v>
      </c>
      <c r="W344" s="72">
        <v>0.921795280612245</v>
      </c>
      <c r="X344" s="74">
        <v>0.92</v>
      </c>
      <c r="Y344" s="74">
        <v>0.939956331877729</v>
      </c>
      <c r="Z344" s="74">
        <v>0.948373173970784</v>
      </c>
      <c r="AA344" s="74">
        <v>0.965811965811966</v>
      </c>
      <c r="AB344" s="74">
        <v>0.955845374366673</v>
      </c>
      <c r="AC344" s="74">
        <v>0.92</v>
      </c>
      <c r="AD344" s="72">
        <v>0.998071592141738</v>
      </c>
      <c r="AE344" s="72">
        <v>0.993693220211728</v>
      </c>
      <c r="AF344" s="72">
        <v>0.995382292869195</v>
      </c>
      <c r="AG344" s="72">
        <v>0.991973819115774</v>
      </c>
      <c r="AH344" s="74">
        <v>0.92</v>
      </c>
      <c r="AI344" s="72">
        <v>0.951989256337082</v>
      </c>
      <c r="AJ344" s="72">
        <v>0.960794941282746</v>
      </c>
      <c r="AK344" s="72">
        <v>0.973373619110566</v>
      </c>
      <c r="AL344" s="72">
        <v>0.967651996063828</v>
      </c>
      <c r="AM344" s="71">
        <v>0.99</v>
      </c>
      <c r="AN344" s="76">
        <v>1</v>
      </c>
      <c r="AO344" s="76">
        <v>1</v>
      </c>
      <c r="AP344" s="76">
        <v>1</v>
      </c>
      <c r="AQ344" s="76">
        <v>1</v>
      </c>
      <c r="AR344" s="96">
        <v>0.0739852556983447</v>
      </c>
      <c r="AS344" s="80">
        <v>0.0222222222222222</v>
      </c>
      <c r="AT344" s="80">
        <v>0</v>
      </c>
      <c r="AU344" s="80">
        <v>0.0232558139534884</v>
      </c>
      <c r="AV344" s="80">
        <v>0.0294117647058824</v>
      </c>
      <c r="AW344" s="36"/>
      <c r="AX344" s="34"/>
    </row>
    <row r="345" ht="14.5" spans="1:50">
      <c r="A345" s="32"/>
      <c r="B345" s="36"/>
      <c r="C345" s="100" t="s">
        <v>377</v>
      </c>
      <c r="D345" s="69" t="s">
        <v>17</v>
      </c>
      <c r="E345" s="107" t="s">
        <v>396</v>
      </c>
      <c r="F345" s="107" t="s">
        <v>396</v>
      </c>
      <c r="G345" s="107" t="s">
        <v>396</v>
      </c>
      <c r="H345" s="107" t="s">
        <v>396</v>
      </c>
      <c r="I345" s="71">
        <v>0.9</v>
      </c>
      <c r="J345" s="72">
        <v>0</v>
      </c>
      <c r="K345" s="72">
        <v>0</v>
      </c>
      <c r="L345" s="73">
        <v>0</v>
      </c>
      <c r="M345" s="72">
        <v>0</v>
      </c>
      <c r="N345" s="74">
        <v>0.9</v>
      </c>
      <c r="O345" s="72">
        <v>0.5</v>
      </c>
      <c r="P345" s="72">
        <v>1</v>
      </c>
      <c r="Q345" s="72">
        <v>1</v>
      </c>
      <c r="R345" s="72">
        <v>0.684210526315789</v>
      </c>
      <c r="S345" s="74">
        <v>0.9</v>
      </c>
      <c r="T345" s="72">
        <v>0.25</v>
      </c>
      <c r="U345" s="72">
        <v>1</v>
      </c>
      <c r="V345" s="72">
        <v>0.4</v>
      </c>
      <c r="W345" s="72">
        <v>0.421052631578947</v>
      </c>
      <c r="X345" s="74">
        <v>0.92</v>
      </c>
      <c r="Y345" s="74">
        <v>0</v>
      </c>
      <c r="Z345" s="74">
        <v>0</v>
      </c>
      <c r="AA345" s="74">
        <v>1</v>
      </c>
      <c r="AB345" s="74">
        <v>0.333333333333333</v>
      </c>
      <c r="AC345" s="74">
        <v>0.92</v>
      </c>
      <c r="AD345" s="72">
        <v>0.998394863563403</v>
      </c>
      <c r="AE345" s="72">
        <v>0.985143545472797</v>
      </c>
      <c r="AF345" s="72">
        <v>0.998595067124571</v>
      </c>
      <c r="AG345" s="72">
        <v>0.991776150837429</v>
      </c>
      <c r="AH345" s="74">
        <v>0.92</v>
      </c>
      <c r="AI345" s="72">
        <v>0.4</v>
      </c>
      <c r="AJ345" s="72">
        <v>1</v>
      </c>
      <c r="AK345" s="72">
        <v>0.428571428571429</v>
      </c>
      <c r="AL345" s="72">
        <v>0.416666666666667</v>
      </c>
      <c r="AM345" s="71">
        <v>0.99</v>
      </c>
      <c r="AN345" s="76">
        <v>1</v>
      </c>
      <c r="AO345" s="76">
        <v>1</v>
      </c>
      <c r="AP345" s="76">
        <v>1</v>
      </c>
      <c r="AQ345" s="76">
        <v>1</v>
      </c>
      <c r="AR345" s="96">
        <v>0.0739852556983447</v>
      </c>
      <c r="AS345" s="80">
        <v>0</v>
      </c>
      <c r="AT345" s="80">
        <v>0</v>
      </c>
      <c r="AU345" s="80">
        <v>0</v>
      </c>
      <c r="AV345" s="80">
        <v>0</v>
      </c>
      <c r="AW345" s="36"/>
      <c r="AX345" s="34"/>
    </row>
    <row r="346" ht="14.5" spans="1:50">
      <c r="A346" s="32"/>
      <c r="B346" s="36"/>
      <c r="C346" s="100" t="s">
        <v>377</v>
      </c>
      <c r="D346" s="69" t="s">
        <v>17</v>
      </c>
      <c r="E346" s="107" t="s">
        <v>397</v>
      </c>
      <c r="F346" s="107" t="s">
        <v>397</v>
      </c>
      <c r="G346" s="107" t="s">
        <v>397</v>
      </c>
      <c r="H346" s="107" t="s">
        <v>397</v>
      </c>
      <c r="I346" s="71">
        <v>0.9</v>
      </c>
      <c r="J346" s="72">
        <v>0</v>
      </c>
      <c r="K346" s="72">
        <v>0</v>
      </c>
      <c r="L346" s="73">
        <v>0</v>
      </c>
      <c r="M346" s="72">
        <v>0</v>
      </c>
      <c r="N346" s="74">
        <v>0.9</v>
      </c>
      <c r="O346" s="72">
        <v>0</v>
      </c>
      <c r="P346" s="72">
        <v>0</v>
      </c>
      <c r="Q346" s="72">
        <v>0</v>
      </c>
      <c r="R346" s="72">
        <v>0</v>
      </c>
      <c r="S346" s="74">
        <v>0.9</v>
      </c>
      <c r="T346" s="72">
        <v>0</v>
      </c>
      <c r="U346" s="72">
        <v>0</v>
      </c>
      <c r="V346" s="72">
        <v>0</v>
      </c>
      <c r="W346" s="72">
        <v>0</v>
      </c>
      <c r="X346" s="74">
        <v>0.92</v>
      </c>
      <c r="Y346" s="74">
        <v>0</v>
      </c>
      <c r="Z346" s="74">
        <v>0</v>
      </c>
      <c r="AA346" s="74">
        <v>0</v>
      </c>
      <c r="AB346" s="74">
        <v>0</v>
      </c>
      <c r="AC346" s="74">
        <v>0.92</v>
      </c>
      <c r="AD346" s="72">
        <v>0.996389891696751</v>
      </c>
      <c r="AE346" s="72">
        <v>0.987421383647799</v>
      </c>
      <c r="AF346" s="72">
        <v>0.992468619246862</v>
      </c>
      <c r="AG346" s="72">
        <v>0.968620485494375</v>
      </c>
      <c r="AH346" s="74">
        <v>0.92</v>
      </c>
      <c r="AI346" s="72">
        <v>0</v>
      </c>
      <c r="AJ346" s="72">
        <v>0</v>
      </c>
      <c r="AK346" s="72">
        <v>0</v>
      </c>
      <c r="AL346" s="72">
        <v>0</v>
      </c>
      <c r="AM346" s="71">
        <v>0.99</v>
      </c>
      <c r="AN346" s="76">
        <v>0</v>
      </c>
      <c r="AO346" s="76">
        <v>1</v>
      </c>
      <c r="AP346" s="76">
        <v>1</v>
      </c>
      <c r="AQ346" s="76">
        <v>1</v>
      </c>
      <c r="AR346" s="96">
        <v>0.0739852556983447</v>
      </c>
      <c r="AS346" s="80">
        <v>0</v>
      </c>
      <c r="AT346" s="80">
        <v>0</v>
      </c>
      <c r="AU346" s="80">
        <v>0</v>
      </c>
      <c r="AV346" s="80">
        <v>0</v>
      </c>
      <c r="AW346" s="36"/>
      <c r="AX346" s="34"/>
    </row>
    <row r="347" ht="14.5" spans="1:50">
      <c r="A347" s="32"/>
      <c r="B347" s="36"/>
      <c r="C347" s="100" t="s">
        <v>377</v>
      </c>
      <c r="D347" s="69" t="s">
        <v>17</v>
      </c>
      <c r="E347" s="107" t="s">
        <v>398</v>
      </c>
      <c r="F347" s="107" t="s">
        <v>398</v>
      </c>
      <c r="G347" s="107" t="s">
        <v>398</v>
      </c>
      <c r="H347" s="107" t="s">
        <v>398</v>
      </c>
      <c r="I347" s="71">
        <v>0.9</v>
      </c>
      <c r="J347" s="72">
        <v>0</v>
      </c>
      <c r="K347" s="72">
        <v>0</v>
      </c>
      <c r="L347" s="73">
        <v>0</v>
      </c>
      <c r="M347" s="72">
        <v>0</v>
      </c>
      <c r="N347" s="74">
        <v>0.9</v>
      </c>
      <c r="O347" s="72">
        <v>0</v>
      </c>
      <c r="P347" s="72">
        <v>0</v>
      </c>
      <c r="Q347" s="72">
        <v>0</v>
      </c>
      <c r="R347" s="72">
        <v>0</v>
      </c>
      <c r="S347" s="74">
        <v>0.9</v>
      </c>
      <c r="T347" s="72">
        <v>0</v>
      </c>
      <c r="U347" s="72">
        <v>0</v>
      </c>
      <c r="V347" s="72">
        <v>1</v>
      </c>
      <c r="W347" s="72">
        <v>0.5</v>
      </c>
      <c r="X347" s="74">
        <v>0.92</v>
      </c>
      <c r="Y347" s="74">
        <v>0</v>
      </c>
      <c r="Z347" s="74">
        <v>0</v>
      </c>
      <c r="AA347" s="74">
        <v>0</v>
      </c>
      <c r="AB347" s="74">
        <v>0</v>
      </c>
      <c r="AC347" s="74">
        <v>0.92</v>
      </c>
      <c r="AD347" s="72">
        <v>0.986093003042156</v>
      </c>
      <c r="AE347" s="72">
        <v>0.990961910910265</v>
      </c>
      <c r="AF347" s="72">
        <v>0.999252429603788</v>
      </c>
      <c r="AG347" s="72">
        <v>0.995025803643599</v>
      </c>
      <c r="AH347" s="74">
        <v>0.92</v>
      </c>
      <c r="AI347" s="72">
        <v>0</v>
      </c>
      <c r="AJ347" s="72">
        <v>0</v>
      </c>
      <c r="AK347" s="72">
        <v>1</v>
      </c>
      <c r="AL347" s="72">
        <v>0.5</v>
      </c>
      <c r="AM347" s="71">
        <v>0.99</v>
      </c>
      <c r="AN347" s="76">
        <v>1</v>
      </c>
      <c r="AO347" s="76">
        <v>1</v>
      </c>
      <c r="AP347" s="76">
        <v>1</v>
      </c>
      <c r="AQ347" s="76">
        <v>1</v>
      </c>
      <c r="AR347" s="96">
        <v>0.0739852556983447</v>
      </c>
      <c r="AS347" s="80">
        <v>0</v>
      </c>
      <c r="AT347" s="80">
        <v>0</v>
      </c>
      <c r="AU347" s="80">
        <v>0</v>
      </c>
      <c r="AV347" s="80">
        <v>0</v>
      </c>
      <c r="AW347" s="36"/>
      <c r="AX347" s="34"/>
    </row>
    <row r="348" ht="14.5" spans="1:50">
      <c r="A348" s="32"/>
      <c r="B348" s="36"/>
      <c r="C348" s="100" t="s">
        <v>377</v>
      </c>
      <c r="D348" s="69" t="s">
        <v>17</v>
      </c>
      <c r="E348" s="107" t="s">
        <v>399</v>
      </c>
      <c r="F348" s="107" t="s">
        <v>399</v>
      </c>
      <c r="G348" s="107" t="s">
        <v>399</v>
      </c>
      <c r="H348" s="107" t="s">
        <v>399</v>
      </c>
      <c r="I348" s="71">
        <v>0.9</v>
      </c>
      <c r="J348" s="72">
        <v>0</v>
      </c>
      <c r="K348" s="72">
        <v>0</v>
      </c>
      <c r="L348" s="73">
        <v>0</v>
      </c>
      <c r="M348" s="72">
        <v>0</v>
      </c>
      <c r="N348" s="74">
        <v>0.9</v>
      </c>
      <c r="O348" s="72">
        <v>0.714285714285714</v>
      </c>
      <c r="P348" s="72">
        <v>1</v>
      </c>
      <c r="Q348" s="72">
        <v>1</v>
      </c>
      <c r="R348" s="72">
        <v>0.870967741935484</v>
      </c>
      <c r="S348" s="74">
        <v>0.9</v>
      </c>
      <c r="T348" s="72">
        <v>0.857142857142857</v>
      </c>
      <c r="U348" s="72">
        <v>1</v>
      </c>
      <c r="V348" s="72">
        <v>1</v>
      </c>
      <c r="W348" s="72">
        <v>0.838709677419355</v>
      </c>
      <c r="X348" s="74">
        <v>0.92</v>
      </c>
      <c r="Y348" s="74">
        <v>0</v>
      </c>
      <c r="Z348" s="74">
        <v>0.5</v>
      </c>
      <c r="AA348" s="74">
        <v>0</v>
      </c>
      <c r="AB348" s="74">
        <v>0.142857142857143</v>
      </c>
      <c r="AC348" s="74">
        <v>0.92</v>
      </c>
      <c r="AD348" s="72">
        <v>0.988636363636364</v>
      </c>
      <c r="AE348" s="72">
        <v>0.990651709401709</v>
      </c>
      <c r="AF348" s="72">
        <v>0.62331373227257</v>
      </c>
      <c r="AG348" s="72">
        <v>0.753979503518521</v>
      </c>
      <c r="AH348" s="74">
        <v>0.92</v>
      </c>
      <c r="AI348" s="72">
        <v>0.857142857142857</v>
      </c>
      <c r="AJ348" s="72">
        <v>0.666666666666667</v>
      </c>
      <c r="AK348" s="72">
        <v>0.5</v>
      </c>
      <c r="AL348" s="72">
        <v>0.714285714285714</v>
      </c>
      <c r="AM348" s="71">
        <v>0.99</v>
      </c>
      <c r="AN348" s="76">
        <v>1</v>
      </c>
      <c r="AO348" s="76">
        <v>1</v>
      </c>
      <c r="AP348" s="76">
        <v>1</v>
      </c>
      <c r="AQ348" s="76">
        <v>1</v>
      </c>
      <c r="AR348" s="96">
        <v>0.0739852556983447</v>
      </c>
      <c r="AS348" s="80">
        <v>0</v>
      </c>
      <c r="AT348" s="80">
        <v>0</v>
      </c>
      <c r="AU348" s="80">
        <v>0</v>
      </c>
      <c r="AV348" s="80">
        <v>0</v>
      </c>
      <c r="AW348" s="36"/>
      <c r="AX348" s="34"/>
    </row>
    <row r="349" ht="14.5" spans="1:50">
      <c r="A349" s="32"/>
      <c r="B349" s="36"/>
      <c r="C349" s="100" t="s">
        <v>377</v>
      </c>
      <c r="D349" s="69" t="s">
        <v>17</v>
      </c>
      <c r="E349" s="107" t="s">
        <v>400</v>
      </c>
      <c r="F349" s="107" t="s">
        <v>400</v>
      </c>
      <c r="G349" s="107" t="s">
        <v>400</v>
      </c>
      <c r="H349" s="107" t="s">
        <v>400</v>
      </c>
      <c r="I349" s="71">
        <v>0.9</v>
      </c>
      <c r="J349" s="72">
        <v>0</v>
      </c>
      <c r="K349" s="72">
        <v>0</v>
      </c>
      <c r="L349" s="73">
        <v>0</v>
      </c>
      <c r="M349" s="72">
        <v>0</v>
      </c>
      <c r="N349" s="74">
        <v>0.9</v>
      </c>
      <c r="O349" s="72">
        <v>0</v>
      </c>
      <c r="P349" s="72">
        <v>0.0227272727272727</v>
      </c>
      <c r="Q349" s="72">
        <v>0.0169491525423729</v>
      </c>
      <c r="R349" s="72">
        <v>0.0387755102040816</v>
      </c>
      <c r="S349" s="74">
        <v>0.9</v>
      </c>
      <c r="T349" s="72">
        <v>0</v>
      </c>
      <c r="U349" s="72">
        <v>0.0227272727272727</v>
      </c>
      <c r="V349" s="72">
        <v>0</v>
      </c>
      <c r="W349" s="72">
        <v>0.036734693877551</v>
      </c>
      <c r="X349" s="74">
        <v>0.92</v>
      </c>
      <c r="Y349" s="74">
        <v>0</v>
      </c>
      <c r="Z349" s="74">
        <v>0</v>
      </c>
      <c r="AA349" s="74">
        <v>0</v>
      </c>
      <c r="AB349" s="74">
        <v>0</v>
      </c>
      <c r="AC349" s="74">
        <v>0.92</v>
      </c>
      <c r="AD349" s="72">
        <v>0.898464032108676</v>
      </c>
      <c r="AE349" s="72">
        <v>0.91116387198892</v>
      </c>
      <c r="AF349" s="72">
        <v>0.983023443815683</v>
      </c>
      <c r="AG349" s="72">
        <v>0.906461213879366</v>
      </c>
      <c r="AH349" s="74">
        <v>0.92</v>
      </c>
      <c r="AI349" s="72">
        <v>0</v>
      </c>
      <c r="AJ349" s="72">
        <v>0.909090909090909</v>
      </c>
      <c r="AK349" s="72">
        <v>0.9</v>
      </c>
      <c r="AL349" s="72">
        <v>0.796747967479675</v>
      </c>
      <c r="AM349" s="71">
        <v>0.99</v>
      </c>
      <c r="AN349" s="76">
        <v>1</v>
      </c>
      <c r="AO349" s="76">
        <v>1</v>
      </c>
      <c r="AP349" s="76">
        <v>1</v>
      </c>
      <c r="AQ349" s="76">
        <v>1</v>
      </c>
      <c r="AR349" s="96">
        <v>0.0739852556983447</v>
      </c>
      <c r="AS349" s="80">
        <v>0</v>
      </c>
      <c r="AT349" s="80">
        <v>0</v>
      </c>
      <c r="AU349" s="80">
        <v>0</v>
      </c>
      <c r="AV349" s="80">
        <v>0</v>
      </c>
      <c r="AW349" s="36"/>
      <c r="AX349" s="34"/>
    </row>
    <row r="350" ht="14.5" spans="1:50">
      <c r="A350" s="32"/>
      <c r="B350" s="36"/>
      <c r="C350" s="97"/>
      <c r="D350" s="97"/>
      <c r="E350" s="97"/>
      <c r="F350" s="97"/>
      <c r="G350" s="97"/>
      <c r="H350" s="97"/>
      <c r="I350" s="99"/>
      <c r="J350" s="86"/>
      <c r="K350" s="86"/>
      <c r="L350" s="73"/>
      <c r="M350" s="86"/>
      <c r="N350" s="89"/>
      <c r="O350" s="86"/>
      <c r="P350" s="86"/>
      <c r="Q350" s="72"/>
      <c r="R350" s="86"/>
      <c r="S350" s="89"/>
      <c r="T350" s="86"/>
      <c r="U350" s="86"/>
      <c r="V350" s="72"/>
      <c r="W350" s="86"/>
      <c r="X350" s="89"/>
      <c r="Y350" s="89"/>
      <c r="Z350" s="89"/>
      <c r="AA350" s="74"/>
      <c r="AB350" s="89"/>
      <c r="AC350" s="86"/>
      <c r="AD350" s="86"/>
      <c r="AE350" s="86"/>
      <c r="AF350" s="72"/>
      <c r="AG350" s="86"/>
      <c r="AH350" s="86"/>
      <c r="AI350" s="86"/>
      <c r="AJ350" s="86"/>
      <c r="AK350" s="72"/>
      <c r="AL350" s="86"/>
      <c r="AM350" s="85"/>
      <c r="AN350" s="85"/>
      <c r="AO350" s="85"/>
      <c r="AP350" s="76"/>
      <c r="AQ350" s="85"/>
      <c r="AR350" s="86"/>
      <c r="AS350" s="85"/>
      <c r="AT350" s="85"/>
      <c r="AU350" s="80"/>
      <c r="AV350" s="85"/>
      <c r="AW350" s="36"/>
      <c r="AX350" s="34"/>
    </row>
    <row r="351" ht="14.5" spans="1:50">
      <c r="A351" s="32"/>
      <c r="B351" s="36"/>
      <c r="C351" s="91" t="s">
        <v>401</v>
      </c>
      <c r="D351" s="69" t="s">
        <v>19</v>
      </c>
      <c r="E351" s="92" t="s">
        <v>402</v>
      </c>
      <c r="F351" s="92" t="s">
        <v>402</v>
      </c>
      <c r="G351" s="92" t="s">
        <v>402</v>
      </c>
      <c r="H351" s="92" t="s">
        <v>402</v>
      </c>
      <c r="I351" s="71">
        <v>0.9</v>
      </c>
      <c r="J351" s="72">
        <v>0.878048780487805</v>
      </c>
      <c r="K351" s="72">
        <v>0.894736842105263</v>
      </c>
      <c r="L351" s="73">
        <v>0.878048780487805</v>
      </c>
      <c r="M351" s="72">
        <v>0.904891304347826</v>
      </c>
      <c r="N351" s="74">
        <v>0.9</v>
      </c>
      <c r="O351" s="72">
        <v>0.951997780244173</v>
      </c>
      <c r="P351" s="72">
        <v>0.969481180061038</v>
      </c>
      <c r="Q351" s="72">
        <v>0.952066115702479</v>
      </c>
      <c r="R351" s="72">
        <v>0.962131264672859</v>
      </c>
      <c r="S351" s="74">
        <v>0.9</v>
      </c>
      <c r="T351" s="72">
        <v>0.810210876803552</v>
      </c>
      <c r="U351" s="72">
        <v>0.863343506273313</v>
      </c>
      <c r="V351" s="72">
        <v>0.878347107438017</v>
      </c>
      <c r="W351" s="72">
        <v>0.818685992310571</v>
      </c>
      <c r="X351" s="74">
        <v>0.92</v>
      </c>
      <c r="Y351" s="74">
        <v>0.838440111420613</v>
      </c>
      <c r="Z351" s="74">
        <v>0.841441441441441</v>
      </c>
      <c r="AA351" s="74">
        <v>0.866328257191201</v>
      </c>
      <c r="AB351" s="74">
        <v>0.846138996138996</v>
      </c>
      <c r="AC351" s="74">
        <v>0.92</v>
      </c>
      <c r="AD351" s="72">
        <v>0.997536945812808</v>
      </c>
      <c r="AE351" s="72">
        <v>0.993640699523052</v>
      </c>
      <c r="AF351" s="72">
        <v>0.987692307692308</v>
      </c>
      <c r="AG351" s="72">
        <v>0.972743055555556</v>
      </c>
      <c r="AH351" s="74">
        <v>0.92</v>
      </c>
      <c r="AI351" s="72">
        <v>0.899722552516845</v>
      </c>
      <c r="AJ351" s="72">
        <v>0.926847290640394</v>
      </c>
      <c r="AK351" s="72">
        <v>0.936058949370097</v>
      </c>
      <c r="AL351" s="72">
        <v>0.92840437570728</v>
      </c>
      <c r="AM351" s="71">
        <v>0.99</v>
      </c>
      <c r="AN351" s="76">
        <v>1</v>
      </c>
      <c r="AO351" s="76">
        <v>1</v>
      </c>
      <c r="AP351" s="76">
        <v>1</v>
      </c>
      <c r="AQ351" s="76">
        <v>1</v>
      </c>
      <c r="AR351" s="96">
        <v>0.05</v>
      </c>
      <c r="AS351" s="80">
        <v>0.153846153846154</v>
      </c>
      <c r="AT351" s="80">
        <v>0</v>
      </c>
      <c r="AU351" s="80">
        <v>0</v>
      </c>
      <c r="AV351" s="80">
        <v>0.0465116279069767</v>
      </c>
      <c r="AW351" s="36"/>
      <c r="AX351" s="34"/>
    </row>
    <row r="352" ht="14.5" spans="1:50">
      <c r="A352" s="32"/>
      <c r="B352" s="36"/>
      <c r="C352" s="91" t="s">
        <v>401</v>
      </c>
      <c r="D352" s="69" t="s">
        <v>19</v>
      </c>
      <c r="E352" s="92" t="s">
        <v>403</v>
      </c>
      <c r="F352" s="92" t="s">
        <v>403</v>
      </c>
      <c r="G352" s="92" t="s">
        <v>403</v>
      </c>
      <c r="H352" s="92" t="s">
        <v>403</v>
      </c>
      <c r="I352" s="71">
        <v>0.9</v>
      </c>
      <c r="J352" s="72">
        <v>0.916666666666667</v>
      </c>
      <c r="K352" s="72">
        <v>0.956521739130435</v>
      </c>
      <c r="L352" s="73">
        <v>0.92</v>
      </c>
      <c r="M352" s="72">
        <v>0.971563981042654</v>
      </c>
      <c r="N352" s="74">
        <v>0.9</v>
      </c>
      <c r="O352" s="72">
        <v>0.993296529968454</v>
      </c>
      <c r="P352" s="72">
        <v>0.996105160662123</v>
      </c>
      <c r="Q352" s="72">
        <v>0.998621956821314</v>
      </c>
      <c r="R352" s="72">
        <v>0.995574350904799</v>
      </c>
      <c r="S352" s="74">
        <v>0.9</v>
      </c>
      <c r="T352" s="72">
        <v>0.819794952681388</v>
      </c>
      <c r="U352" s="72">
        <v>0.897760467380721</v>
      </c>
      <c r="V352" s="72">
        <v>0.848415250344511</v>
      </c>
      <c r="W352" s="72">
        <v>0.842348544453187</v>
      </c>
      <c r="X352" s="74">
        <v>0.92</v>
      </c>
      <c r="Y352" s="74">
        <v>0.938603868797309</v>
      </c>
      <c r="Z352" s="74">
        <v>0.932631578947368</v>
      </c>
      <c r="AA352" s="74">
        <v>0.944773175542406</v>
      </c>
      <c r="AB352" s="74">
        <v>0.946050096339114</v>
      </c>
      <c r="AC352" s="74">
        <v>0.92</v>
      </c>
      <c r="AD352" s="72">
        <v>0.997050147492625</v>
      </c>
      <c r="AE352" s="72">
        <v>0.997184420459878</v>
      </c>
      <c r="AF352" s="72">
        <v>0.99566265060241</v>
      </c>
      <c r="AG352" s="72">
        <v>0.994805194805195</v>
      </c>
      <c r="AH352" s="74">
        <v>0.92</v>
      </c>
      <c r="AI352" s="72">
        <v>0.959484840354172</v>
      </c>
      <c r="AJ352" s="72">
        <v>0.968053244592346</v>
      </c>
      <c r="AK352" s="72">
        <v>0.974302726418051</v>
      </c>
      <c r="AL352" s="72">
        <v>0.972226984399108</v>
      </c>
      <c r="AM352" s="71">
        <v>0.99</v>
      </c>
      <c r="AN352" s="76">
        <v>1</v>
      </c>
      <c r="AO352" s="76">
        <v>1</v>
      </c>
      <c r="AP352" s="76">
        <v>1</v>
      </c>
      <c r="AQ352" s="76">
        <v>1</v>
      </c>
      <c r="AR352" s="96">
        <v>0.05</v>
      </c>
      <c r="AS352" s="80">
        <v>0</v>
      </c>
      <c r="AT352" s="80">
        <v>0.166666666666667</v>
      </c>
      <c r="AU352" s="80">
        <v>0</v>
      </c>
      <c r="AV352" s="80">
        <v>0.0563380281690141</v>
      </c>
      <c r="AW352" s="36"/>
      <c r="AX352" s="34"/>
    </row>
    <row r="353" ht="14.5" spans="1:50">
      <c r="A353" s="32"/>
      <c r="B353" s="36"/>
      <c r="C353" s="91" t="s">
        <v>401</v>
      </c>
      <c r="D353" s="69" t="s">
        <v>19</v>
      </c>
      <c r="E353" s="92" t="s">
        <v>404</v>
      </c>
      <c r="F353" s="92" t="s">
        <v>404</v>
      </c>
      <c r="G353" s="92" t="s">
        <v>404</v>
      </c>
      <c r="H353" s="92" t="s">
        <v>404</v>
      </c>
      <c r="I353" s="71">
        <v>0.9</v>
      </c>
      <c r="J353" s="72">
        <v>0.86046511627907</v>
      </c>
      <c r="K353" s="72">
        <v>0.91304347826087</v>
      </c>
      <c r="L353" s="73">
        <v>0.978260869565217</v>
      </c>
      <c r="M353" s="72">
        <v>0.955773955773956</v>
      </c>
      <c r="N353" s="74">
        <v>0.9</v>
      </c>
      <c r="O353" s="72">
        <v>0.891304347826087</v>
      </c>
      <c r="P353" s="72">
        <v>0.968241965973535</v>
      </c>
      <c r="Q353" s="72">
        <v>0.94011544011544</v>
      </c>
      <c r="R353" s="72">
        <v>0.954548926743564</v>
      </c>
      <c r="S353" s="74">
        <v>0.9</v>
      </c>
      <c r="T353" s="72">
        <v>0.768542199488491</v>
      </c>
      <c r="U353" s="72">
        <v>0.820793950850662</v>
      </c>
      <c r="V353" s="72">
        <v>0.768759018759019</v>
      </c>
      <c r="W353" s="72">
        <v>0.7979527919945</v>
      </c>
      <c r="X353" s="74">
        <v>0.92</v>
      </c>
      <c r="Y353" s="74">
        <v>0.855003940110323</v>
      </c>
      <c r="Z353" s="74">
        <v>0.911330049261084</v>
      </c>
      <c r="AA353" s="74">
        <v>0.777777777777778</v>
      </c>
      <c r="AB353" s="74">
        <v>0.867647058823529</v>
      </c>
      <c r="AC353" s="74">
        <v>0.92</v>
      </c>
      <c r="AD353" s="72">
        <v>0.999026921829387</v>
      </c>
      <c r="AE353" s="72">
        <v>0.992467043314501</v>
      </c>
      <c r="AF353" s="72">
        <v>0.997901049475262</v>
      </c>
      <c r="AG353" s="72">
        <v>0.977076796036334</v>
      </c>
      <c r="AH353" s="74">
        <v>0.92</v>
      </c>
      <c r="AI353" s="72">
        <v>0.941778485330907</v>
      </c>
      <c r="AJ353" s="72">
        <v>0.965046422719825</v>
      </c>
      <c r="AK353" s="72">
        <v>0.916348843122298</v>
      </c>
      <c r="AL353" s="72">
        <v>0.948142200564815</v>
      </c>
      <c r="AM353" s="71">
        <v>0.99</v>
      </c>
      <c r="AN353" s="76">
        <v>1</v>
      </c>
      <c r="AO353" s="76">
        <v>1</v>
      </c>
      <c r="AP353" s="76">
        <v>1</v>
      </c>
      <c r="AQ353" s="76">
        <v>1</v>
      </c>
      <c r="AR353" s="96">
        <v>0.05</v>
      </c>
      <c r="AS353" s="80">
        <v>0</v>
      </c>
      <c r="AT353" s="80">
        <v>0.0434782608695652</v>
      </c>
      <c r="AU353" s="80">
        <v>0</v>
      </c>
      <c r="AV353" s="80">
        <v>0.0672268907563025</v>
      </c>
      <c r="AW353" s="36"/>
      <c r="AX353" s="34"/>
    </row>
    <row r="354" ht="14.5" spans="1:50">
      <c r="A354" s="32"/>
      <c r="B354" s="36"/>
      <c r="C354" s="91" t="s">
        <v>401</v>
      </c>
      <c r="D354" s="69" t="s">
        <v>19</v>
      </c>
      <c r="E354" s="92" t="s">
        <v>405</v>
      </c>
      <c r="F354" s="92" t="s">
        <v>405</v>
      </c>
      <c r="G354" s="92" t="s">
        <v>405</v>
      </c>
      <c r="H354" s="92" t="s">
        <v>405</v>
      </c>
      <c r="I354" s="71">
        <v>0.9</v>
      </c>
      <c r="J354" s="72">
        <v>0.96</v>
      </c>
      <c r="K354" s="72">
        <v>0.875</v>
      </c>
      <c r="L354" s="73">
        <v>0.92</v>
      </c>
      <c r="M354" s="72">
        <v>0.919101123595506</v>
      </c>
      <c r="N354" s="74">
        <v>0.9</v>
      </c>
      <c r="O354" s="72">
        <v>0.90225035161744</v>
      </c>
      <c r="P354" s="72">
        <v>0.910729372007885</v>
      </c>
      <c r="Q354" s="72">
        <v>0.922880635100652</v>
      </c>
      <c r="R354" s="72">
        <v>0.904573188116554</v>
      </c>
      <c r="S354" s="74">
        <v>0.9</v>
      </c>
      <c r="T354" s="72">
        <v>0.726676043131739</v>
      </c>
      <c r="U354" s="72">
        <v>0.765418192058575</v>
      </c>
      <c r="V354" s="72">
        <v>0.734618656081656</v>
      </c>
      <c r="W354" s="72">
        <v>0.702600216684724</v>
      </c>
      <c r="X354" s="74">
        <v>0.92</v>
      </c>
      <c r="Y354" s="74">
        <v>0.749475890985325</v>
      </c>
      <c r="Z354" s="74">
        <v>0.835452505609574</v>
      </c>
      <c r="AA354" s="74">
        <v>0.804644808743169</v>
      </c>
      <c r="AB354" s="74">
        <v>0.79992298806315</v>
      </c>
      <c r="AC354" s="74">
        <v>0.92</v>
      </c>
      <c r="AD354" s="72">
        <v>0.996289424860853</v>
      </c>
      <c r="AE354" s="72">
        <v>0.979141104294479</v>
      </c>
      <c r="AF354" s="72">
        <v>0.985734664764622</v>
      </c>
      <c r="AG354" s="72">
        <v>0.986562150055991</v>
      </c>
      <c r="AH354" s="74">
        <v>0.92</v>
      </c>
      <c r="AI354" s="72">
        <v>0.890470797605565</v>
      </c>
      <c r="AJ354" s="72">
        <v>0.931464811783961</v>
      </c>
      <c r="AK354" s="72">
        <v>0.919455019034262</v>
      </c>
      <c r="AL354" s="72">
        <v>0.922480136444944</v>
      </c>
      <c r="AM354" s="71">
        <v>0.99</v>
      </c>
      <c r="AN354" s="76">
        <v>1</v>
      </c>
      <c r="AO354" s="76">
        <v>1</v>
      </c>
      <c r="AP354" s="76">
        <v>1</v>
      </c>
      <c r="AQ354" s="76">
        <v>1</v>
      </c>
      <c r="AR354" s="96">
        <v>0.05</v>
      </c>
      <c r="AS354" s="80">
        <v>0</v>
      </c>
      <c r="AT354" s="80">
        <v>0.0909090909090909</v>
      </c>
      <c r="AU354" s="80">
        <v>0.0666666666666667</v>
      </c>
      <c r="AV354" s="80">
        <v>0.0803571428571429</v>
      </c>
      <c r="AW354" s="36"/>
      <c r="AX354" s="34"/>
    </row>
    <row r="355" ht="14.5" spans="1:50">
      <c r="A355" s="32"/>
      <c r="B355" s="36"/>
      <c r="C355" s="91" t="s">
        <v>401</v>
      </c>
      <c r="D355" s="69" t="s">
        <v>19</v>
      </c>
      <c r="E355" s="92" t="s">
        <v>406</v>
      </c>
      <c r="F355" s="92" t="s">
        <v>406</v>
      </c>
      <c r="G355" s="92" t="s">
        <v>406</v>
      </c>
      <c r="H355" s="92" t="s">
        <v>406</v>
      </c>
      <c r="I355" s="71">
        <v>0.9</v>
      </c>
      <c r="J355" s="72">
        <v>0.964285714285714</v>
      </c>
      <c r="K355" s="72">
        <v>0.933333333333333</v>
      </c>
      <c r="L355" s="73">
        <v>1</v>
      </c>
      <c r="M355" s="72">
        <v>0.970695970695971</v>
      </c>
      <c r="N355" s="74">
        <v>0.9</v>
      </c>
      <c r="O355" s="72">
        <v>0.978042426497953</v>
      </c>
      <c r="P355" s="72">
        <v>0.988646684831971</v>
      </c>
      <c r="Q355" s="72">
        <v>0.985133362483603</v>
      </c>
      <c r="R355" s="72">
        <v>0.987682075780994</v>
      </c>
      <c r="S355" s="74">
        <v>0.9</v>
      </c>
      <c r="T355" s="72">
        <v>0.799776702642352</v>
      </c>
      <c r="U355" s="72">
        <v>0.881471389645777</v>
      </c>
      <c r="V355" s="72">
        <v>0.865325754263227</v>
      </c>
      <c r="W355" s="72">
        <v>0.865767411362465</v>
      </c>
      <c r="X355" s="74">
        <v>0.92</v>
      </c>
      <c r="Y355" s="74">
        <v>0.814029363784666</v>
      </c>
      <c r="Z355" s="74">
        <v>0.924491771539206</v>
      </c>
      <c r="AA355" s="74">
        <v>0.875</v>
      </c>
      <c r="AB355" s="74">
        <v>0.88541217091066</v>
      </c>
      <c r="AC355" s="74">
        <v>0.92</v>
      </c>
      <c r="AD355" s="72">
        <v>0.995</v>
      </c>
      <c r="AE355" s="72">
        <v>0.998794454490657</v>
      </c>
      <c r="AF355" s="72">
        <v>0.998217468805704</v>
      </c>
      <c r="AG355" s="72">
        <v>0.998889106711102</v>
      </c>
      <c r="AH355" s="74">
        <v>0.92</v>
      </c>
      <c r="AI355" s="72">
        <v>0.918987988755431</v>
      </c>
      <c r="AJ355" s="72">
        <v>0.95982694684796</v>
      </c>
      <c r="AK355" s="72">
        <v>0.947273275082856</v>
      </c>
      <c r="AL355" s="72">
        <v>0.952029520295203</v>
      </c>
      <c r="AM355" s="71">
        <v>0.99</v>
      </c>
      <c r="AN355" s="76">
        <v>1</v>
      </c>
      <c r="AO355" s="76">
        <v>1</v>
      </c>
      <c r="AP355" s="76">
        <v>1</v>
      </c>
      <c r="AQ355" s="76">
        <v>1</v>
      </c>
      <c r="AR355" s="96">
        <v>0.05</v>
      </c>
      <c r="AS355" s="80">
        <v>0</v>
      </c>
      <c r="AT355" s="80">
        <v>0</v>
      </c>
      <c r="AU355" s="80">
        <v>0.0909090909090909</v>
      </c>
      <c r="AV355" s="80">
        <v>0.0454545454545455</v>
      </c>
      <c r="AW355" s="36"/>
      <c r="AX355" s="34"/>
    </row>
    <row r="356" ht="14.5" spans="1:50">
      <c r="A356" s="32"/>
      <c r="B356" s="36"/>
      <c r="C356" s="91" t="s">
        <v>401</v>
      </c>
      <c r="D356" s="69" t="s">
        <v>19</v>
      </c>
      <c r="E356" s="92" t="s">
        <v>407</v>
      </c>
      <c r="F356" s="92" t="s">
        <v>407</v>
      </c>
      <c r="G356" s="92" t="s">
        <v>407</v>
      </c>
      <c r="H356" s="92" t="s">
        <v>407</v>
      </c>
      <c r="I356" s="71">
        <v>0.9</v>
      </c>
      <c r="J356" s="72">
        <v>0.959183673469388</v>
      </c>
      <c r="K356" s="72">
        <v>0.94</v>
      </c>
      <c r="L356" s="73">
        <v>0.928571428571429</v>
      </c>
      <c r="M356" s="72">
        <v>0.930672268907563</v>
      </c>
      <c r="N356" s="74">
        <v>0.9</v>
      </c>
      <c r="O356" s="72">
        <v>0.985011990407674</v>
      </c>
      <c r="P356" s="72">
        <v>0.983514424878232</v>
      </c>
      <c r="Q356" s="72">
        <v>0.987800502332257</v>
      </c>
      <c r="R356" s="72">
        <v>0.978632634457612</v>
      </c>
      <c r="S356" s="74">
        <v>0.9</v>
      </c>
      <c r="T356" s="72">
        <v>0.913669064748201</v>
      </c>
      <c r="U356" s="72">
        <v>0.939677781940802</v>
      </c>
      <c r="V356" s="72">
        <v>0.9167563688554</v>
      </c>
      <c r="W356" s="72">
        <v>0.913582497721057</v>
      </c>
      <c r="X356" s="74">
        <v>0.92</v>
      </c>
      <c r="Y356" s="74">
        <v>0.872317006053935</v>
      </c>
      <c r="Z356" s="74">
        <v>0.879590608067429</v>
      </c>
      <c r="AA356" s="74">
        <v>0.923267326732673</v>
      </c>
      <c r="AB356" s="74">
        <v>0.878876037749237</v>
      </c>
      <c r="AC356" s="74">
        <v>0.92</v>
      </c>
      <c r="AD356" s="72">
        <v>0.993975903614458</v>
      </c>
      <c r="AE356" s="72">
        <v>0.986486486486487</v>
      </c>
      <c r="AF356" s="72">
        <v>0.993957703927492</v>
      </c>
      <c r="AG356" s="72">
        <v>0.989403973509934</v>
      </c>
      <c r="AH356" s="74">
        <v>0.92</v>
      </c>
      <c r="AI356" s="72">
        <v>0.936421787168056</v>
      </c>
      <c r="AJ356" s="72">
        <v>0.945316105214582</v>
      </c>
      <c r="AK356" s="72">
        <v>0.965478083125142</v>
      </c>
      <c r="AL356" s="72">
        <v>0.945176125009029</v>
      </c>
      <c r="AM356" s="71">
        <v>0.99</v>
      </c>
      <c r="AN356" s="76">
        <v>1</v>
      </c>
      <c r="AO356" s="76">
        <v>1</v>
      </c>
      <c r="AP356" s="76">
        <v>1</v>
      </c>
      <c r="AQ356" s="76">
        <v>1</v>
      </c>
      <c r="AR356" s="96">
        <v>0.05</v>
      </c>
      <c r="AS356" s="80">
        <v>0.0909090909090909</v>
      </c>
      <c r="AT356" s="80">
        <v>0</v>
      </c>
      <c r="AU356" s="80">
        <v>0</v>
      </c>
      <c r="AV356" s="80">
        <v>0.0416666666666667</v>
      </c>
      <c r="AW356" s="36"/>
      <c r="AX356" s="34"/>
    </row>
    <row r="357" ht="14.5" spans="1:50">
      <c r="A357" s="32"/>
      <c r="B357" s="36"/>
      <c r="C357" s="91" t="s">
        <v>401</v>
      </c>
      <c r="D357" s="69" t="s">
        <v>19</v>
      </c>
      <c r="E357" s="92" t="s">
        <v>408</v>
      </c>
      <c r="F357" s="92" t="s">
        <v>408</v>
      </c>
      <c r="G357" s="92" t="s">
        <v>408</v>
      </c>
      <c r="H357" s="92" t="s">
        <v>408</v>
      </c>
      <c r="I357" s="71">
        <v>0.9</v>
      </c>
      <c r="J357" s="72">
        <v>0.9375</v>
      </c>
      <c r="K357" s="72">
        <v>1</v>
      </c>
      <c r="L357" s="73">
        <v>1</v>
      </c>
      <c r="M357" s="72">
        <v>0.989247311827957</v>
      </c>
      <c r="N357" s="74">
        <v>0.9</v>
      </c>
      <c r="O357" s="72">
        <v>0.979041916167665</v>
      </c>
      <c r="P357" s="72">
        <v>0.975</v>
      </c>
      <c r="Q357" s="72">
        <v>0.987785016286645</v>
      </c>
      <c r="R357" s="72">
        <v>0.979068050549355</v>
      </c>
      <c r="S357" s="74">
        <v>0.9</v>
      </c>
      <c r="T357" s="72">
        <v>0.923278443113772</v>
      </c>
      <c r="U357" s="72">
        <v>0.913157894736842</v>
      </c>
      <c r="V357" s="72">
        <v>0.94828990228013</v>
      </c>
      <c r="W357" s="72">
        <v>0.932210014331003</v>
      </c>
      <c r="X357" s="74">
        <v>0.92</v>
      </c>
      <c r="Y357" s="74">
        <v>0.902702702702703</v>
      </c>
      <c r="Z357" s="74">
        <v>0.871766029246344</v>
      </c>
      <c r="AA357" s="74">
        <v>0.926517571884984</v>
      </c>
      <c r="AB357" s="74">
        <v>0.915458937198068</v>
      </c>
      <c r="AC357" s="74">
        <v>0.92</v>
      </c>
      <c r="AD357" s="72">
        <v>1</v>
      </c>
      <c r="AE357" s="72">
        <v>1</v>
      </c>
      <c r="AF357" s="72">
        <v>1</v>
      </c>
      <c r="AG357" s="72">
        <v>0.998162890385793</v>
      </c>
      <c r="AH357" s="74">
        <v>0.92</v>
      </c>
      <c r="AI357" s="72">
        <v>0.947201689545935</v>
      </c>
      <c r="AJ357" s="72">
        <v>0.942010715411283</v>
      </c>
      <c r="AK357" s="72">
        <v>0.959351988217968</v>
      </c>
      <c r="AL357" s="72">
        <v>0.959865900383142</v>
      </c>
      <c r="AM357" s="71">
        <v>0.99</v>
      </c>
      <c r="AN357" s="76">
        <v>1</v>
      </c>
      <c r="AO357" s="76">
        <v>1</v>
      </c>
      <c r="AP357" s="76">
        <v>1</v>
      </c>
      <c r="AQ357" s="76">
        <v>1</v>
      </c>
      <c r="AR357" s="96">
        <v>0.05</v>
      </c>
      <c r="AS357" s="80">
        <v>0.111111111111111</v>
      </c>
      <c r="AT357" s="80">
        <v>0</v>
      </c>
      <c r="AU357" s="80">
        <v>0.0909090909090909</v>
      </c>
      <c r="AV357" s="80">
        <v>0.0307692307692308</v>
      </c>
      <c r="AW357" s="36"/>
      <c r="AX357" s="34"/>
    </row>
    <row r="358" ht="14.5" spans="1:50">
      <c r="A358" s="32"/>
      <c r="B358" s="36"/>
      <c r="C358" s="91" t="s">
        <v>401</v>
      </c>
      <c r="D358" s="69" t="s">
        <v>19</v>
      </c>
      <c r="E358" s="108" t="s">
        <v>409</v>
      </c>
      <c r="F358" s="108" t="s">
        <v>409</v>
      </c>
      <c r="G358" s="108" t="s">
        <v>409</v>
      </c>
      <c r="H358" s="108" t="s">
        <v>409</v>
      </c>
      <c r="I358" s="71">
        <v>0.9</v>
      </c>
      <c r="J358" s="72">
        <v>0.888888888888889</v>
      </c>
      <c r="K358" s="72">
        <v>0.944444444444444</v>
      </c>
      <c r="L358" s="73">
        <v>0.894736842105263</v>
      </c>
      <c r="M358" s="72">
        <v>0.912280701754386</v>
      </c>
      <c r="N358" s="74">
        <v>0.9</v>
      </c>
      <c r="O358" s="72">
        <v>0.904593639575972</v>
      </c>
      <c r="P358" s="72">
        <v>0.9775</v>
      </c>
      <c r="Q358" s="72">
        <v>0.980769230769231</v>
      </c>
      <c r="R358" s="72">
        <v>0.958029872855203</v>
      </c>
      <c r="S358" s="74">
        <v>0.9</v>
      </c>
      <c r="T358" s="72">
        <v>0.774861181221605</v>
      </c>
      <c r="U358" s="72">
        <v>0.81875</v>
      </c>
      <c r="V358" s="72">
        <v>0.8515625</v>
      </c>
      <c r="W358" s="72">
        <v>0.797247253425503</v>
      </c>
      <c r="X358" s="74">
        <v>0.92</v>
      </c>
      <c r="Y358" s="74">
        <v>0.681940700808625</v>
      </c>
      <c r="Z358" s="74">
        <v>0.855123674911661</v>
      </c>
      <c r="AA358" s="74">
        <v>0.856049004594181</v>
      </c>
      <c r="AB358" s="74">
        <v>0.819010873377762</v>
      </c>
      <c r="AC358" s="74">
        <v>0.92</v>
      </c>
      <c r="AD358" s="72">
        <v>1</v>
      </c>
      <c r="AE358" s="72">
        <v>0.878787878787879</v>
      </c>
      <c r="AF358" s="72">
        <v>0.983050847457627</v>
      </c>
      <c r="AG358" s="72">
        <v>0.964646464646465</v>
      </c>
      <c r="AH358" s="74">
        <v>0.92</v>
      </c>
      <c r="AI358" s="72">
        <v>0.858296622613803</v>
      </c>
      <c r="AJ358" s="72">
        <v>0.918781725888325</v>
      </c>
      <c r="AK358" s="72">
        <v>0.949072075960294</v>
      </c>
      <c r="AL358" s="72">
        <v>0.926429647209164</v>
      </c>
      <c r="AM358" s="71">
        <v>0.99</v>
      </c>
      <c r="AN358" s="76">
        <v>1</v>
      </c>
      <c r="AO358" s="76">
        <v>1</v>
      </c>
      <c r="AP358" s="76">
        <v>1</v>
      </c>
      <c r="AQ358" s="76">
        <v>1</v>
      </c>
      <c r="AR358" s="96">
        <v>0.05</v>
      </c>
      <c r="AS358" s="80">
        <v>0</v>
      </c>
      <c r="AT358" s="80">
        <v>0</v>
      </c>
      <c r="AU358" s="80">
        <v>0.153846153846154</v>
      </c>
      <c r="AV358" s="80">
        <v>0.0675675675675676</v>
      </c>
      <c r="AW358" s="36"/>
      <c r="AX358" s="34"/>
    </row>
    <row r="359" ht="14.5" spans="1:50">
      <c r="A359" s="32"/>
      <c r="B359" s="36"/>
      <c r="C359" s="91" t="s">
        <v>401</v>
      </c>
      <c r="D359" s="69" t="s">
        <v>19</v>
      </c>
      <c r="E359" s="92" t="s">
        <v>410</v>
      </c>
      <c r="F359" s="92" t="s">
        <v>410</v>
      </c>
      <c r="G359" s="92" t="s">
        <v>410</v>
      </c>
      <c r="H359" s="92" t="s">
        <v>410</v>
      </c>
      <c r="I359" s="71">
        <v>0.9</v>
      </c>
      <c r="J359" s="72">
        <v>0.961538461538462</v>
      </c>
      <c r="K359" s="72">
        <v>0.961538461538462</v>
      </c>
      <c r="L359" s="73">
        <v>0.964285714285714</v>
      </c>
      <c r="M359" s="72">
        <v>0.9581589958159</v>
      </c>
      <c r="N359" s="74">
        <v>0.9</v>
      </c>
      <c r="O359" s="72">
        <v>0</v>
      </c>
      <c r="P359" s="72">
        <v>0</v>
      </c>
      <c r="Q359" s="72">
        <v>1</v>
      </c>
      <c r="R359" s="72">
        <v>0.4</v>
      </c>
      <c r="S359" s="74">
        <v>0.9</v>
      </c>
      <c r="T359" s="72">
        <v>0</v>
      </c>
      <c r="U359" s="72">
        <v>0</v>
      </c>
      <c r="V359" s="72">
        <v>1</v>
      </c>
      <c r="W359" s="72">
        <v>0.4</v>
      </c>
      <c r="X359" s="74">
        <v>0.92</v>
      </c>
      <c r="Y359" s="74">
        <v>0.181818181818182</v>
      </c>
      <c r="Z359" s="74">
        <v>0.666666666666667</v>
      </c>
      <c r="AA359" s="74">
        <v>0</v>
      </c>
      <c r="AB359" s="74">
        <v>0.615384615384615</v>
      </c>
      <c r="AC359" s="74">
        <v>0.92</v>
      </c>
      <c r="AD359" s="72">
        <v>0.996913580246914</v>
      </c>
      <c r="AE359" s="72">
        <v>0.992248062015504</v>
      </c>
      <c r="AF359" s="72">
        <v>0.997435897435897</v>
      </c>
      <c r="AG359" s="72">
        <v>0.994915707786995</v>
      </c>
      <c r="AH359" s="74">
        <v>0.92</v>
      </c>
      <c r="AI359" s="72">
        <v>0.964770430262778</v>
      </c>
      <c r="AJ359" s="72">
        <v>0.986138613861386</v>
      </c>
      <c r="AK359" s="72">
        <v>0.990580370707992</v>
      </c>
      <c r="AL359" s="72">
        <v>0.985680857751545</v>
      </c>
      <c r="AM359" s="71">
        <v>0.99</v>
      </c>
      <c r="AN359" s="76">
        <v>1</v>
      </c>
      <c r="AO359" s="76">
        <v>1</v>
      </c>
      <c r="AP359" s="76">
        <v>1</v>
      </c>
      <c r="AQ359" s="76">
        <v>1</v>
      </c>
      <c r="AR359" s="96">
        <v>0.05</v>
      </c>
      <c r="AS359" s="80">
        <v>0.1</v>
      </c>
      <c r="AT359" s="80">
        <v>0.0909090909090909</v>
      </c>
      <c r="AU359" s="80">
        <v>0</v>
      </c>
      <c r="AV359" s="80">
        <v>0.0625</v>
      </c>
      <c r="AW359" s="36"/>
      <c r="AX359" s="34"/>
    </row>
    <row r="360" ht="14.5" spans="1:50">
      <c r="A360" s="32"/>
      <c r="B360" s="36"/>
      <c r="C360" s="91" t="s">
        <v>401</v>
      </c>
      <c r="D360" s="69" t="s">
        <v>19</v>
      </c>
      <c r="E360" s="92" t="s">
        <v>411</v>
      </c>
      <c r="F360" s="92" t="s">
        <v>411</v>
      </c>
      <c r="G360" s="92" t="s">
        <v>411</v>
      </c>
      <c r="H360" s="92" t="s">
        <v>411</v>
      </c>
      <c r="I360" s="71">
        <v>0.9</v>
      </c>
      <c r="J360" s="72">
        <v>0.951219512195122</v>
      </c>
      <c r="K360" s="72">
        <v>0.977272727272727</v>
      </c>
      <c r="L360" s="73">
        <v>1</v>
      </c>
      <c r="M360" s="72">
        <v>0.982278481012658</v>
      </c>
      <c r="N360" s="74">
        <v>0.9</v>
      </c>
      <c r="O360" s="72">
        <v>0.958653131963357</v>
      </c>
      <c r="P360" s="72">
        <v>0.98312356979405</v>
      </c>
      <c r="Q360" s="72">
        <v>0.981771575049843</v>
      </c>
      <c r="R360" s="72">
        <v>0.969348322501317</v>
      </c>
      <c r="S360" s="74">
        <v>0.9</v>
      </c>
      <c r="T360" s="72">
        <v>0.782619460262441</v>
      </c>
      <c r="U360" s="72">
        <v>0.878718535469107</v>
      </c>
      <c r="V360" s="72">
        <v>0.895186556536599</v>
      </c>
      <c r="W360" s="72">
        <v>0.841559810293343</v>
      </c>
      <c r="X360" s="74">
        <v>0.92</v>
      </c>
      <c r="Y360" s="74">
        <v>0.799460916442049</v>
      </c>
      <c r="Z360" s="74">
        <v>0.883466860888565</v>
      </c>
      <c r="AA360" s="74">
        <v>0.885302197802198</v>
      </c>
      <c r="AB360" s="74">
        <v>0.865497076023392</v>
      </c>
      <c r="AC360" s="74">
        <v>0.92</v>
      </c>
      <c r="AD360" s="72">
        <v>0.997697484945094</v>
      </c>
      <c r="AE360" s="72">
        <v>0.987966908999749</v>
      </c>
      <c r="AF360" s="72">
        <v>0.997601507623779</v>
      </c>
      <c r="AG360" s="72">
        <v>0.996980619350456</v>
      </c>
      <c r="AH360" s="74">
        <v>0.92</v>
      </c>
      <c r="AI360" s="72">
        <v>0.886174724342663</v>
      </c>
      <c r="AJ360" s="72">
        <v>0.943578169881001</v>
      </c>
      <c r="AK360" s="72">
        <v>0.947474340913665</v>
      </c>
      <c r="AL360" s="72">
        <v>0.9381169883601</v>
      </c>
      <c r="AM360" s="71">
        <v>0.99</v>
      </c>
      <c r="AN360" s="76">
        <v>1</v>
      </c>
      <c r="AO360" s="76">
        <v>1</v>
      </c>
      <c r="AP360" s="76">
        <v>1</v>
      </c>
      <c r="AQ360" s="76">
        <v>1</v>
      </c>
      <c r="AR360" s="96">
        <v>0.05</v>
      </c>
      <c r="AS360" s="80">
        <v>0.00746268656716418</v>
      </c>
      <c r="AT360" s="80">
        <v>0.01</v>
      </c>
      <c r="AU360" s="80">
        <v>0</v>
      </c>
      <c r="AV360" s="80">
        <v>0.00581395348837209</v>
      </c>
      <c r="AW360" s="36"/>
      <c r="AX360" s="34"/>
    </row>
    <row r="361" ht="14.5" spans="1:50">
      <c r="A361" s="32"/>
      <c r="B361" s="36"/>
      <c r="C361" s="91" t="s">
        <v>401</v>
      </c>
      <c r="D361" s="69" t="s">
        <v>19</v>
      </c>
      <c r="E361" s="92" t="s">
        <v>412</v>
      </c>
      <c r="F361" s="92" t="s">
        <v>412</v>
      </c>
      <c r="G361" s="92" t="s">
        <v>412</v>
      </c>
      <c r="H361" s="92" t="s">
        <v>412</v>
      </c>
      <c r="I361" s="71">
        <v>0.9</v>
      </c>
      <c r="J361" s="72">
        <v>0.84</v>
      </c>
      <c r="K361" s="72">
        <v>0.94</v>
      </c>
      <c r="L361" s="73">
        <v>0.826923076923077</v>
      </c>
      <c r="M361" s="72">
        <v>0.884187082405345</v>
      </c>
      <c r="N361" s="74">
        <v>0.9</v>
      </c>
      <c r="O361" s="72">
        <v>0.876333333333333</v>
      </c>
      <c r="P361" s="72">
        <v>0.895666509656147</v>
      </c>
      <c r="Q361" s="72">
        <v>0.883209935514688</v>
      </c>
      <c r="R361" s="72">
        <v>0.906733647942356</v>
      </c>
      <c r="S361" s="74">
        <v>0.9</v>
      </c>
      <c r="T361" s="72">
        <v>0.634333333333333</v>
      </c>
      <c r="U361" s="72">
        <v>0.806406029203957</v>
      </c>
      <c r="V361" s="72">
        <v>0.769285884881777</v>
      </c>
      <c r="W361" s="72">
        <v>0.737910387172071</v>
      </c>
      <c r="X361" s="74">
        <v>0.92</v>
      </c>
      <c r="Y361" s="74">
        <v>0.860409145607702</v>
      </c>
      <c r="Z361" s="74">
        <v>0.879633867276888</v>
      </c>
      <c r="AA361" s="74">
        <v>0.888143176733781</v>
      </c>
      <c r="AB361" s="74">
        <v>0.871673986050116</v>
      </c>
      <c r="AC361" s="74">
        <v>0.92</v>
      </c>
      <c r="AD361" s="72">
        <v>0.992625368731563</v>
      </c>
      <c r="AE361" s="72">
        <v>0.960280373831776</v>
      </c>
      <c r="AF361" s="72">
        <v>0.993197278911565</v>
      </c>
      <c r="AG361" s="72">
        <v>0.988798856053384</v>
      </c>
      <c r="AH361" s="74">
        <v>0.92</v>
      </c>
      <c r="AI361" s="72">
        <v>0.935852165725047</v>
      </c>
      <c r="AJ361" s="72">
        <v>0.944643134815736</v>
      </c>
      <c r="AK361" s="72">
        <v>0.947112970711297</v>
      </c>
      <c r="AL361" s="72">
        <v>0.944475807185912</v>
      </c>
      <c r="AM361" s="71">
        <v>0.99</v>
      </c>
      <c r="AN361" s="76">
        <v>1</v>
      </c>
      <c r="AO361" s="76">
        <v>1</v>
      </c>
      <c r="AP361" s="76">
        <v>1</v>
      </c>
      <c r="AQ361" s="76">
        <v>1</v>
      </c>
      <c r="AR361" s="96">
        <v>0.05</v>
      </c>
      <c r="AS361" s="80">
        <v>0.0714285714285714</v>
      </c>
      <c r="AT361" s="80">
        <v>0</v>
      </c>
      <c r="AU361" s="80">
        <v>0</v>
      </c>
      <c r="AV361" s="80">
        <v>0.0467289719626168</v>
      </c>
      <c r="AW361" s="36"/>
      <c r="AX361" s="34"/>
    </row>
    <row r="362" ht="14.5" spans="1:50">
      <c r="A362" s="32"/>
      <c r="B362" s="36"/>
      <c r="C362" s="91" t="s">
        <v>401</v>
      </c>
      <c r="D362" s="69" t="s">
        <v>19</v>
      </c>
      <c r="E362" s="92" t="s">
        <v>413</v>
      </c>
      <c r="F362" s="92" t="s">
        <v>413</v>
      </c>
      <c r="G362" s="92" t="s">
        <v>413</v>
      </c>
      <c r="H362" s="92" t="s">
        <v>413</v>
      </c>
      <c r="I362" s="71">
        <v>0.9</v>
      </c>
      <c r="J362" s="72">
        <v>1</v>
      </c>
      <c r="K362" s="72">
        <v>0.978260869565217</v>
      </c>
      <c r="L362" s="73">
        <v>0.979166666666667</v>
      </c>
      <c r="M362" s="72">
        <v>0.992443324937028</v>
      </c>
      <c r="N362" s="74">
        <v>0.9</v>
      </c>
      <c r="O362" s="72">
        <v>0.285714285714286</v>
      </c>
      <c r="P362" s="72">
        <v>0</v>
      </c>
      <c r="Q362" s="72">
        <v>0</v>
      </c>
      <c r="R362" s="72">
        <v>0.363636363636364</v>
      </c>
      <c r="S362" s="74">
        <v>0.9</v>
      </c>
      <c r="T362" s="72">
        <v>0</v>
      </c>
      <c r="U362" s="72">
        <v>0</v>
      </c>
      <c r="V362" s="72">
        <v>0</v>
      </c>
      <c r="W362" s="72">
        <v>0.181818181818182</v>
      </c>
      <c r="X362" s="74">
        <v>0.92</v>
      </c>
      <c r="Y362" s="74">
        <v>0</v>
      </c>
      <c r="Z362" s="74">
        <v>0</v>
      </c>
      <c r="AA362" s="74">
        <v>0</v>
      </c>
      <c r="AB362" s="74">
        <v>0.807692307692308</v>
      </c>
      <c r="AC362" s="74">
        <v>0.92</v>
      </c>
      <c r="AD362" s="72">
        <v>0.973214285714286</v>
      </c>
      <c r="AE362" s="72">
        <v>0.992405063291139</v>
      </c>
      <c r="AF362" s="72">
        <v>0.983425414364641</v>
      </c>
      <c r="AG362" s="72">
        <v>0.979211914365498</v>
      </c>
      <c r="AH362" s="74">
        <v>0.92</v>
      </c>
      <c r="AI362" s="72">
        <v>0.970504441092676</v>
      </c>
      <c r="AJ362" s="72">
        <v>0.978963838664812</v>
      </c>
      <c r="AK362" s="72">
        <v>0.988191751850546</v>
      </c>
      <c r="AL362" s="72">
        <v>0.979929851909587</v>
      </c>
      <c r="AM362" s="71">
        <v>0.99</v>
      </c>
      <c r="AN362" s="76">
        <v>1</v>
      </c>
      <c r="AO362" s="76">
        <v>1</v>
      </c>
      <c r="AP362" s="76">
        <v>1</v>
      </c>
      <c r="AQ362" s="76">
        <v>1</v>
      </c>
      <c r="AR362" s="96">
        <v>0.05</v>
      </c>
      <c r="AS362" s="80">
        <v>0.111111111111111</v>
      </c>
      <c r="AT362" s="80">
        <v>0.25</v>
      </c>
      <c r="AU362" s="80">
        <v>0</v>
      </c>
      <c r="AV362" s="80">
        <v>0.0748299319727891</v>
      </c>
      <c r="AW362" s="36"/>
      <c r="AX362" s="34"/>
    </row>
    <row r="363" ht="14.5" spans="1:50">
      <c r="A363" s="32"/>
      <c r="B363" s="36"/>
      <c r="C363" s="91" t="s">
        <v>401</v>
      </c>
      <c r="D363" s="69" t="s">
        <v>19</v>
      </c>
      <c r="E363" s="92" t="s">
        <v>414</v>
      </c>
      <c r="F363" s="92" t="s">
        <v>414</v>
      </c>
      <c r="G363" s="92" t="s">
        <v>414</v>
      </c>
      <c r="H363" s="92" t="s">
        <v>414</v>
      </c>
      <c r="I363" s="71">
        <v>0.9</v>
      </c>
      <c r="J363" s="72">
        <v>0.938775510204082</v>
      </c>
      <c r="K363" s="72">
        <v>0.886792452830189</v>
      </c>
      <c r="L363" s="73">
        <v>0.924528301886792</v>
      </c>
      <c r="M363" s="72">
        <v>0.930379746835443</v>
      </c>
      <c r="N363" s="74">
        <v>0.9</v>
      </c>
      <c r="O363" s="72">
        <v>0.981109227415839</v>
      </c>
      <c r="P363" s="72">
        <v>0.990581717451524</v>
      </c>
      <c r="Q363" s="72">
        <v>0.975429975429975</v>
      </c>
      <c r="R363" s="72">
        <v>0.984419593453317</v>
      </c>
      <c r="S363" s="74">
        <v>0.9</v>
      </c>
      <c r="T363" s="72">
        <v>0.744732380721724</v>
      </c>
      <c r="U363" s="72">
        <v>0.837950138504155</v>
      </c>
      <c r="V363" s="72">
        <v>0.806715806715807</v>
      </c>
      <c r="W363" s="72">
        <v>0.81137515289184</v>
      </c>
      <c r="X363" s="74">
        <v>0.92</v>
      </c>
      <c r="Y363" s="74">
        <v>0.842461885940147</v>
      </c>
      <c r="Z363" s="74">
        <v>0.882602545968883</v>
      </c>
      <c r="AA363" s="74">
        <v>0.841939546599496</v>
      </c>
      <c r="AB363" s="74">
        <v>0.863548511789718</v>
      </c>
      <c r="AC363" s="74">
        <v>0.92</v>
      </c>
      <c r="AD363" s="72">
        <v>0.998595505617977</v>
      </c>
      <c r="AE363" s="72">
        <v>0.997634535777646</v>
      </c>
      <c r="AF363" s="72">
        <v>0.996517701683111</v>
      </c>
      <c r="AG363" s="72">
        <v>0.997477931904161</v>
      </c>
      <c r="AH363" s="74">
        <v>0.92</v>
      </c>
      <c r="AI363" s="72">
        <v>0.912521150592217</v>
      </c>
      <c r="AJ363" s="72">
        <v>0.945671641791045</v>
      </c>
      <c r="AK363" s="72">
        <v>0.920396115025709</v>
      </c>
      <c r="AL363" s="72">
        <v>0.938126453795728</v>
      </c>
      <c r="AM363" s="71">
        <v>0.99</v>
      </c>
      <c r="AN363" s="76">
        <v>1</v>
      </c>
      <c r="AO363" s="76">
        <v>1</v>
      </c>
      <c r="AP363" s="76">
        <v>1</v>
      </c>
      <c r="AQ363" s="76">
        <v>1</v>
      </c>
      <c r="AR363" s="96">
        <v>0.05</v>
      </c>
      <c r="AS363" s="80">
        <v>0</v>
      </c>
      <c r="AT363" s="80">
        <v>0.0416666666666667</v>
      </c>
      <c r="AU363" s="80">
        <v>0.0769230769230769</v>
      </c>
      <c r="AV363" s="80">
        <v>0.0584415584415584</v>
      </c>
      <c r="AW363" s="36"/>
      <c r="AX363" s="34"/>
    </row>
    <row r="364" ht="14.5" spans="1:50">
      <c r="A364" s="32"/>
      <c r="B364" s="36"/>
      <c r="C364" s="91" t="s">
        <v>401</v>
      </c>
      <c r="D364" s="69" t="s">
        <v>19</v>
      </c>
      <c r="E364" s="92" t="s">
        <v>415</v>
      </c>
      <c r="F364" s="92" t="s">
        <v>415</v>
      </c>
      <c r="G364" s="92" t="s">
        <v>415</v>
      </c>
      <c r="H364" s="92" t="s">
        <v>415</v>
      </c>
      <c r="I364" s="71">
        <v>0.9</v>
      </c>
      <c r="J364" s="72">
        <v>0.72</v>
      </c>
      <c r="K364" s="72">
        <v>0.806451612903226</v>
      </c>
      <c r="L364" s="73">
        <v>0.796875</v>
      </c>
      <c r="M364" s="72">
        <v>0.804971319311663</v>
      </c>
      <c r="N364" s="74">
        <v>0.9</v>
      </c>
      <c r="O364" s="72">
        <v>0.739206534422404</v>
      </c>
      <c r="P364" s="72">
        <v>0.978541953232462</v>
      </c>
      <c r="Q364" s="72">
        <v>0.824275951838594</v>
      </c>
      <c r="R364" s="72">
        <v>0.863951304798291</v>
      </c>
      <c r="S364" s="74">
        <v>0.9</v>
      </c>
      <c r="T364" s="72">
        <v>0.606767794632439</v>
      </c>
      <c r="U364" s="72">
        <v>0.721320495185695</v>
      </c>
      <c r="V364" s="72">
        <v>0.786527822974292</v>
      </c>
      <c r="W364" s="72">
        <v>0.705530013598394</v>
      </c>
      <c r="X364" s="74">
        <v>0.92</v>
      </c>
      <c r="Y364" s="74">
        <v>0.814958717824186</v>
      </c>
      <c r="Z364" s="74">
        <v>0.856768787640744</v>
      </c>
      <c r="AA364" s="74">
        <v>0.885891089108911</v>
      </c>
      <c r="AB364" s="74">
        <v>0.86340471532997</v>
      </c>
      <c r="AC364" s="74">
        <v>0.92</v>
      </c>
      <c r="AD364" s="72">
        <v>0.983299516154206</v>
      </c>
      <c r="AE364" s="72">
        <v>0.968399101700353</v>
      </c>
      <c r="AF364" s="72">
        <v>0.983682008368201</v>
      </c>
      <c r="AG364" s="72">
        <v>0.975048453842259</v>
      </c>
      <c r="AH364" s="74">
        <v>0.92</v>
      </c>
      <c r="AI364" s="72">
        <v>0.845818470075307</v>
      </c>
      <c r="AJ364" s="72">
        <v>0.91268246953261</v>
      </c>
      <c r="AK364" s="72">
        <v>0.918318571629411</v>
      </c>
      <c r="AL364" s="72">
        <v>0.898816856217951</v>
      </c>
      <c r="AM364" s="71">
        <v>0.99</v>
      </c>
      <c r="AN364" s="76">
        <v>1</v>
      </c>
      <c r="AO364" s="76">
        <v>1</v>
      </c>
      <c r="AP364" s="76">
        <v>1</v>
      </c>
      <c r="AQ364" s="76">
        <v>1</v>
      </c>
      <c r="AR364" s="96">
        <v>0.05</v>
      </c>
      <c r="AS364" s="80">
        <v>0.0357142857142857</v>
      </c>
      <c r="AT364" s="80">
        <v>0.0689655172413793</v>
      </c>
      <c r="AU364" s="80">
        <v>0.0327868852459016</v>
      </c>
      <c r="AV364" s="80">
        <v>0.0329289428076256</v>
      </c>
      <c r="AW364" s="36"/>
      <c r="AX364" s="34"/>
    </row>
    <row r="365" ht="14.5" spans="1:50">
      <c r="A365" s="32"/>
      <c r="B365" s="36"/>
      <c r="C365" s="91" t="s">
        <v>401</v>
      </c>
      <c r="D365" s="69" t="s">
        <v>19</v>
      </c>
      <c r="E365" s="92" t="s">
        <v>416</v>
      </c>
      <c r="F365" s="92" t="s">
        <v>416</v>
      </c>
      <c r="G365" s="92" t="s">
        <v>416</v>
      </c>
      <c r="H365" s="92" t="s">
        <v>416</v>
      </c>
      <c r="I365" s="71">
        <v>0.9</v>
      </c>
      <c r="J365" s="72">
        <v>0.697674418604651</v>
      </c>
      <c r="K365" s="72">
        <v>0.782608695652174</v>
      </c>
      <c r="L365" s="73">
        <v>0.705882352941177</v>
      </c>
      <c r="M365" s="72">
        <v>0.718535469107552</v>
      </c>
      <c r="N365" s="74">
        <v>0.9</v>
      </c>
      <c r="O365" s="72">
        <v>0.951506754416349</v>
      </c>
      <c r="P365" s="72">
        <v>0.590846994535519</v>
      </c>
      <c r="Q365" s="72">
        <v>0.750608695652174</v>
      </c>
      <c r="R365" s="72">
        <v>0.738583918051855</v>
      </c>
      <c r="S365" s="74">
        <v>0.9</v>
      </c>
      <c r="T365" s="72">
        <v>0.727398683754763</v>
      </c>
      <c r="U365" s="72">
        <v>0.756147540983607</v>
      </c>
      <c r="V365" s="72">
        <v>0.8</v>
      </c>
      <c r="W365" s="72">
        <v>0.768076244793816</v>
      </c>
      <c r="X365" s="74">
        <v>0.92</v>
      </c>
      <c r="Y365" s="74">
        <v>0.902315914489311</v>
      </c>
      <c r="Z365" s="74">
        <v>0.932325413966883</v>
      </c>
      <c r="AA365" s="74">
        <v>0.946408634164496</v>
      </c>
      <c r="AB365" s="74">
        <v>0.932561283016111</v>
      </c>
      <c r="AC365" s="74">
        <v>0.92</v>
      </c>
      <c r="AD365" s="72">
        <v>0.994070309191021</v>
      </c>
      <c r="AE365" s="72">
        <v>0.976662320730117</v>
      </c>
      <c r="AF365" s="72">
        <v>0.981988472622478</v>
      </c>
      <c r="AG365" s="72">
        <v>0.93891616007282</v>
      </c>
      <c r="AH365" s="74">
        <v>0.92</v>
      </c>
      <c r="AI365" s="72">
        <v>0.925227672152101</v>
      </c>
      <c r="AJ365" s="72">
        <v>0.953423218350552</v>
      </c>
      <c r="AK365" s="72">
        <v>0.964221503056454</v>
      </c>
      <c r="AL365" s="72">
        <v>0.954818664348727</v>
      </c>
      <c r="AM365" s="71">
        <v>0.99</v>
      </c>
      <c r="AN365" s="76">
        <v>1</v>
      </c>
      <c r="AO365" s="76">
        <v>1</v>
      </c>
      <c r="AP365" s="76">
        <v>1</v>
      </c>
      <c r="AQ365" s="76">
        <v>0.996575342465753</v>
      </c>
      <c r="AR365" s="96">
        <v>0.05</v>
      </c>
      <c r="AS365" s="80">
        <v>0.179487179487179</v>
      </c>
      <c r="AT365" s="80">
        <v>0.147058823529412</v>
      </c>
      <c r="AU365" s="80">
        <v>0.0217391304347826</v>
      </c>
      <c r="AV365" s="80">
        <v>0.0623145400593472</v>
      </c>
      <c r="AW365" s="36"/>
      <c r="AX365" s="34"/>
    </row>
    <row r="366" ht="14.5" spans="1:50">
      <c r="A366" s="32"/>
      <c r="B366" s="36"/>
      <c r="C366" s="91" t="s">
        <v>401</v>
      </c>
      <c r="D366" s="69" t="s">
        <v>19</v>
      </c>
      <c r="E366" s="92" t="s">
        <v>417</v>
      </c>
      <c r="F366" s="92" t="s">
        <v>417</v>
      </c>
      <c r="G366" s="92" t="s">
        <v>417</v>
      </c>
      <c r="H366" s="92" t="s">
        <v>417</v>
      </c>
      <c r="I366" s="71">
        <v>0.9</v>
      </c>
      <c r="J366" s="72">
        <v>0.551724137931034</v>
      </c>
      <c r="K366" s="72">
        <v>0.602941176470588</v>
      </c>
      <c r="L366" s="73">
        <v>0.628571428571429</v>
      </c>
      <c r="M366" s="72">
        <v>0.618487394957983</v>
      </c>
      <c r="N366" s="74">
        <v>0.9</v>
      </c>
      <c r="O366" s="72">
        <v>0.748385360602799</v>
      </c>
      <c r="P366" s="72">
        <v>0.90788013318535</v>
      </c>
      <c r="Q366" s="72">
        <v>0.900662251655629</v>
      </c>
      <c r="R366" s="72">
        <v>0.817380155727196</v>
      </c>
      <c r="S366" s="74">
        <v>0.9</v>
      </c>
      <c r="T366" s="72">
        <v>0.670344456404736</v>
      </c>
      <c r="U366" s="72">
        <v>0.741398446170921</v>
      </c>
      <c r="V366" s="72">
        <v>0.756773028296207</v>
      </c>
      <c r="W366" s="72">
        <v>0.716407642515401</v>
      </c>
      <c r="X366" s="74">
        <v>0.92</v>
      </c>
      <c r="Y366" s="74">
        <v>0.798260051728192</v>
      </c>
      <c r="Z366" s="74">
        <v>0.906183932346723</v>
      </c>
      <c r="AA366" s="74">
        <v>0.935218226736206</v>
      </c>
      <c r="AB366" s="74">
        <v>0.895817654015697</v>
      </c>
      <c r="AC366" s="74">
        <v>0.92</v>
      </c>
      <c r="AD366" s="72">
        <v>0.98761557384002</v>
      </c>
      <c r="AE366" s="72">
        <v>0.943592429116481</v>
      </c>
      <c r="AF366" s="72">
        <v>0.986489846663904</v>
      </c>
      <c r="AG366" s="72">
        <v>0.984047315678915</v>
      </c>
      <c r="AH366" s="74">
        <v>0.92</v>
      </c>
      <c r="AI366" s="72">
        <v>0.836657884832518</v>
      </c>
      <c r="AJ366" s="72">
        <v>0.931412337662338</v>
      </c>
      <c r="AK366" s="72">
        <v>0.953495048083824</v>
      </c>
      <c r="AL366" s="72">
        <v>0.919880362380615</v>
      </c>
      <c r="AM366" s="71">
        <v>0.99</v>
      </c>
      <c r="AN366" s="76">
        <v>1</v>
      </c>
      <c r="AO366" s="76">
        <v>1</v>
      </c>
      <c r="AP366" s="76">
        <v>1</v>
      </c>
      <c r="AQ366" s="76">
        <v>1</v>
      </c>
      <c r="AR366" s="96">
        <v>0.05</v>
      </c>
      <c r="AS366" s="80">
        <v>0.0454545454545455</v>
      </c>
      <c r="AT366" s="80">
        <v>0.024390243902439</v>
      </c>
      <c r="AU366" s="80">
        <v>0.0625</v>
      </c>
      <c r="AV366" s="80">
        <v>0.0443037974683544</v>
      </c>
      <c r="AW366" s="36"/>
      <c r="AX366" s="34"/>
    </row>
    <row r="367" ht="14.5" spans="1:50">
      <c r="A367" s="32"/>
      <c r="B367" s="36"/>
      <c r="C367" s="91" t="s">
        <v>401</v>
      </c>
      <c r="D367" s="69" t="s">
        <v>19</v>
      </c>
      <c r="E367" s="92" t="s">
        <v>418</v>
      </c>
      <c r="F367" s="92" t="s">
        <v>418</v>
      </c>
      <c r="G367" s="92" t="s">
        <v>418</v>
      </c>
      <c r="H367" s="92" t="s">
        <v>418</v>
      </c>
      <c r="I367" s="71">
        <v>0.9</v>
      </c>
      <c r="J367" s="72">
        <v>0.92</v>
      </c>
      <c r="K367" s="72">
        <v>0.826923076923077</v>
      </c>
      <c r="L367" s="73">
        <v>0.875</v>
      </c>
      <c r="M367" s="72">
        <v>0.89453125</v>
      </c>
      <c r="N367" s="74">
        <v>0.9</v>
      </c>
      <c r="O367" s="72">
        <v>0.926842534675007</v>
      </c>
      <c r="P367" s="72">
        <v>0.922591743119266</v>
      </c>
      <c r="Q367" s="72">
        <v>0.984630477436233</v>
      </c>
      <c r="R367" s="72">
        <v>0.958697055127204</v>
      </c>
      <c r="S367" s="74">
        <v>0.9</v>
      </c>
      <c r="T367" s="72">
        <v>0.699483274408485</v>
      </c>
      <c r="U367" s="72">
        <v>0.794724770642202</v>
      </c>
      <c r="V367" s="72">
        <v>0.807717462393721</v>
      </c>
      <c r="W367" s="72">
        <v>0.79304371454774</v>
      </c>
      <c r="X367" s="74">
        <v>0.92</v>
      </c>
      <c r="Y367" s="74">
        <v>0.706641285956007</v>
      </c>
      <c r="Z367" s="74">
        <v>0.733363208604078</v>
      </c>
      <c r="AA367" s="74">
        <v>0.79334011184545</v>
      </c>
      <c r="AB367" s="74">
        <v>0.74766265060241</v>
      </c>
      <c r="AC367" s="74">
        <v>0.92</v>
      </c>
      <c r="AD367" s="72">
        <v>0.996270121711818</v>
      </c>
      <c r="AE367" s="72">
        <v>0.975804610819448</v>
      </c>
      <c r="AF367" s="72">
        <v>0.992939221929946</v>
      </c>
      <c r="AG367" s="72">
        <v>0.984169927023502</v>
      </c>
      <c r="AH367" s="74">
        <v>0.92</v>
      </c>
      <c r="AI367" s="72">
        <v>0.798478183331352</v>
      </c>
      <c r="AJ367" s="72">
        <v>0.807315233785822</v>
      </c>
      <c r="AK367" s="72">
        <v>0.847011724335144</v>
      </c>
      <c r="AL367" s="72">
        <v>0.824403713669855</v>
      </c>
      <c r="AM367" s="71">
        <v>0.99</v>
      </c>
      <c r="AN367" s="76">
        <v>1</v>
      </c>
      <c r="AO367" s="76">
        <v>1</v>
      </c>
      <c r="AP367" s="76">
        <v>1</v>
      </c>
      <c r="AQ367" s="76">
        <v>1</v>
      </c>
      <c r="AR367" s="96">
        <v>0.05</v>
      </c>
      <c r="AS367" s="80">
        <v>0</v>
      </c>
      <c r="AT367" s="80">
        <v>0.0454545454545455</v>
      </c>
      <c r="AU367" s="80">
        <v>0.111111111111111</v>
      </c>
      <c r="AV367" s="80">
        <v>0.0596491228070175</v>
      </c>
      <c r="AW367" s="36"/>
      <c r="AX367" s="34"/>
    </row>
    <row r="368" ht="14.5" spans="1:50">
      <c r="A368" s="32"/>
      <c r="B368" s="36"/>
      <c r="C368" s="91" t="s">
        <v>401</v>
      </c>
      <c r="D368" s="69" t="s">
        <v>19</v>
      </c>
      <c r="E368" s="92" t="s">
        <v>419</v>
      </c>
      <c r="F368" s="92" t="s">
        <v>419</v>
      </c>
      <c r="G368" s="92" t="s">
        <v>419</v>
      </c>
      <c r="H368" s="92" t="s">
        <v>419</v>
      </c>
      <c r="I368" s="71">
        <v>0.9</v>
      </c>
      <c r="J368" s="72">
        <v>0.64</v>
      </c>
      <c r="K368" s="72">
        <v>0.846153846153846</v>
      </c>
      <c r="L368" s="73">
        <v>0.793103448275862</v>
      </c>
      <c r="M368" s="72">
        <v>0.806981519507187</v>
      </c>
      <c r="N368" s="74">
        <v>0.9</v>
      </c>
      <c r="O368" s="72">
        <v>0.804308252427185</v>
      </c>
      <c r="P368" s="72">
        <v>0.870986404396876</v>
      </c>
      <c r="Q368" s="72">
        <v>0.944682151589242</v>
      </c>
      <c r="R368" s="72">
        <v>0.909616893305439</v>
      </c>
      <c r="S368" s="74">
        <v>0.9</v>
      </c>
      <c r="T368" s="72">
        <v>0.755461165048544</v>
      </c>
      <c r="U368" s="72">
        <v>0.836563494359271</v>
      </c>
      <c r="V368" s="72">
        <v>0.850855745721271</v>
      </c>
      <c r="W368" s="72">
        <v>0.809296548117155</v>
      </c>
      <c r="X368" s="74">
        <v>0.92</v>
      </c>
      <c r="Y368" s="74">
        <v>0.902214022140221</v>
      </c>
      <c r="Z368" s="74">
        <v>0.923529411764706</v>
      </c>
      <c r="AA368" s="74">
        <v>0.960530572630217</v>
      </c>
      <c r="AB368" s="74">
        <v>0.931524631660933</v>
      </c>
      <c r="AC368" s="74">
        <v>0.92</v>
      </c>
      <c r="AD368" s="72">
        <v>0.996042078950109</v>
      </c>
      <c r="AE368" s="72">
        <v>0.994182158619767</v>
      </c>
      <c r="AF368" s="72">
        <v>0.993202198437952</v>
      </c>
      <c r="AG368" s="72">
        <v>0.986324729447582</v>
      </c>
      <c r="AH368" s="74">
        <v>0.92</v>
      </c>
      <c r="AI368" s="72">
        <v>0.928813081477305</v>
      </c>
      <c r="AJ368" s="72">
        <v>0.948894202032277</v>
      </c>
      <c r="AK368" s="72">
        <v>0.974709393653786</v>
      </c>
      <c r="AL368" s="72">
        <v>0.953833631776005</v>
      </c>
      <c r="AM368" s="71">
        <v>0.99</v>
      </c>
      <c r="AN368" s="76">
        <v>1</v>
      </c>
      <c r="AO368" s="76">
        <v>1</v>
      </c>
      <c r="AP368" s="76">
        <v>1</v>
      </c>
      <c r="AQ368" s="76">
        <v>1</v>
      </c>
      <c r="AR368" s="96">
        <v>0.05</v>
      </c>
      <c r="AS368" s="80">
        <v>0</v>
      </c>
      <c r="AT368" s="80">
        <v>0.0238095238095238</v>
      </c>
      <c r="AU368" s="80">
        <v>0.0677966101694915</v>
      </c>
      <c r="AV368" s="80">
        <v>0.0283464566929134</v>
      </c>
      <c r="AW368" s="36"/>
      <c r="AX368" s="34"/>
    </row>
    <row r="369" ht="14.5" spans="1:50">
      <c r="A369" s="32"/>
      <c r="B369" s="36"/>
      <c r="C369" s="91" t="s">
        <v>401</v>
      </c>
      <c r="D369" s="69" t="s">
        <v>19</v>
      </c>
      <c r="E369" s="92" t="s">
        <v>420</v>
      </c>
      <c r="F369" s="92" t="s">
        <v>420</v>
      </c>
      <c r="G369" s="92" t="s">
        <v>420</v>
      </c>
      <c r="H369" s="92" t="s">
        <v>420</v>
      </c>
      <c r="I369" s="71">
        <v>0.9</v>
      </c>
      <c r="J369" s="72">
        <v>0.660377358490566</v>
      </c>
      <c r="K369" s="72">
        <v>0.677966101694915</v>
      </c>
      <c r="L369" s="73">
        <v>0.757575757575758</v>
      </c>
      <c r="M369" s="72">
        <v>0.72962962962963</v>
      </c>
      <c r="N369" s="74">
        <v>0.9</v>
      </c>
      <c r="O369" s="72">
        <v>0.707755359394704</v>
      </c>
      <c r="P369" s="72">
        <v>0.928463628131603</v>
      </c>
      <c r="Q369" s="72">
        <v>0.572798295454545</v>
      </c>
      <c r="R369" s="72">
        <v>0.694618006248225</v>
      </c>
      <c r="S369" s="74">
        <v>0.9</v>
      </c>
      <c r="T369" s="72">
        <v>0.526481715006305</v>
      </c>
      <c r="U369" s="72">
        <v>0.657108361002113</v>
      </c>
      <c r="V369" s="72">
        <v>0.651633522727273</v>
      </c>
      <c r="W369" s="72">
        <v>0.627662595853451</v>
      </c>
      <c r="X369" s="74">
        <v>0.92</v>
      </c>
      <c r="Y369" s="74">
        <v>0.744444444444444</v>
      </c>
      <c r="Z369" s="74">
        <v>0.80193661971831</v>
      </c>
      <c r="AA369" s="74">
        <v>0.888389993585632</v>
      </c>
      <c r="AB369" s="74">
        <v>0.82909058988764</v>
      </c>
      <c r="AC369" s="74">
        <v>0.92</v>
      </c>
      <c r="AD369" s="72">
        <v>0.99198250728863</v>
      </c>
      <c r="AE369" s="72">
        <v>0.990948070509767</v>
      </c>
      <c r="AF369" s="72">
        <v>0.990086741016109</v>
      </c>
      <c r="AG369" s="72">
        <v>0.988372093023256</v>
      </c>
      <c r="AH369" s="74">
        <v>0.92</v>
      </c>
      <c r="AI369" s="72">
        <v>0.787762634866553</v>
      </c>
      <c r="AJ369" s="72">
        <v>0.846096654275093</v>
      </c>
      <c r="AK369" s="72">
        <v>0.908034360788277</v>
      </c>
      <c r="AL369" s="72">
        <v>0.864856199301036</v>
      </c>
      <c r="AM369" s="71">
        <v>0.99</v>
      </c>
      <c r="AN369" s="76">
        <v>1</v>
      </c>
      <c r="AO369" s="76">
        <v>1</v>
      </c>
      <c r="AP369" s="76">
        <v>1</v>
      </c>
      <c r="AQ369" s="76">
        <v>1</v>
      </c>
      <c r="AR369" s="96">
        <v>0.05</v>
      </c>
      <c r="AS369" s="80">
        <v>0.0961538461538462</v>
      </c>
      <c r="AT369" s="80">
        <v>0.0338983050847458</v>
      </c>
      <c r="AU369" s="80">
        <v>0.0425531914893617</v>
      </c>
      <c r="AV369" s="80">
        <v>0.0395256916996047</v>
      </c>
      <c r="AW369" s="36"/>
      <c r="AX369" s="34"/>
    </row>
    <row r="370" ht="14.5" spans="1:50">
      <c r="A370" s="32"/>
      <c r="B370" s="36"/>
      <c r="C370" s="91" t="s">
        <v>401</v>
      </c>
      <c r="D370" s="69" t="s">
        <v>19</v>
      </c>
      <c r="E370" s="92" t="s">
        <v>421</v>
      </c>
      <c r="F370" s="92" t="s">
        <v>421</v>
      </c>
      <c r="G370" s="92" t="s">
        <v>421</v>
      </c>
      <c r="H370" s="92" t="s">
        <v>421</v>
      </c>
      <c r="I370" s="71">
        <v>0.9</v>
      </c>
      <c r="J370" s="72">
        <v>0.782608695652174</v>
      </c>
      <c r="K370" s="72">
        <v>0.824324324324324</v>
      </c>
      <c r="L370" s="73">
        <v>0.8375</v>
      </c>
      <c r="M370" s="72">
        <v>0.79382889200561</v>
      </c>
      <c r="N370" s="74">
        <v>0.9</v>
      </c>
      <c r="O370" s="72">
        <v>0.897927258506062</v>
      </c>
      <c r="P370" s="72">
        <v>0.910141428078648</v>
      </c>
      <c r="Q370" s="72">
        <v>0.956413449564135</v>
      </c>
      <c r="R370" s="72">
        <v>0.932527606295105</v>
      </c>
      <c r="S370" s="74">
        <v>0.9</v>
      </c>
      <c r="T370" s="72">
        <v>0.805436057880328</v>
      </c>
      <c r="U370" s="72">
        <v>0.858744394618834</v>
      </c>
      <c r="V370" s="72">
        <v>0.865296803652968</v>
      </c>
      <c r="W370" s="72">
        <v>0.8545561255543</v>
      </c>
      <c r="X370" s="74">
        <v>0.92</v>
      </c>
      <c r="Y370" s="74">
        <v>0.859192825112108</v>
      </c>
      <c r="Z370" s="74">
        <v>0.881711409395973</v>
      </c>
      <c r="AA370" s="74">
        <v>0.957762052189297</v>
      </c>
      <c r="AB370" s="74">
        <v>0.934108527131783</v>
      </c>
      <c r="AC370" s="74">
        <v>0.92</v>
      </c>
      <c r="AD370" s="72">
        <v>0.999586917432084</v>
      </c>
      <c r="AE370" s="72">
        <v>0.994694650244233</v>
      </c>
      <c r="AF370" s="72">
        <v>0.979221948445792</v>
      </c>
      <c r="AG370" s="72">
        <v>0.992525336266866</v>
      </c>
      <c r="AH370" s="74">
        <v>0.92</v>
      </c>
      <c r="AI370" s="72">
        <v>0.894820493642483</v>
      </c>
      <c r="AJ370" s="72">
        <v>0.9160753145993</v>
      </c>
      <c r="AK370" s="72">
        <v>0.968960719255057</v>
      </c>
      <c r="AL370" s="72">
        <v>0.953369197493206</v>
      </c>
      <c r="AM370" s="71">
        <v>0.99</v>
      </c>
      <c r="AN370" s="76">
        <v>1</v>
      </c>
      <c r="AO370" s="76">
        <v>1</v>
      </c>
      <c r="AP370" s="76">
        <v>1</v>
      </c>
      <c r="AQ370" s="76">
        <v>1</v>
      </c>
      <c r="AR370" s="96">
        <v>0.05</v>
      </c>
      <c r="AS370" s="80">
        <v>0.0135135135135135</v>
      </c>
      <c r="AT370" s="80">
        <v>0.0416666666666667</v>
      </c>
      <c r="AU370" s="80">
        <v>0.0533333333333333</v>
      </c>
      <c r="AV370" s="80">
        <v>0.056047197640118</v>
      </c>
      <c r="AW370" s="36"/>
      <c r="AX370" s="34"/>
    </row>
    <row r="371" ht="14.5" spans="1:50">
      <c r="A371" s="32"/>
      <c r="B371" s="36"/>
      <c r="C371" s="91" t="s">
        <v>401</v>
      </c>
      <c r="D371" s="69" t="s">
        <v>19</v>
      </c>
      <c r="E371" s="92" t="s">
        <v>422</v>
      </c>
      <c r="F371" s="92" t="s">
        <v>422</v>
      </c>
      <c r="G371" s="92" t="s">
        <v>422</v>
      </c>
      <c r="H371" s="92" t="s">
        <v>422</v>
      </c>
      <c r="I371" s="71">
        <v>0.9</v>
      </c>
      <c r="J371" s="72">
        <v>0.938775510204082</v>
      </c>
      <c r="K371" s="72">
        <v>0.890909090909091</v>
      </c>
      <c r="L371" s="73">
        <v>0.931034482758621</v>
      </c>
      <c r="M371" s="72">
        <v>0.919678714859438</v>
      </c>
      <c r="N371" s="74">
        <v>0.9</v>
      </c>
      <c r="O371" s="72">
        <v>0.944794952681388</v>
      </c>
      <c r="P371" s="72">
        <v>0.949078726968174</v>
      </c>
      <c r="Q371" s="72">
        <v>0.948905109489051</v>
      </c>
      <c r="R371" s="72">
        <v>0.93370862855479</v>
      </c>
      <c r="S371" s="74">
        <v>0.9</v>
      </c>
      <c r="T371" s="72">
        <v>0.857255520504732</v>
      </c>
      <c r="U371" s="72">
        <v>0.894137353433836</v>
      </c>
      <c r="V371" s="72">
        <v>0.897810218978102</v>
      </c>
      <c r="W371" s="72">
        <v>0.880034941279239</v>
      </c>
      <c r="X371" s="74">
        <v>0.92</v>
      </c>
      <c r="Y371" s="74">
        <v>0.885574837310195</v>
      </c>
      <c r="Z371" s="74">
        <v>0.931883228391528</v>
      </c>
      <c r="AA371" s="74">
        <v>0.941004672897196</v>
      </c>
      <c r="AB371" s="74">
        <v>0.923308572575788</v>
      </c>
      <c r="AC371" s="74">
        <v>0.92</v>
      </c>
      <c r="AD371" s="72">
        <v>0.995454545454545</v>
      </c>
      <c r="AE371" s="72">
        <v>0.997076023391813</v>
      </c>
      <c r="AF371" s="72">
        <v>0.996978851963746</v>
      </c>
      <c r="AG371" s="72">
        <v>0.985446313065977</v>
      </c>
      <c r="AH371" s="74">
        <v>0.92</v>
      </c>
      <c r="AI371" s="72">
        <v>0.933958923512748</v>
      </c>
      <c r="AJ371" s="72">
        <v>0.958799915487006</v>
      </c>
      <c r="AK371" s="72">
        <v>0.96421431427429</v>
      </c>
      <c r="AL371" s="72">
        <v>0.95774002922</v>
      </c>
      <c r="AM371" s="71">
        <v>0.99</v>
      </c>
      <c r="AN371" s="76">
        <v>1</v>
      </c>
      <c r="AO371" s="76">
        <v>1</v>
      </c>
      <c r="AP371" s="76">
        <v>1</v>
      </c>
      <c r="AQ371" s="76">
        <v>1</v>
      </c>
      <c r="AR371" s="96">
        <v>0.05</v>
      </c>
      <c r="AS371" s="80">
        <v>0.235294117647059</v>
      </c>
      <c r="AT371" s="80">
        <v>0.266666666666667</v>
      </c>
      <c r="AU371" s="80">
        <v>0</v>
      </c>
      <c r="AV371" s="80">
        <v>0.108108108108108</v>
      </c>
      <c r="AW371" s="36"/>
      <c r="AX371" s="34"/>
    </row>
    <row r="372" ht="14.5" spans="1:50">
      <c r="A372" s="32"/>
      <c r="B372" s="36"/>
      <c r="C372" s="91" t="s">
        <v>401</v>
      </c>
      <c r="D372" s="69" t="s">
        <v>19</v>
      </c>
      <c r="E372" s="92" t="s">
        <v>423</v>
      </c>
      <c r="F372" s="92" t="s">
        <v>423</v>
      </c>
      <c r="G372" s="92" t="s">
        <v>423</v>
      </c>
      <c r="H372" s="92" t="s">
        <v>423</v>
      </c>
      <c r="I372" s="71">
        <v>0.9</v>
      </c>
      <c r="J372" s="72">
        <v>0.767123287671233</v>
      </c>
      <c r="K372" s="72">
        <v>0.79746835443038</v>
      </c>
      <c r="L372" s="73">
        <v>0.753086419753086</v>
      </c>
      <c r="M372" s="72">
        <v>0.816711590296496</v>
      </c>
      <c r="N372" s="74">
        <v>0.9</v>
      </c>
      <c r="O372" s="72">
        <v>0.853246551991322</v>
      </c>
      <c r="P372" s="72">
        <v>0.919455682236116</v>
      </c>
      <c r="Q372" s="72">
        <v>0.918990203466466</v>
      </c>
      <c r="R372" s="72">
        <v>0.881626821602057</v>
      </c>
      <c r="S372" s="74">
        <v>0.9</v>
      </c>
      <c r="T372" s="72">
        <v>0.268712226871223</v>
      </c>
      <c r="U372" s="72">
        <v>0.379919087899963</v>
      </c>
      <c r="V372" s="72">
        <v>0.386963074604371</v>
      </c>
      <c r="W372" s="72">
        <v>0.327364510905801</v>
      </c>
      <c r="X372" s="74">
        <v>0.92</v>
      </c>
      <c r="Y372" s="74">
        <v>0.28</v>
      </c>
      <c r="Z372" s="74">
        <v>0.320859872611465</v>
      </c>
      <c r="AA372" s="74">
        <v>0.316921954777535</v>
      </c>
      <c r="AB372" s="74">
        <v>0.338435155412647</v>
      </c>
      <c r="AC372" s="74">
        <v>0.92</v>
      </c>
      <c r="AD372" s="72">
        <v>0.996563573883162</v>
      </c>
      <c r="AE372" s="72">
        <v>0.99678800856531</v>
      </c>
      <c r="AF372" s="72">
        <v>0.998734977862113</v>
      </c>
      <c r="AG372" s="72">
        <v>0.959448714550755</v>
      </c>
      <c r="AH372" s="74">
        <v>0.92</v>
      </c>
      <c r="AI372" s="72">
        <v>0.576344312322424</v>
      </c>
      <c r="AJ372" s="72">
        <v>0.637152559426487</v>
      </c>
      <c r="AK372" s="72">
        <v>0.647577639751553</v>
      </c>
      <c r="AL372" s="72">
        <v>0.672758920800696</v>
      </c>
      <c r="AM372" s="71">
        <v>0.99</v>
      </c>
      <c r="AN372" s="76">
        <v>1</v>
      </c>
      <c r="AO372" s="76">
        <v>1</v>
      </c>
      <c r="AP372" s="76">
        <v>1</v>
      </c>
      <c r="AQ372" s="76">
        <v>1</v>
      </c>
      <c r="AR372" s="96">
        <v>0.05</v>
      </c>
      <c r="AS372" s="80">
        <v>0.162162162162162</v>
      </c>
      <c r="AT372" s="80">
        <v>0.0816326530612245</v>
      </c>
      <c r="AU372" s="80">
        <v>0.0277777777777778</v>
      </c>
      <c r="AV372" s="80">
        <v>0.0960960960960961</v>
      </c>
      <c r="AW372" s="36"/>
      <c r="AX372" s="34"/>
    </row>
    <row r="373" ht="14.5" spans="1:50">
      <c r="A373" s="32"/>
      <c r="B373" s="36"/>
      <c r="C373" s="91" t="s">
        <v>401</v>
      </c>
      <c r="D373" s="69" t="s">
        <v>19</v>
      </c>
      <c r="E373" s="92" t="s">
        <v>424</v>
      </c>
      <c r="F373" s="92" t="s">
        <v>424</v>
      </c>
      <c r="G373" s="92" t="s">
        <v>424</v>
      </c>
      <c r="H373" s="92" t="s">
        <v>424</v>
      </c>
      <c r="I373" s="71">
        <v>0.9</v>
      </c>
      <c r="J373" s="72">
        <v>0.709677419354839</v>
      </c>
      <c r="K373" s="72">
        <v>0.676470588235294</v>
      </c>
      <c r="L373" s="73">
        <v>0.648648648648649</v>
      </c>
      <c r="M373" s="72">
        <v>0.6957928802589</v>
      </c>
      <c r="N373" s="74">
        <v>0.9</v>
      </c>
      <c r="O373" s="72">
        <v>0.550990462215701</v>
      </c>
      <c r="P373" s="72">
        <v>0.8</v>
      </c>
      <c r="Q373" s="72">
        <v>0.584970111016225</v>
      </c>
      <c r="R373" s="72">
        <v>0.699280295662323</v>
      </c>
      <c r="S373" s="74">
        <v>0.9</v>
      </c>
      <c r="T373" s="72">
        <v>0.579236977256053</v>
      </c>
      <c r="U373" s="72">
        <v>1</v>
      </c>
      <c r="V373" s="72">
        <v>0.552519214346712</v>
      </c>
      <c r="W373" s="72">
        <v>0.540021396615444</v>
      </c>
      <c r="X373" s="74">
        <v>0.92</v>
      </c>
      <c r="Y373" s="74">
        <v>0.365530303030303</v>
      </c>
      <c r="Z373" s="74">
        <v>0.717304747320061</v>
      </c>
      <c r="AA373" s="74">
        <v>0.468041237113402</v>
      </c>
      <c r="AB373" s="74">
        <v>0.509061580795142</v>
      </c>
      <c r="AC373" s="74">
        <v>0.92</v>
      </c>
      <c r="AD373" s="72">
        <v>0.951612903225806</v>
      </c>
      <c r="AE373" s="72">
        <v>1</v>
      </c>
      <c r="AF373" s="72">
        <v>0.986842105263158</v>
      </c>
      <c r="AG373" s="72">
        <v>0.952433628318584</v>
      </c>
      <c r="AH373" s="74">
        <v>0.92</v>
      </c>
      <c r="AI373" s="72">
        <v>0.667018469656992</v>
      </c>
      <c r="AJ373" s="72">
        <v>0.717737003058104</v>
      </c>
      <c r="AK373" s="72">
        <v>0.765238382619191</v>
      </c>
      <c r="AL373" s="72">
        <v>0.733845313453938</v>
      </c>
      <c r="AM373" s="71">
        <v>0.99</v>
      </c>
      <c r="AN373" s="76">
        <v>1</v>
      </c>
      <c r="AO373" s="76">
        <v>1</v>
      </c>
      <c r="AP373" s="76">
        <v>1</v>
      </c>
      <c r="AQ373" s="76">
        <v>1</v>
      </c>
      <c r="AR373" s="96">
        <v>0.05</v>
      </c>
      <c r="AS373" s="80">
        <v>0.4</v>
      </c>
      <c r="AT373" s="80">
        <v>0</v>
      </c>
      <c r="AU373" s="80">
        <v>0.133333333333333</v>
      </c>
      <c r="AV373" s="80">
        <v>0.0609756097560976</v>
      </c>
      <c r="AW373" s="36"/>
      <c r="AX373" s="34"/>
    </row>
    <row r="374" ht="14.5" spans="1:50">
      <c r="A374" s="32"/>
      <c r="B374" s="36"/>
      <c r="C374" s="91" t="s">
        <v>401</v>
      </c>
      <c r="D374" s="69" t="s">
        <v>19</v>
      </c>
      <c r="E374" s="92" t="s">
        <v>425</v>
      </c>
      <c r="F374" s="92" t="s">
        <v>425</v>
      </c>
      <c r="G374" s="92" t="s">
        <v>425</v>
      </c>
      <c r="H374" s="92" t="s">
        <v>425</v>
      </c>
      <c r="I374" s="71">
        <v>0.9</v>
      </c>
      <c r="J374" s="72">
        <v>0.816326530612245</v>
      </c>
      <c r="K374" s="72">
        <v>0.785714285714286</v>
      </c>
      <c r="L374" s="73">
        <v>0.75</v>
      </c>
      <c r="M374" s="72">
        <v>0.836820083682008</v>
      </c>
      <c r="N374" s="74">
        <v>0.9</v>
      </c>
      <c r="O374" s="72">
        <v>0.0769230769230769</v>
      </c>
      <c r="P374" s="72">
        <v>0</v>
      </c>
      <c r="Q374" s="72">
        <v>0</v>
      </c>
      <c r="R374" s="72">
        <v>0.111111111111111</v>
      </c>
      <c r="S374" s="74">
        <v>0.9</v>
      </c>
      <c r="T374" s="72">
        <v>0</v>
      </c>
      <c r="U374" s="72">
        <v>0</v>
      </c>
      <c r="V374" s="72">
        <v>0</v>
      </c>
      <c r="W374" s="72">
        <v>0</v>
      </c>
      <c r="X374" s="74">
        <v>0.92</v>
      </c>
      <c r="Y374" s="74">
        <v>0</v>
      </c>
      <c r="Z374" s="74">
        <v>0.25</v>
      </c>
      <c r="AA374" s="74">
        <v>0</v>
      </c>
      <c r="AB374" s="74">
        <v>0.230769230769231</v>
      </c>
      <c r="AC374" s="74">
        <v>0.92</v>
      </c>
      <c r="AD374" s="72">
        <v>0.995744680851064</v>
      </c>
      <c r="AE374" s="72">
        <v>0.988970588235294</v>
      </c>
      <c r="AF374" s="72">
        <v>0.974452554744526</v>
      </c>
      <c r="AG374" s="72">
        <v>0.977690288713911</v>
      </c>
      <c r="AH374" s="74">
        <v>0.92</v>
      </c>
      <c r="AI374" s="72">
        <v>0.921414141414141</v>
      </c>
      <c r="AJ374" s="72">
        <v>0.950636942675159</v>
      </c>
      <c r="AK374" s="72">
        <v>0.955252918287938</v>
      </c>
      <c r="AL374" s="72">
        <v>0.943946025681329</v>
      </c>
      <c r="AM374" s="71">
        <v>0.99</v>
      </c>
      <c r="AN374" s="76">
        <v>1</v>
      </c>
      <c r="AO374" s="76">
        <v>1</v>
      </c>
      <c r="AP374" s="76">
        <v>1</v>
      </c>
      <c r="AQ374" s="76">
        <v>1</v>
      </c>
      <c r="AR374" s="96">
        <v>0.05</v>
      </c>
      <c r="AS374" s="80">
        <v>0</v>
      </c>
      <c r="AT374" s="80">
        <v>0</v>
      </c>
      <c r="AU374" s="80">
        <v>0.307692307692308</v>
      </c>
      <c r="AV374" s="80">
        <v>0.11965811965812</v>
      </c>
      <c r="AW374" s="36"/>
      <c r="AX374" s="34"/>
    </row>
    <row r="375" ht="14.5" spans="1:50">
      <c r="A375" s="32"/>
      <c r="B375" s="36"/>
      <c r="C375" s="91" t="s">
        <v>401</v>
      </c>
      <c r="D375" s="69" t="s">
        <v>19</v>
      </c>
      <c r="E375" s="92" t="s">
        <v>426</v>
      </c>
      <c r="F375" s="92" t="s">
        <v>426</v>
      </c>
      <c r="G375" s="92" t="s">
        <v>426</v>
      </c>
      <c r="H375" s="92" t="s">
        <v>426</v>
      </c>
      <c r="I375" s="71">
        <v>0.9</v>
      </c>
      <c r="J375" s="72">
        <v>0.723404255319149</v>
      </c>
      <c r="K375" s="72">
        <v>0.614035087719298</v>
      </c>
      <c r="L375" s="73">
        <v>0.603448275862069</v>
      </c>
      <c r="M375" s="72">
        <v>0.656378600823045</v>
      </c>
      <c r="N375" s="74">
        <v>0.9</v>
      </c>
      <c r="O375" s="72">
        <v>0.666666666666667</v>
      </c>
      <c r="P375" s="72">
        <v>0</v>
      </c>
      <c r="Q375" s="72">
        <v>0</v>
      </c>
      <c r="R375" s="72">
        <v>0.615384615384615</v>
      </c>
      <c r="S375" s="74">
        <v>0.9</v>
      </c>
      <c r="T375" s="72">
        <v>0</v>
      </c>
      <c r="U375" s="72">
        <v>0</v>
      </c>
      <c r="V375" s="72">
        <v>0</v>
      </c>
      <c r="W375" s="72">
        <v>0.153846153846154</v>
      </c>
      <c r="X375" s="74">
        <v>0.92</v>
      </c>
      <c r="Y375" s="74">
        <v>0</v>
      </c>
      <c r="Z375" s="74">
        <v>0.5</v>
      </c>
      <c r="AA375" s="74">
        <v>0.8</v>
      </c>
      <c r="AB375" s="74">
        <v>0.476190476190476</v>
      </c>
      <c r="AC375" s="74">
        <v>0.92</v>
      </c>
      <c r="AD375" s="72">
        <v>0.946428571428571</v>
      </c>
      <c r="AE375" s="72">
        <v>0.976958525345622</v>
      </c>
      <c r="AF375" s="72">
        <v>0.984790874524715</v>
      </c>
      <c r="AG375" s="72">
        <v>0.978538579458355</v>
      </c>
      <c r="AH375" s="74">
        <v>0.92</v>
      </c>
      <c r="AI375" s="72">
        <v>0.782989849277146</v>
      </c>
      <c r="AJ375" s="72">
        <v>0.901947026837397</v>
      </c>
      <c r="AK375" s="72">
        <v>0.885167464114832</v>
      </c>
      <c r="AL375" s="72">
        <v>0.871260703562294</v>
      </c>
      <c r="AM375" s="71">
        <v>0.99</v>
      </c>
      <c r="AN375" s="76">
        <v>1</v>
      </c>
      <c r="AO375" s="76">
        <v>1</v>
      </c>
      <c r="AP375" s="76">
        <v>1</v>
      </c>
      <c r="AQ375" s="76">
        <v>1</v>
      </c>
      <c r="AR375" s="96">
        <v>0.05</v>
      </c>
      <c r="AS375" s="80">
        <v>0.157894736842105</v>
      </c>
      <c r="AT375" s="80">
        <v>0.037037037037037</v>
      </c>
      <c r="AU375" s="80">
        <v>0.375</v>
      </c>
      <c r="AV375" s="80">
        <v>0.190243902439024</v>
      </c>
      <c r="AW375" s="36"/>
      <c r="AX375" s="34"/>
    </row>
    <row r="376" ht="14.5" spans="1:50">
      <c r="A376" s="32"/>
      <c r="B376" s="36"/>
      <c r="C376" s="91" t="s">
        <v>401</v>
      </c>
      <c r="D376" s="69" t="s">
        <v>19</v>
      </c>
      <c r="E376" s="92" t="s">
        <v>427</v>
      </c>
      <c r="F376" s="92" t="s">
        <v>427</v>
      </c>
      <c r="G376" s="92" t="s">
        <v>427</v>
      </c>
      <c r="H376" s="92" t="s">
        <v>427</v>
      </c>
      <c r="I376" s="71">
        <v>0.9</v>
      </c>
      <c r="J376" s="72">
        <v>1</v>
      </c>
      <c r="K376" s="72">
        <v>0.982456140350877</v>
      </c>
      <c r="L376" s="73">
        <v>1</v>
      </c>
      <c r="M376" s="72">
        <v>0.988700564971751</v>
      </c>
      <c r="N376" s="74">
        <v>0.9</v>
      </c>
      <c r="O376" s="72">
        <v>0.982114911692377</v>
      </c>
      <c r="P376" s="72">
        <v>0.97948847809572</v>
      </c>
      <c r="Q376" s="72">
        <v>0.981539956278844</v>
      </c>
      <c r="R376" s="72">
        <v>0.979374601148692</v>
      </c>
      <c r="S376" s="74">
        <v>0.9</v>
      </c>
      <c r="T376" s="72">
        <v>0.888665325285044</v>
      </c>
      <c r="U376" s="72">
        <v>0.880729298556597</v>
      </c>
      <c r="V376" s="72">
        <v>0.898469759533641</v>
      </c>
      <c r="W376" s="72">
        <v>0.898608806636886</v>
      </c>
      <c r="X376" s="74">
        <v>0.92</v>
      </c>
      <c r="Y376" s="74">
        <v>0.915117219078415</v>
      </c>
      <c r="Z376" s="74">
        <v>0.928480204342273</v>
      </c>
      <c r="AA376" s="74">
        <v>0.927030748049564</v>
      </c>
      <c r="AB376" s="74">
        <v>0.936108324974925</v>
      </c>
      <c r="AC376" s="74">
        <v>0.92</v>
      </c>
      <c r="AD376" s="72">
        <v>1</v>
      </c>
      <c r="AE376" s="72">
        <v>0.99746192893401</v>
      </c>
      <c r="AF376" s="72">
        <v>0.994082840236686</v>
      </c>
      <c r="AG376" s="72">
        <v>0.995462947403798</v>
      </c>
      <c r="AH376" s="74">
        <v>0.92</v>
      </c>
      <c r="AI376" s="72">
        <v>0.953976700704732</v>
      </c>
      <c r="AJ376" s="72">
        <v>0.959860383944154</v>
      </c>
      <c r="AK376" s="72">
        <v>0.966491980308083</v>
      </c>
      <c r="AL376" s="72">
        <v>0.967277708255826</v>
      </c>
      <c r="AM376" s="71">
        <v>0.99</v>
      </c>
      <c r="AN376" s="76">
        <v>1</v>
      </c>
      <c r="AO376" s="76">
        <v>1</v>
      </c>
      <c r="AP376" s="76">
        <v>1</v>
      </c>
      <c r="AQ376" s="76">
        <v>1</v>
      </c>
      <c r="AR376" s="96">
        <v>0.05</v>
      </c>
      <c r="AS376" s="80">
        <v>0.0769230769230769</v>
      </c>
      <c r="AT376" s="80">
        <v>0.0714285714285714</v>
      </c>
      <c r="AU376" s="80">
        <v>0.0454545454545455</v>
      </c>
      <c r="AV376" s="80">
        <v>0.0802469135802469</v>
      </c>
      <c r="AW376" s="36"/>
      <c r="AX376" s="34"/>
    </row>
    <row r="377" ht="14.5" spans="1:50">
      <c r="A377" s="32"/>
      <c r="B377" s="36"/>
      <c r="C377" s="91" t="s">
        <v>401</v>
      </c>
      <c r="D377" s="69" t="s">
        <v>19</v>
      </c>
      <c r="E377" s="92" t="s">
        <v>428</v>
      </c>
      <c r="F377" s="92" t="s">
        <v>428</v>
      </c>
      <c r="G377" s="92" t="s">
        <v>428</v>
      </c>
      <c r="H377" s="92" t="s">
        <v>428</v>
      </c>
      <c r="I377" s="71">
        <v>0.9</v>
      </c>
      <c r="J377" s="72">
        <v>0.865671641791045</v>
      </c>
      <c r="K377" s="72">
        <v>0.891891891891892</v>
      </c>
      <c r="L377" s="73">
        <v>0.855263157894737</v>
      </c>
      <c r="M377" s="72">
        <v>0.881720430107527</v>
      </c>
      <c r="N377" s="74">
        <v>0.9</v>
      </c>
      <c r="O377" s="72">
        <v>0.867073827914496</v>
      </c>
      <c r="P377" s="72">
        <v>0.964385927045111</v>
      </c>
      <c r="Q377" s="72">
        <v>0.956149509292128</v>
      </c>
      <c r="R377" s="72">
        <v>0.924391803965681</v>
      </c>
      <c r="S377" s="74">
        <v>0.9</v>
      </c>
      <c r="T377" s="72">
        <v>0.671097539069517</v>
      </c>
      <c r="U377" s="72">
        <v>0.806388948845241</v>
      </c>
      <c r="V377" s="72">
        <v>0.786803090415536</v>
      </c>
      <c r="W377" s="72">
        <v>0.728445708992258</v>
      </c>
      <c r="X377" s="74">
        <v>0.92</v>
      </c>
      <c r="Y377" s="74">
        <v>0.711617312072893</v>
      </c>
      <c r="Z377" s="74">
        <v>0.837913628715648</v>
      </c>
      <c r="AA377" s="74">
        <v>0.885149572649573</v>
      </c>
      <c r="AB377" s="74">
        <v>0.804511731708788</v>
      </c>
      <c r="AC377" s="74">
        <v>0.92</v>
      </c>
      <c r="AD377" s="72">
        <v>0.991228070175439</v>
      </c>
      <c r="AE377" s="72">
        <v>1</v>
      </c>
      <c r="AF377" s="72">
        <v>0.986928104575163</v>
      </c>
      <c r="AG377" s="72">
        <v>0.977256052824652</v>
      </c>
      <c r="AH377" s="74">
        <v>0.92</v>
      </c>
      <c r="AI377" s="72">
        <v>0.860474104612213</v>
      </c>
      <c r="AJ377" s="72">
        <v>0.926456840137114</v>
      </c>
      <c r="AK377" s="72">
        <v>0.94535355051794</v>
      </c>
      <c r="AL377" s="72">
        <v>0.913882474526459</v>
      </c>
      <c r="AM377" s="71">
        <v>0.99</v>
      </c>
      <c r="AN377" s="76">
        <v>1</v>
      </c>
      <c r="AO377" s="76">
        <v>1</v>
      </c>
      <c r="AP377" s="76">
        <v>1</v>
      </c>
      <c r="AQ377" s="76">
        <v>1</v>
      </c>
      <c r="AR377" s="96">
        <v>0.05</v>
      </c>
      <c r="AS377" s="80">
        <v>0.04</v>
      </c>
      <c r="AT377" s="80">
        <v>0.111111111111111</v>
      </c>
      <c r="AU377" s="80">
        <v>0.107142857142857</v>
      </c>
      <c r="AV377" s="80">
        <v>0.116591928251121</v>
      </c>
      <c r="AW377" s="36"/>
      <c r="AX377" s="34"/>
    </row>
    <row r="378" ht="14.5" spans="1:50">
      <c r="A378" s="32"/>
      <c r="B378" s="36"/>
      <c r="C378" s="91" t="s">
        <v>401</v>
      </c>
      <c r="D378" s="69" t="s">
        <v>19</v>
      </c>
      <c r="E378" s="92" t="s">
        <v>429</v>
      </c>
      <c r="F378" s="92" t="s">
        <v>429</v>
      </c>
      <c r="G378" s="92" t="s">
        <v>429</v>
      </c>
      <c r="H378" s="92" t="s">
        <v>429</v>
      </c>
      <c r="I378" s="71">
        <v>0.9</v>
      </c>
      <c r="J378" s="72">
        <v>0.950617283950617</v>
      </c>
      <c r="K378" s="72">
        <v>0.955056179775281</v>
      </c>
      <c r="L378" s="73">
        <v>0.958333333333333</v>
      </c>
      <c r="M378" s="72">
        <v>0.953341740226986</v>
      </c>
      <c r="N378" s="74">
        <v>0.9</v>
      </c>
      <c r="O378" s="72">
        <v>0.980380587107243</v>
      </c>
      <c r="P378" s="72">
        <v>0.987713675213675</v>
      </c>
      <c r="Q378" s="72">
        <v>0.991348600508906</v>
      </c>
      <c r="R378" s="72">
        <v>0.962675723464225</v>
      </c>
      <c r="S378" s="74">
        <v>0.9</v>
      </c>
      <c r="T378" s="72">
        <v>0.793922407434725</v>
      </c>
      <c r="U378" s="72">
        <v>0.808226495726496</v>
      </c>
      <c r="V378" s="72">
        <v>0.836132315521628</v>
      </c>
      <c r="W378" s="72">
        <v>0.792423101836452</v>
      </c>
      <c r="X378" s="74">
        <v>0.92</v>
      </c>
      <c r="Y378" s="74">
        <v>0.848663766314481</v>
      </c>
      <c r="Z378" s="74">
        <v>0.876011773362767</v>
      </c>
      <c r="AA378" s="74">
        <v>0.870815138282387</v>
      </c>
      <c r="AB378" s="74">
        <v>0.865416348050066</v>
      </c>
      <c r="AC378" s="74">
        <v>0.92</v>
      </c>
      <c r="AD378" s="72">
        <v>0.97680412371134</v>
      </c>
      <c r="AE378" s="72">
        <v>0.957805907172996</v>
      </c>
      <c r="AF378" s="72">
        <v>0.904564315352697</v>
      </c>
      <c r="AG378" s="72">
        <v>0.957687195392113</v>
      </c>
      <c r="AH378" s="74">
        <v>0.92</v>
      </c>
      <c r="AI378" s="72">
        <v>0.912408759124088</v>
      </c>
      <c r="AJ378" s="72">
        <v>0.928528600551625</v>
      </c>
      <c r="AK378" s="72">
        <v>0.934644303065356</v>
      </c>
      <c r="AL378" s="72">
        <v>0.931787691782326</v>
      </c>
      <c r="AM378" s="71">
        <v>0.99</v>
      </c>
      <c r="AN378" s="76">
        <v>1</v>
      </c>
      <c r="AO378" s="76">
        <v>1</v>
      </c>
      <c r="AP378" s="76">
        <v>1</v>
      </c>
      <c r="AQ378" s="76">
        <v>1</v>
      </c>
      <c r="AR378" s="96">
        <v>0.05</v>
      </c>
      <c r="AS378" s="80">
        <v>0.15625</v>
      </c>
      <c r="AT378" s="80">
        <v>0.137931034482759</v>
      </c>
      <c r="AU378" s="80">
        <v>0.166666666666667</v>
      </c>
      <c r="AV378" s="80">
        <v>0.126506024096386</v>
      </c>
      <c r="AW378" s="36"/>
      <c r="AX378" s="34"/>
    </row>
    <row r="379" ht="14.5" spans="1:50">
      <c r="A379" s="32"/>
      <c r="B379" s="36"/>
      <c r="C379" s="91" t="s">
        <v>401</v>
      </c>
      <c r="D379" s="69" t="s">
        <v>19</v>
      </c>
      <c r="E379" s="92" t="s">
        <v>430</v>
      </c>
      <c r="F379" s="92" t="s">
        <v>430</v>
      </c>
      <c r="G379" s="92" t="s">
        <v>430</v>
      </c>
      <c r="H379" s="92" t="s">
        <v>430</v>
      </c>
      <c r="I379" s="71">
        <v>0.9</v>
      </c>
      <c r="J379" s="72">
        <v>0.933333333333333</v>
      </c>
      <c r="K379" s="72">
        <v>0.935483870967742</v>
      </c>
      <c r="L379" s="73">
        <v>1</v>
      </c>
      <c r="M379" s="72">
        <v>0.913621262458472</v>
      </c>
      <c r="N379" s="74">
        <v>0.9</v>
      </c>
      <c r="O379" s="72">
        <v>0</v>
      </c>
      <c r="P379" s="72">
        <v>0</v>
      </c>
      <c r="Q379" s="72">
        <v>0</v>
      </c>
      <c r="R379" s="72">
        <v>0</v>
      </c>
      <c r="S379" s="74">
        <v>0.9</v>
      </c>
      <c r="T379" s="72">
        <v>0</v>
      </c>
      <c r="U379" s="72">
        <v>0</v>
      </c>
      <c r="V379" s="72">
        <v>0</v>
      </c>
      <c r="W379" s="72">
        <v>0.333333333333333</v>
      </c>
      <c r="X379" s="74">
        <v>0.92</v>
      </c>
      <c r="Y379" s="74">
        <v>0.5</v>
      </c>
      <c r="Z379" s="74">
        <v>0</v>
      </c>
      <c r="AA379" s="74">
        <v>1</v>
      </c>
      <c r="AB379" s="74">
        <v>0.708333333333333</v>
      </c>
      <c r="AC379" s="74">
        <v>0.92</v>
      </c>
      <c r="AD379" s="72">
        <v>0.977272727272727</v>
      </c>
      <c r="AE379" s="72">
        <v>0.994694960212202</v>
      </c>
      <c r="AF379" s="72">
        <v>0.991525423728814</v>
      </c>
      <c r="AG379" s="72">
        <v>0.986313465783664</v>
      </c>
      <c r="AH379" s="74">
        <v>0.92</v>
      </c>
      <c r="AI379" s="72">
        <v>0.820009573958832</v>
      </c>
      <c r="AJ379" s="72">
        <v>0.878534877457582</v>
      </c>
      <c r="AK379" s="72">
        <v>0.937370600414079</v>
      </c>
      <c r="AL379" s="72">
        <v>0.911092028052097</v>
      </c>
      <c r="AM379" s="71">
        <v>0.99</v>
      </c>
      <c r="AN379" s="76">
        <v>1</v>
      </c>
      <c r="AO379" s="76">
        <v>1</v>
      </c>
      <c r="AP379" s="76">
        <v>1</v>
      </c>
      <c r="AQ379" s="76">
        <v>1</v>
      </c>
      <c r="AR379" s="96">
        <v>0.05</v>
      </c>
      <c r="AS379" s="80">
        <v>0.142857142857143</v>
      </c>
      <c r="AT379" s="80">
        <v>0.181818181818182</v>
      </c>
      <c r="AU379" s="80">
        <v>0.0714285714285714</v>
      </c>
      <c r="AV379" s="80">
        <v>0.142857142857143</v>
      </c>
      <c r="AW379" s="36"/>
      <c r="AX379" s="34"/>
    </row>
    <row r="380" ht="14.5" spans="1:50">
      <c r="A380" s="32"/>
      <c r="B380" s="36"/>
      <c r="C380" s="91" t="s">
        <v>401</v>
      </c>
      <c r="D380" s="69" t="s">
        <v>19</v>
      </c>
      <c r="E380" s="92" t="s">
        <v>431</v>
      </c>
      <c r="F380" s="92" t="s">
        <v>431</v>
      </c>
      <c r="G380" s="92" t="s">
        <v>431</v>
      </c>
      <c r="H380" s="92" t="s">
        <v>431</v>
      </c>
      <c r="I380" s="71">
        <v>0.9</v>
      </c>
      <c r="J380" s="72">
        <v>1</v>
      </c>
      <c r="K380" s="72">
        <v>0.978260869565217</v>
      </c>
      <c r="L380" s="73">
        <v>0.98</v>
      </c>
      <c r="M380" s="72">
        <v>0.985948477751756</v>
      </c>
      <c r="N380" s="74">
        <v>0.9</v>
      </c>
      <c r="O380" s="72">
        <v>0.931621287128713</v>
      </c>
      <c r="P380" s="72">
        <v>0.921296296296296</v>
      </c>
      <c r="Q380" s="72">
        <v>0.937227257468949</v>
      </c>
      <c r="R380" s="72">
        <v>0.933764480136451</v>
      </c>
      <c r="S380" s="74">
        <v>0.9</v>
      </c>
      <c r="T380" s="72">
        <v>0.849319306930693</v>
      </c>
      <c r="U380" s="72">
        <v>0.856837606837607</v>
      </c>
      <c r="V380" s="72">
        <v>0.880496811010406</v>
      </c>
      <c r="W380" s="72">
        <v>0.865290313410561</v>
      </c>
      <c r="X380" s="74">
        <v>0.92</v>
      </c>
      <c r="Y380" s="74">
        <v>0.881448957189901</v>
      </c>
      <c r="Z380" s="74">
        <v>0.901212121212121</v>
      </c>
      <c r="AA380" s="74">
        <v>0.91994835377663</v>
      </c>
      <c r="AB380" s="74">
        <v>0.906645905584259</v>
      </c>
      <c r="AC380" s="74">
        <v>0.92</v>
      </c>
      <c r="AD380" s="72">
        <v>1</v>
      </c>
      <c r="AE380" s="72">
        <v>0.983333333333333</v>
      </c>
      <c r="AF380" s="72">
        <v>0.991150442477876</v>
      </c>
      <c r="AG380" s="72">
        <v>0.983050847457627</v>
      </c>
      <c r="AH380" s="74">
        <v>0.92</v>
      </c>
      <c r="AI380" s="72">
        <v>0.918480411555204</v>
      </c>
      <c r="AJ380" s="72">
        <v>0.934080717488789</v>
      </c>
      <c r="AK380" s="72">
        <v>0.95273851590106</v>
      </c>
      <c r="AL380" s="72">
        <v>0.945783560023655</v>
      </c>
      <c r="AM380" s="71">
        <v>0.99</v>
      </c>
      <c r="AN380" s="76">
        <v>1</v>
      </c>
      <c r="AO380" s="76">
        <v>1</v>
      </c>
      <c r="AP380" s="76">
        <v>1</v>
      </c>
      <c r="AQ380" s="76">
        <v>1</v>
      </c>
      <c r="AR380" s="96">
        <v>0.05</v>
      </c>
      <c r="AS380" s="80">
        <v>0.0769230769230769</v>
      </c>
      <c r="AT380" s="80">
        <v>0.166666666666667</v>
      </c>
      <c r="AU380" s="80">
        <v>0</v>
      </c>
      <c r="AV380" s="80">
        <v>0.0769230769230769</v>
      </c>
      <c r="AW380" s="36"/>
      <c r="AX380" s="34"/>
    </row>
    <row r="381" ht="14.5" spans="1:50">
      <c r="A381" s="32"/>
      <c r="B381" s="36"/>
      <c r="C381" s="91" t="s">
        <v>401</v>
      </c>
      <c r="D381" s="69" t="s">
        <v>19</v>
      </c>
      <c r="E381" s="92" t="s">
        <v>432</v>
      </c>
      <c r="F381" s="92" t="s">
        <v>432</v>
      </c>
      <c r="G381" s="92" t="s">
        <v>432</v>
      </c>
      <c r="H381" s="92" t="s">
        <v>432</v>
      </c>
      <c r="I381" s="71">
        <v>0.9</v>
      </c>
      <c r="J381" s="72">
        <v>0.69047619047619</v>
      </c>
      <c r="K381" s="72">
        <v>0.775</v>
      </c>
      <c r="L381" s="73">
        <v>0.869565217391304</v>
      </c>
      <c r="M381" s="72">
        <v>0.768472906403941</v>
      </c>
      <c r="N381" s="74">
        <v>0.9</v>
      </c>
      <c r="O381" s="72">
        <v>0</v>
      </c>
      <c r="P381" s="72">
        <v>0</v>
      </c>
      <c r="Q381" s="72">
        <v>0.5</v>
      </c>
      <c r="R381" s="72">
        <v>0.1</v>
      </c>
      <c r="S381" s="74">
        <v>0.9</v>
      </c>
      <c r="T381" s="72">
        <v>0</v>
      </c>
      <c r="U381" s="72">
        <v>0</v>
      </c>
      <c r="V381" s="72">
        <v>0</v>
      </c>
      <c r="W381" s="72">
        <v>0</v>
      </c>
      <c r="X381" s="74">
        <v>0.92</v>
      </c>
      <c r="Y381" s="74">
        <v>0</v>
      </c>
      <c r="Z381" s="74">
        <v>0</v>
      </c>
      <c r="AA381" s="74">
        <v>0</v>
      </c>
      <c r="AB381" s="74">
        <v>0.423076923076923</v>
      </c>
      <c r="AC381" s="74">
        <v>0.92</v>
      </c>
      <c r="AD381" s="72">
        <v>0.96875</v>
      </c>
      <c r="AE381" s="72">
        <v>0.936170212765957</v>
      </c>
      <c r="AF381" s="72">
        <v>0.925</v>
      </c>
      <c r="AG381" s="72">
        <v>0.879679144385027</v>
      </c>
      <c r="AH381" s="74">
        <v>0.92</v>
      </c>
      <c r="AI381" s="72">
        <v>0.73378914865461</v>
      </c>
      <c r="AJ381" s="72">
        <v>0.786075644423031</v>
      </c>
      <c r="AK381" s="72">
        <v>0.894130925507901</v>
      </c>
      <c r="AL381" s="72">
        <v>0.831676892652502</v>
      </c>
      <c r="AM381" s="71">
        <v>0.99</v>
      </c>
      <c r="AN381" s="76">
        <v>1</v>
      </c>
      <c r="AO381" s="76">
        <v>1</v>
      </c>
      <c r="AP381" s="76">
        <v>1</v>
      </c>
      <c r="AQ381" s="76">
        <v>1</v>
      </c>
      <c r="AR381" s="96">
        <v>0.05</v>
      </c>
      <c r="AS381" s="80">
        <v>0</v>
      </c>
      <c r="AT381" s="80">
        <v>0.235294117647059</v>
      </c>
      <c r="AU381" s="80">
        <v>0.166666666666667</v>
      </c>
      <c r="AV381" s="80">
        <v>0.132275132275132</v>
      </c>
      <c r="AW381" s="36"/>
      <c r="AX381" s="34"/>
    </row>
    <row r="382" ht="14.5" spans="1:50">
      <c r="A382" s="32"/>
      <c r="B382" s="36"/>
      <c r="C382" s="91" t="s">
        <v>401</v>
      </c>
      <c r="D382" s="69" t="s">
        <v>19</v>
      </c>
      <c r="E382" s="92" t="s">
        <v>433</v>
      </c>
      <c r="F382" s="92" t="s">
        <v>433</v>
      </c>
      <c r="G382" s="92" t="s">
        <v>433</v>
      </c>
      <c r="H382" s="92" t="s">
        <v>433</v>
      </c>
      <c r="I382" s="71">
        <v>0.9</v>
      </c>
      <c r="J382" s="72">
        <v>0.553846153846154</v>
      </c>
      <c r="K382" s="72">
        <v>0.542857142857143</v>
      </c>
      <c r="L382" s="73">
        <v>0.583333333333333</v>
      </c>
      <c r="M382" s="72">
        <v>0.602484472049689</v>
      </c>
      <c r="N382" s="74">
        <v>0.9</v>
      </c>
      <c r="O382" s="72">
        <v>0.482894963039367</v>
      </c>
      <c r="P382" s="72">
        <v>0.701960784313725</v>
      </c>
      <c r="Q382" s="72">
        <v>0.671832623014336</v>
      </c>
      <c r="R382" s="72">
        <v>0.663060865392306</v>
      </c>
      <c r="S382" s="74">
        <v>0.9</v>
      </c>
      <c r="T382" s="72">
        <v>0.436651194773938</v>
      </c>
      <c r="U382" s="72">
        <v>0.487450980392157</v>
      </c>
      <c r="V382" s="72">
        <v>0.479465323518016</v>
      </c>
      <c r="W382" s="72">
        <v>0.493201631608414</v>
      </c>
      <c r="X382" s="74">
        <v>0.92</v>
      </c>
      <c r="Y382" s="74">
        <v>0.518156424581006</v>
      </c>
      <c r="Z382" s="74">
        <v>0.68148467846353</v>
      </c>
      <c r="AA382" s="74">
        <v>0.616161616161616</v>
      </c>
      <c r="AB382" s="74">
        <v>0.669924780077345</v>
      </c>
      <c r="AC382" s="74">
        <v>0.92</v>
      </c>
      <c r="AD382" s="72">
        <v>0.590909090909091</v>
      </c>
      <c r="AE382" s="72">
        <v>0.455868971792539</v>
      </c>
      <c r="AF382" s="72">
        <v>0.995348837209302</v>
      </c>
      <c r="AG382" s="72">
        <v>0.886645001547508</v>
      </c>
      <c r="AH382" s="74">
        <v>0.92</v>
      </c>
      <c r="AI382" s="72">
        <v>0.699067142692618</v>
      </c>
      <c r="AJ382" s="72">
        <v>0.826303732650586</v>
      </c>
      <c r="AK382" s="72">
        <v>0.783923494443009</v>
      </c>
      <c r="AL382" s="72">
        <v>0.810170459179512</v>
      </c>
      <c r="AM382" s="71">
        <v>0.99</v>
      </c>
      <c r="AN382" s="76">
        <v>1</v>
      </c>
      <c r="AO382" s="76">
        <v>1</v>
      </c>
      <c r="AP382" s="76">
        <v>1</v>
      </c>
      <c r="AQ382" s="76">
        <v>1</v>
      </c>
      <c r="AR382" s="96">
        <v>0.05</v>
      </c>
      <c r="AS382" s="80">
        <v>0.153846153846154</v>
      </c>
      <c r="AT382" s="80">
        <v>0.032258064516129</v>
      </c>
      <c r="AU382" s="80">
        <v>0</v>
      </c>
      <c r="AV382" s="80">
        <v>0.0594059405940594</v>
      </c>
      <c r="AW382" s="36"/>
      <c r="AX382" s="34"/>
    </row>
    <row r="383" ht="14.5" spans="1:50">
      <c r="A383" s="32"/>
      <c r="B383" s="36"/>
      <c r="C383" s="91" t="s">
        <v>401</v>
      </c>
      <c r="D383" s="69" t="s">
        <v>19</v>
      </c>
      <c r="E383" s="92" t="s">
        <v>434</v>
      </c>
      <c r="F383" s="92" t="s">
        <v>434</v>
      </c>
      <c r="G383" s="92" t="s">
        <v>434</v>
      </c>
      <c r="H383" s="92" t="s">
        <v>434</v>
      </c>
      <c r="I383" s="71">
        <v>0.9</v>
      </c>
      <c r="J383" s="72">
        <v>0</v>
      </c>
      <c r="K383" s="72">
        <v>0</v>
      </c>
      <c r="L383" s="73">
        <v>0</v>
      </c>
      <c r="M383" s="72">
        <v>0</v>
      </c>
      <c r="N383" s="74">
        <v>0.9</v>
      </c>
      <c r="O383" s="72">
        <v>1</v>
      </c>
      <c r="P383" s="72">
        <v>0.95</v>
      </c>
      <c r="Q383" s="72">
        <v>1</v>
      </c>
      <c r="R383" s="72">
        <v>0.98</v>
      </c>
      <c r="S383" s="74">
        <v>0.9</v>
      </c>
      <c r="T383" s="72">
        <v>1</v>
      </c>
      <c r="U383" s="72">
        <v>1</v>
      </c>
      <c r="V383" s="72">
        <v>1</v>
      </c>
      <c r="W383" s="72">
        <v>0.98</v>
      </c>
      <c r="X383" s="74">
        <v>0.92</v>
      </c>
      <c r="Y383" s="74">
        <v>0</v>
      </c>
      <c r="Z383" s="74">
        <v>0</v>
      </c>
      <c r="AA383" s="74">
        <v>0</v>
      </c>
      <c r="AB383" s="74">
        <v>0</v>
      </c>
      <c r="AC383" s="74">
        <v>0.92</v>
      </c>
      <c r="AD383" s="72">
        <v>1</v>
      </c>
      <c r="AE383" s="72">
        <v>1</v>
      </c>
      <c r="AF383" s="72">
        <v>1</v>
      </c>
      <c r="AG383" s="72">
        <v>0.999548532731377</v>
      </c>
      <c r="AH383" s="74">
        <v>0.92</v>
      </c>
      <c r="AI383" s="72">
        <v>1</v>
      </c>
      <c r="AJ383" s="72">
        <v>1</v>
      </c>
      <c r="AK383" s="72">
        <v>1</v>
      </c>
      <c r="AL383" s="72">
        <v>1</v>
      </c>
      <c r="AM383" s="71">
        <v>0.99</v>
      </c>
      <c r="AN383" s="76">
        <v>0</v>
      </c>
      <c r="AO383" s="76">
        <v>1</v>
      </c>
      <c r="AP383" s="76">
        <v>1</v>
      </c>
      <c r="AQ383" s="76">
        <v>1</v>
      </c>
      <c r="AR383" s="96">
        <v>0.05</v>
      </c>
      <c r="AS383" s="80">
        <v>0</v>
      </c>
      <c r="AT383" s="80">
        <v>0</v>
      </c>
      <c r="AU383" s="80">
        <v>0</v>
      </c>
      <c r="AV383" s="80">
        <v>0</v>
      </c>
      <c r="AW383" s="36"/>
      <c r="AX383" s="34"/>
    </row>
    <row r="384" ht="14.5" spans="1:50">
      <c r="A384" s="32"/>
      <c r="B384" s="36"/>
      <c r="C384" s="91" t="s">
        <v>401</v>
      </c>
      <c r="D384" s="69" t="s">
        <v>19</v>
      </c>
      <c r="E384" s="92" t="s">
        <v>435</v>
      </c>
      <c r="F384" s="92" t="s">
        <v>435</v>
      </c>
      <c r="G384" s="92" t="s">
        <v>435</v>
      </c>
      <c r="H384" s="92" t="s">
        <v>435</v>
      </c>
      <c r="I384" s="71">
        <v>0.9</v>
      </c>
      <c r="J384" s="72">
        <v>0.96875</v>
      </c>
      <c r="K384" s="72">
        <v>0.911764705882353</v>
      </c>
      <c r="L384" s="73">
        <v>0.972972972972973</v>
      </c>
      <c r="M384" s="72">
        <v>0.955271565495208</v>
      </c>
      <c r="N384" s="74">
        <v>0.9</v>
      </c>
      <c r="O384" s="72">
        <v>0.952695829094608</v>
      </c>
      <c r="P384" s="72">
        <v>0.977226202661208</v>
      </c>
      <c r="Q384" s="72">
        <v>0.974217311233886</v>
      </c>
      <c r="R384" s="72">
        <v>0.972345768660555</v>
      </c>
      <c r="S384" s="74">
        <v>0.9</v>
      </c>
      <c r="T384" s="72">
        <v>0.83646998982706</v>
      </c>
      <c r="U384" s="72">
        <v>0.837512794268168</v>
      </c>
      <c r="V384" s="72">
        <v>0.876348329387003</v>
      </c>
      <c r="W384" s="72">
        <v>0.858098090829324</v>
      </c>
      <c r="X384" s="74">
        <v>0.92</v>
      </c>
      <c r="Y384" s="74">
        <v>0</v>
      </c>
      <c r="Z384" s="74">
        <v>0</v>
      </c>
      <c r="AA384" s="74">
        <v>0</v>
      </c>
      <c r="AB384" s="74">
        <v>0</v>
      </c>
      <c r="AC384" s="74">
        <v>0.92</v>
      </c>
      <c r="AD384" s="72">
        <v>0.989053497942387</v>
      </c>
      <c r="AE384" s="72">
        <v>0.995193078032367</v>
      </c>
      <c r="AF384" s="72">
        <v>0.995657209033005</v>
      </c>
      <c r="AG384" s="72">
        <v>0.939901729885101</v>
      </c>
      <c r="AH384" s="74">
        <v>0.92</v>
      </c>
      <c r="AI384" s="72">
        <v>0.918740477399695</v>
      </c>
      <c r="AJ384" s="72">
        <v>0.937899309992333</v>
      </c>
      <c r="AK384" s="72">
        <v>0.94323258869908</v>
      </c>
      <c r="AL384" s="72">
        <v>0.947652993415091</v>
      </c>
      <c r="AM384" s="71">
        <v>0.99</v>
      </c>
      <c r="AN384" s="76">
        <v>1</v>
      </c>
      <c r="AO384" s="76">
        <v>1</v>
      </c>
      <c r="AP384" s="76">
        <v>1</v>
      </c>
      <c r="AQ384" s="76">
        <v>1</v>
      </c>
      <c r="AR384" s="96">
        <v>0.05</v>
      </c>
      <c r="AS384" s="80">
        <v>0.0555555555555556</v>
      </c>
      <c r="AT384" s="80">
        <v>0</v>
      </c>
      <c r="AU384" s="80">
        <v>0</v>
      </c>
      <c r="AV384" s="80">
        <v>0.020979020979021</v>
      </c>
      <c r="AW384" s="36"/>
      <c r="AX384" s="34"/>
    </row>
    <row r="385" ht="14.5" spans="1:50">
      <c r="A385" s="32"/>
      <c r="B385" s="36"/>
      <c r="C385" s="91" t="s">
        <v>401</v>
      </c>
      <c r="D385" s="69" t="s">
        <v>19</v>
      </c>
      <c r="E385" s="92" t="s">
        <v>436</v>
      </c>
      <c r="F385" s="92" t="s">
        <v>436</v>
      </c>
      <c r="G385" s="92" t="s">
        <v>436</v>
      </c>
      <c r="H385" s="92" t="s">
        <v>436</v>
      </c>
      <c r="I385" s="71">
        <v>0.9</v>
      </c>
      <c r="J385" s="72">
        <v>0.793103448275862</v>
      </c>
      <c r="K385" s="72">
        <v>0.96551724137931</v>
      </c>
      <c r="L385" s="73">
        <v>0.9375</v>
      </c>
      <c r="M385" s="72">
        <v>0.899253731343284</v>
      </c>
      <c r="N385" s="74">
        <v>0.9</v>
      </c>
      <c r="O385" s="72">
        <v>0</v>
      </c>
      <c r="P385" s="72">
        <v>0</v>
      </c>
      <c r="Q385" s="72">
        <v>0</v>
      </c>
      <c r="R385" s="72">
        <v>0</v>
      </c>
      <c r="S385" s="74">
        <v>0.9</v>
      </c>
      <c r="T385" s="72">
        <v>0</v>
      </c>
      <c r="U385" s="72">
        <v>0</v>
      </c>
      <c r="V385" s="72">
        <v>0</v>
      </c>
      <c r="W385" s="72">
        <v>0</v>
      </c>
      <c r="X385" s="74">
        <v>0.92</v>
      </c>
      <c r="Y385" s="74">
        <v>0</v>
      </c>
      <c r="Z385" s="74">
        <v>0</v>
      </c>
      <c r="AA385" s="74">
        <v>0</v>
      </c>
      <c r="AB385" s="74">
        <v>0</v>
      </c>
      <c r="AC385" s="74">
        <v>0.92</v>
      </c>
      <c r="AD385" s="72">
        <v>0.997281553398058</v>
      </c>
      <c r="AE385" s="72">
        <v>0.997214484679666</v>
      </c>
      <c r="AF385" s="72">
        <v>0.997822141560799</v>
      </c>
      <c r="AG385" s="72">
        <v>0.995416617698907</v>
      </c>
      <c r="AH385" s="74">
        <v>0.92</v>
      </c>
      <c r="AI385" s="72">
        <v>0.964675473865594</v>
      </c>
      <c r="AJ385" s="72">
        <v>0.965677179962894</v>
      </c>
      <c r="AK385" s="72">
        <v>0.979466119096509</v>
      </c>
      <c r="AL385" s="72">
        <v>0.969427741368826</v>
      </c>
      <c r="AM385" s="71">
        <v>0.99</v>
      </c>
      <c r="AN385" s="76">
        <v>1</v>
      </c>
      <c r="AO385" s="76">
        <v>1</v>
      </c>
      <c r="AP385" s="76">
        <v>1</v>
      </c>
      <c r="AQ385" s="76">
        <v>1</v>
      </c>
      <c r="AR385" s="96">
        <v>0.05</v>
      </c>
      <c r="AS385" s="80">
        <v>0.0625</v>
      </c>
      <c r="AT385" s="80">
        <v>0</v>
      </c>
      <c r="AU385" s="80">
        <v>0</v>
      </c>
      <c r="AV385" s="80">
        <v>0.0526315789473684</v>
      </c>
      <c r="AW385" s="36"/>
      <c r="AX385" s="34"/>
    </row>
    <row r="386" ht="14.5" spans="1:50">
      <c r="A386" s="32"/>
      <c r="B386" s="36"/>
      <c r="C386" s="91" t="s">
        <v>401</v>
      </c>
      <c r="D386" s="69" t="s">
        <v>19</v>
      </c>
      <c r="E386" s="92" t="s">
        <v>437</v>
      </c>
      <c r="F386" s="92" t="s">
        <v>437</v>
      </c>
      <c r="G386" s="92" t="s">
        <v>437</v>
      </c>
      <c r="H386" s="92" t="s">
        <v>437</v>
      </c>
      <c r="I386" s="71">
        <v>0.9</v>
      </c>
      <c r="J386" s="72">
        <v>0.923076923076923</v>
      </c>
      <c r="K386" s="72">
        <v>0.88</v>
      </c>
      <c r="L386" s="73">
        <v>0.884615384615385</v>
      </c>
      <c r="M386" s="72">
        <v>0.9</v>
      </c>
      <c r="N386" s="74">
        <v>0.9</v>
      </c>
      <c r="O386" s="72">
        <v>0</v>
      </c>
      <c r="P386" s="72">
        <v>0</v>
      </c>
      <c r="Q386" s="72">
        <v>0</v>
      </c>
      <c r="R386" s="72">
        <v>0.333333333333333</v>
      </c>
      <c r="S386" s="74">
        <v>0.9</v>
      </c>
      <c r="T386" s="72">
        <v>0</v>
      </c>
      <c r="U386" s="72">
        <v>0</v>
      </c>
      <c r="V386" s="72">
        <v>0</v>
      </c>
      <c r="W386" s="72">
        <v>0.666666666666667</v>
      </c>
      <c r="X386" s="74">
        <v>0.92</v>
      </c>
      <c r="Y386" s="74">
        <v>0</v>
      </c>
      <c r="Z386" s="74">
        <v>0</v>
      </c>
      <c r="AA386" s="74">
        <v>0</v>
      </c>
      <c r="AB386" s="74">
        <v>0</v>
      </c>
      <c r="AC386" s="74">
        <v>0.92</v>
      </c>
      <c r="AD386" s="72">
        <v>1</v>
      </c>
      <c r="AE386" s="72">
        <v>0.988636363636364</v>
      </c>
      <c r="AF386" s="72">
        <v>0.982456140350877</v>
      </c>
      <c r="AG386" s="72">
        <v>0.986599664991625</v>
      </c>
      <c r="AH386" s="74">
        <v>0.92</v>
      </c>
      <c r="AI386" s="72">
        <v>0.906733584274362</v>
      </c>
      <c r="AJ386" s="72">
        <v>0.831996434937611</v>
      </c>
      <c r="AK386" s="72">
        <v>0.874285714285714</v>
      </c>
      <c r="AL386" s="72">
        <v>0.896587902563635</v>
      </c>
      <c r="AM386" s="71">
        <v>0.99</v>
      </c>
      <c r="AN386" s="76">
        <v>1</v>
      </c>
      <c r="AO386" s="76">
        <v>1</v>
      </c>
      <c r="AP386" s="76">
        <v>1</v>
      </c>
      <c r="AQ386" s="76">
        <v>1</v>
      </c>
      <c r="AR386" s="96">
        <v>0.05</v>
      </c>
      <c r="AS386" s="80">
        <v>0.333333333333333</v>
      </c>
      <c r="AT386" s="80">
        <v>0.333333333333333</v>
      </c>
      <c r="AU386" s="80">
        <v>0</v>
      </c>
      <c r="AV386" s="80">
        <v>0.130434782608696</v>
      </c>
      <c r="AW386" s="36"/>
      <c r="AX386" s="34"/>
    </row>
    <row r="387" ht="14.5" spans="1:50">
      <c r="A387" s="32"/>
      <c r="B387" s="36"/>
      <c r="C387" s="91" t="s">
        <v>401</v>
      </c>
      <c r="D387" s="69" t="s">
        <v>19</v>
      </c>
      <c r="E387" s="92" t="s">
        <v>438</v>
      </c>
      <c r="F387" s="92" t="s">
        <v>438</v>
      </c>
      <c r="G387" s="92" t="s">
        <v>438</v>
      </c>
      <c r="H387" s="92" t="s">
        <v>438</v>
      </c>
      <c r="I387" s="71">
        <v>0.9</v>
      </c>
      <c r="J387" s="72">
        <v>0.878787878787879</v>
      </c>
      <c r="K387" s="72">
        <v>0.928571428571429</v>
      </c>
      <c r="L387" s="73">
        <v>0.902439024390244</v>
      </c>
      <c r="M387" s="72">
        <v>0.930635838150289</v>
      </c>
      <c r="N387" s="74">
        <v>0.9</v>
      </c>
      <c r="O387" s="72">
        <v>0</v>
      </c>
      <c r="P387" s="72">
        <v>0.2</v>
      </c>
      <c r="Q387" s="72">
        <v>0</v>
      </c>
      <c r="R387" s="72">
        <v>0.25</v>
      </c>
      <c r="S387" s="74">
        <v>0.9</v>
      </c>
      <c r="T387" s="72">
        <v>0</v>
      </c>
      <c r="U387" s="72">
        <v>0</v>
      </c>
      <c r="V387" s="72">
        <v>0</v>
      </c>
      <c r="W387" s="72">
        <v>0.1875</v>
      </c>
      <c r="X387" s="74">
        <v>0.92</v>
      </c>
      <c r="Y387" s="74">
        <v>0</v>
      </c>
      <c r="Z387" s="74">
        <v>0</v>
      </c>
      <c r="AA387" s="74">
        <v>0</v>
      </c>
      <c r="AB387" s="74">
        <v>0</v>
      </c>
      <c r="AC387" s="74">
        <v>0.92</v>
      </c>
      <c r="AD387" s="72">
        <v>0.978396816372939</v>
      </c>
      <c r="AE387" s="72">
        <v>0.998073217726397</v>
      </c>
      <c r="AF387" s="72">
        <v>0.995481927710843</v>
      </c>
      <c r="AG387" s="72">
        <v>0.992045125831646</v>
      </c>
      <c r="AH387" s="74">
        <v>0.92</v>
      </c>
      <c r="AI387" s="72">
        <v>0.844196753089411</v>
      </c>
      <c r="AJ387" s="72">
        <v>0.951794603091433</v>
      </c>
      <c r="AK387" s="72">
        <v>0.911748633879781</v>
      </c>
      <c r="AL387" s="72">
        <v>0.919131754531657</v>
      </c>
      <c r="AM387" s="71">
        <v>0.99</v>
      </c>
      <c r="AN387" s="76">
        <v>1</v>
      </c>
      <c r="AO387" s="76">
        <v>1</v>
      </c>
      <c r="AP387" s="76">
        <v>1</v>
      </c>
      <c r="AQ387" s="76">
        <v>1</v>
      </c>
      <c r="AR387" s="96">
        <v>0.05</v>
      </c>
      <c r="AS387" s="80">
        <v>0</v>
      </c>
      <c r="AT387" s="80">
        <v>0.222222222222222</v>
      </c>
      <c r="AU387" s="80">
        <v>0</v>
      </c>
      <c r="AV387" s="80">
        <v>0.0563380281690141</v>
      </c>
      <c r="AW387" s="36"/>
      <c r="AX387" s="34"/>
    </row>
    <row r="388" ht="14.5" spans="1:50">
      <c r="A388" s="32"/>
      <c r="B388" s="36"/>
      <c r="C388" s="91" t="s">
        <v>401</v>
      </c>
      <c r="D388" s="69" t="s">
        <v>19</v>
      </c>
      <c r="E388" s="92" t="s">
        <v>439</v>
      </c>
      <c r="F388" s="92" t="s">
        <v>439</v>
      </c>
      <c r="G388" s="92" t="s">
        <v>439</v>
      </c>
      <c r="H388" s="92" t="s">
        <v>439</v>
      </c>
      <c r="I388" s="71">
        <v>0.9</v>
      </c>
      <c r="J388" s="72">
        <v>0.982456140350877</v>
      </c>
      <c r="K388" s="72">
        <v>0.95</v>
      </c>
      <c r="L388" s="73">
        <v>0.967213114754098</v>
      </c>
      <c r="M388" s="72">
        <v>0.975517890772128</v>
      </c>
      <c r="N388" s="74">
        <v>0.9</v>
      </c>
      <c r="O388" s="72">
        <v>0</v>
      </c>
      <c r="P388" s="72">
        <v>0</v>
      </c>
      <c r="Q388" s="72">
        <v>0</v>
      </c>
      <c r="R388" s="72">
        <v>0.111111111111111</v>
      </c>
      <c r="S388" s="74">
        <v>0.9</v>
      </c>
      <c r="T388" s="72">
        <v>0</v>
      </c>
      <c r="U388" s="72">
        <v>0</v>
      </c>
      <c r="V388" s="72">
        <v>0</v>
      </c>
      <c r="W388" s="72">
        <v>0</v>
      </c>
      <c r="X388" s="74">
        <v>0.92</v>
      </c>
      <c r="Y388" s="74">
        <v>0</v>
      </c>
      <c r="Z388" s="74">
        <v>0</v>
      </c>
      <c r="AA388" s="74">
        <v>0</v>
      </c>
      <c r="AB388" s="74">
        <v>0.5</v>
      </c>
      <c r="AC388" s="74">
        <v>0.92</v>
      </c>
      <c r="AD388" s="72">
        <v>0.993548387096774</v>
      </c>
      <c r="AE388" s="72">
        <v>0.996573875802998</v>
      </c>
      <c r="AF388" s="72">
        <v>0.991008045433034</v>
      </c>
      <c r="AG388" s="72">
        <v>0.995114140252915</v>
      </c>
      <c r="AH388" s="74">
        <v>0.92</v>
      </c>
      <c r="AI388" s="72">
        <v>0.940515403991474</v>
      </c>
      <c r="AJ388" s="72">
        <v>0.957378367511058</v>
      </c>
      <c r="AK388" s="72">
        <v>0.948669599832391</v>
      </c>
      <c r="AL388" s="72">
        <v>0.952212506042097</v>
      </c>
      <c r="AM388" s="71">
        <v>0.99</v>
      </c>
      <c r="AN388" s="76">
        <v>1</v>
      </c>
      <c r="AO388" s="76">
        <v>1</v>
      </c>
      <c r="AP388" s="76">
        <v>1</v>
      </c>
      <c r="AQ388" s="76">
        <v>1</v>
      </c>
      <c r="AR388" s="96">
        <v>0.05</v>
      </c>
      <c r="AS388" s="80">
        <v>0</v>
      </c>
      <c r="AT388" s="80">
        <v>0.0454545454545455</v>
      </c>
      <c r="AU388" s="80">
        <v>0</v>
      </c>
      <c r="AV388" s="80">
        <v>0.0486486486486487</v>
      </c>
      <c r="AW388" s="36"/>
      <c r="AX388" s="34"/>
    </row>
    <row r="389" ht="14.5" spans="1:50">
      <c r="A389" s="32"/>
      <c r="B389" s="36"/>
      <c r="C389" s="91" t="s">
        <v>401</v>
      </c>
      <c r="D389" s="69" t="s">
        <v>19</v>
      </c>
      <c r="E389" s="92" t="s">
        <v>440</v>
      </c>
      <c r="F389" s="92" t="s">
        <v>440</v>
      </c>
      <c r="G389" s="92" t="s">
        <v>440</v>
      </c>
      <c r="H389" s="92" t="s">
        <v>440</v>
      </c>
      <c r="I389" s="71">
        <v>0.9</v>
      </c>
      <c r="J389" s="72">
        <v>0.909090909090909</v>
      </c>
      <c r="K389" s="72">
        <v>0.914893617021277</v>
      </c>
      <c r="L389" s="73">
        <v>0.978723404255319</v>
      </c>
      <c r="M389" s="72">
        <v>0.924574209245742</v>
      </c>
      <c r="N389" s="74">
        <v>0.9</v>
      </c>
      <c r="O389" s="72">
        <v>0</v>
      </c>
      <c r="P389" s="72">
        <v>0</v>
      </c>
      <c r="Q389" s="72">
        <v>0</v>
      </c>
      <c r="R389" s="72">
        <v>0</v>
      </c>
      <c r="S389" s="74">
        <v>0.9</v>
      </c>
      <c r="T389" s="72">
        <v>0</v>
      </c>
      <c r="U389" s="72">
        <v>0</v>
      </c>
      <c r="V389" s="72">
        <v>0</v>
      </c>
      <c r="W389" s="72">
        <v>0</v>
      </c>
      <c r="X389" s="74">
        <v>0.92</v>
      </c>
      <c r="Y389" s="74">
        <v>0</v>
      </c>
      <c r="Z389" s="74">
        <v>0</v>
      </c>
      <c r="AA389" s="74">
        <v>0</v>
      </c>
      <c r="AB389" s="74">
        <v>1</v>
      </c>
      <c r="AC389" s="74">
        <v>0.92</v>
      </c>
      <c r="AD389" s="72">
        <v>0.973684210526316</v>
      </c>
      <c r="AE389" s="72">
        <v>0.956521739130435</v>
      </c>
      <c r="AF389" s="72">
        <v>0.978494623655914</v>
      </c>
      <c r="AG389" s="72">
        <v>0.982040816326531</v>
      </c>
      <c r="AH389" s="74">
        <v>0.92</v>
      </c>
      <c r="AI389" s="72">
        <v>0.853922245226593</v>
      </c>
      <c r="AJ389" s="72">
        <v>0.948467230443975</v>
      </c>
      <c r="AK389" s="72">
        <v>0.869542066027689</v>
      </c>
      <c r="AL389" s="72">
        <v>0.918960980164681</v>
      </c>
      <c r="AM389" s="71">
        <v>0.99</v>
      </c>
      <c r="AN389" s="76">
        <v>1</v>
      </c>
      <c r="AO389" s="76">
        <v>1</v>
      </c>
      <c r="AP389" s="76">
        <v>1</v>
      </c>
      <c r="AQ389" s="76">
        <v>1</v>
      </c>
      <c r="AR389" s="96">
        <v>0.05</v>
      </c>
      <c r="AS389" s="80">
        <v>0</v>
      </c>
      <c r="AT389" s="80">
        <v>0</v>
      </c>
      <c r="AU389" s="80">
        <v>0.125</v>
      </c>
      <c r="AV389" s="80">
        <v>0.0405405405405405</v>
      </c>
      <c r="AW389" s="36"/>
      <c r="AX389" s="34"/>
    </row>
    <row r="390" ht="14.5" spans="1:50">
      <c r="A390" s="32"/>
      <c r="B390" s="36"/>
      <c r="C390" s="91" t="s">
        <v>401</v>
      </c>
      <c r="D390" s="69" t="s">
        <v>19</v>
      </c>
      <c r="E390" s="92" t="s">
        <v>441</v>
      </c>
      <c r="F390" s="92" t="s">
        <v>441</v>
      </c>
      <c r="G390" s="92" t="s">
        <v>441</v>
      </c>
      <c r="H390" s="92" t="s">
        <v>441</v>
      </c>
      <c r="I390" s="71">
        <v>0.9</v>
      </c>
      <c r="J390" s="72">
        <v>0.875</v>
      </c>
      <c r="K390" s="72">
        <v>0.871794871794872</v>
      </c>
      <c r="L390" s="73">
        <v>1</v>
      </c>
      <c r="M390" s="72">
        <v>0.946380697050938</v>
      </c>
      <c r="N390" s="74">
        <v>0.9</v>
      </c>
      <c r="O390" s="72">
        <v>0</v>
      </c>
      <c r="P390" s="72">
        <v>0</v>
      </c>
      <c r="Q390" s="72">
        <v>0</v>
      </c>
      <c r="R390" s="72">
        <v>0.111111111111111</v>
      </c>
      <c r="S390" s="74">
        <v>0.9</v>
      </c>
      <c r="T390" s="72">
        <v>0</v>
      </c>
      <c r="U390" s="72">
        <v>0</v>
      </c>
      <c r="V390" s="72">
        <v>0</v>
      </c>
      <c r="W390" s="72">
        <v>0.222222222222222</v>
      </c>
      <c r="X390" s="74">
        <v>0.92</v>
      </c>
      <c r="Y390" s="74">
        <v>0</v>
      </c>
      <c r="Z390" s="74">
        <v>0</v>
      </c>
      <c r="AA390" s="74">
        <v>0</v>
      </c>
      <c r="AB390" s="74">
        <v>1</v>
      </c>
      <c r="AC390" s="74">
        <v>0.92</v>
      </c>
      <c r="AD390" s="72">
        <v>0.996473995718423</v>
      </c>
      <c r="AE390" s="72">
        <v>0.996802106847254</v>
      </c>
      <c r="AF390" s="72">
        <v>0.998035714285714</v>
      </c>
      <c r="AG390" s="72">
        <v>0.997960684675047</v>
      </c>
      <c r="AH390" s="74">
        <v>0.92</v>
      </c>
      <c r="AI390" s="72">
        <v>0.926690251572327</v>
      </c>
      <c r="AJ390" s="72">
        <v>0.944265809217578</v>
      </c>
      <c r="AK390" s="72">
        <v>0.941060039586541</v>
      </c>
      <c r="AL390" s="72">
        <v>0.94420409122972</v>
      </c>
      <c r="AM390" s="71">
        <v>0.99</v>
      </c>
      <c r="AN390" s="76">
        <v>1</v>
      </c>
      <c r="AO390" s="76">
        <v>1</v>
      </c>
      <c r="AP390" s="76">
        <v>1</v>
      </c>
      <c r="AQ390" s="76">
        <v>1</v>
      </c>
      <c r="AR390" s="96">
        <v>0.05</v>
      </c>
      <c r="AS390" s="80">
        <v>0.0666666666666667</v>
      </c>
      <c r="AT390" s="80">
        <v>0</v>
      </c>
      <c r="AU390" s="80">
        <v>0</v>
      </c>
      <c r="AV390" s="80">
        <v>0.0454545454545455</v>
      </c>
      <c r="AW390" s="36"/>
      <c r="AX390" s="34"/>
    </row>
    <row r="391" ht="14.5" spans="1:50">
      <c r="A391" s="32"/>
      <c r="B391" s="36"/>
      <c r="C391" s="91" t="s">
        <v>401</v>
      </c>
      <c r="D391" s="69" t="s">
        <v>19</v>
      </c>
      <c r="E391" s="92" t="s">
        <v>442</v>
      </c>
      <c r="F391" s="92" t="s">
        <v>442</v>
      </c>
      <c r="G391" s="92" t="s">
        <v>442</v>
      </c>
      <c r="H391" s="92" t="s">
        <v>442</v>
      </c>
      <c r="I391" s="71">
        <v>0.9</v>
      </c>
      <c r="J391" s="72">
        <v>0.883720930232558</v>
      </c>
      <c r="K391" s="72">
        <v>0.952380952380952</v>
      </c>
      <c r="L391" s="73">
        <v>1</v>
      </c>
      <c r="M391" s="72">
        <v>0.940104166666667</v>
      </c>
      <c r="N391" s="74">
        <v>0.9</v>
      </c>
      <c r="O391" s="72">
        <v>0.916110991611099</v>
      </c>
      <c r="P391" s="72">
        <v>0.963817277250113</v>
      </c>
      <c r="Q391" s="72">
        <v>0.969531064032373</v>
      </c>
      <c r="R391" s="72">
        <v>0.949566092315432</v>
      </c>
      <c r="S391" s="74">
        <v>0.9</v>
      </c>
      <c r="T391" s="72">
        <v>0.813508281350828</v>
      </c>
      <c r="U391" s="72">
        <v>0.890321121664405</v>
      </c>
      <c r="V391" s="72">
        <v>0.911925731968579</v>
      </c>
      <c r="W391" s="72">
        <v>0.873852345616904</v>
      </c>
      <c r="X391" s="74">
        <v>0.92</v>
      </c>
      <c r="Y391" s="74">
        <v>0</v>
      </c>
      <c r="Z391" s="74">
        <v>0</v>
      </c>
      <c r="AA391" s="74">
        <v>1</v>
      </c>
      <c r="AB391" s="74">
        <v>0.714285714285714</v>
      </c>
      <c r="AC391" s="74">
        <v>0.92</v>
      </c>
      <c r="AD391" s="72">
        <v>0.997259118701244</v>
      </c>
      <c r="AE391" s="72">
        <v>0.97903668579985</v>
      </c>
      <c r="AF391" s="72">
        <v>0.999291031549096</v>
      </c>
      <c r="AG391" s="72">
        <v>0.977469938460746</v>
      </c>
      <c r="AH391" s="74">
        <v>0.92</v>
      </c>
      <c r="AI391" s="72">
        <v>0.937244788308618</v>
      </c>
      <c r="AJ391" s="72">
        <v>0.950248756218905</v>
      </c>
      <c r="AK391" s="72">
        <v>0.968355936236022</v>
      </c>
      <c r="AL391" s="72">
        <v>0.962484284636661</v>
      </c>
      <c r="AM391" s="71">
        <v>0.99</v>
      </c>
      <c r="AN391" s="76">
        <v>1</v>
      </c>
      <c r="AO391" s="76">
        <v>1</v>
      </c>
      <c r="AP391" s="76">
        <v>1</v>
      </c>
      <c r="AQ391" s="76">
        <v>1</v>
      </c>
      <c r="AR391" s="96">
        <v>0.05</v>
      </c>
      <c r="AS391" s="80">
        <v>0</v>
      </c>
      <c r="AT391" s="80">
        <v>0.0666666666666667</v>
      </c>
      <c r="AU391" s="80">
        <v>0.0714285714285714</v>
      </c>
      <c r="AV391" s="80">
        <v>0.0335195530726257</v>
      </c>
      <c r="AW391" s="36"/>
      <c r="AX391" s="34"/>
    </row>
    <row r="392" ht="14.5" spans="1:50">
      <c r="A392" s="32"/>
      <c r="B392" s="36"/>
      <c r="C392" s="91" t="s">
        <v>401</v>
      </c>
      <c r="D392" s="69" t="s">
        <v>19</v>
      </c>
      <c r="E392" s="92" t="s">
        <v>443</v>
      </c>
      <c r="F392" s="92" t="s">
        <v>443</v>
      </c>
      <c r="G392" s="92" t="s">
        <v>443</v>
      </c>
      <c r="H392" s="92" t="s">
        <v>443</v>
      </c>
      <c r="I392" s="71">
        <v>0.9</v>
      </c>
      <c r="J392" s="72">
        <v>0.972972972972973</v>
      </c>
      <c r="K392" s="72">
        <v>1</v>
      </c>
      <c r="L392" s="73">
        <v>0.977272727272727</v>
      </c>
      <c r="M392" s="72">
        <v>0.950684931506849</v>
      </c>
      <c r="N392" s="74">
        <v>0.9</v>
      </c>
      <c r="O392" s="72">
        <v>0</v>
      </c>
      <c r="P392" s="72">
        <v>0</v>
      </c>
      <c r="Q392" s="72">
        <v>0</v>
      </c>
      <c r="R392" s="72">
        <v>0</v>
      </c>
      <c r="S392" s="74">
        <v>0.9</v>
      </c>
      <c r="T392" s="72">
        <v>0</v>
      </c>
      <c r="U392" s="72">
        <v>0</v>
      </c>
      <c r="V392" s="72">
        <v>0</v>
      </c>
      <c r="W392" s="72">
        <v>0</v>
      </c>
      <c r="X392" s="74">
        <v>0.92</v>
      </c>
      <c r="Y392" s="74">
        <v>0</v>
      </c>
      <c r="Z392" s="74">
        <v>0</v>
      </c>
      <c r="AA392" s="74">
        <v>0</v>
      </c>
      <c r="AB392" s="74">
        <v>0</v>
      </c>
      <c r="AC392" s="74">
        <v>0.92</v>
      </c>
      <c r="AD392" s="72">
        <v>1</v>
      </c>
      <c r="AE392" s="72">
        <v>0.976744186046512</v>
      </c>
      <c r="AF392" s="72">
        <v>1</v>
      </c>
      <c r="AG392" s="72">
        <v>0.972350230414747</v>
      </c>
      <c r="AH392" s="74">
        <v>0.92</v>
      </c>
      <c r="AI392" s="72">
        <v>0.858863576852579</v>
      </c>
      <c r="AJ392" s="72">
        <v>0.913252331166996</v>
      </c>
      <c r="AK392" s="72">
        <v>0.935947321161329</v>
      </c>
      <c r="AL392" s="72">
        <v>0.918348763089998</v>
      </c>
      <c r="AM392" s="71">
        <v>0.99</v>
      </c>
      <c r="AN392" s="76">
        <v>1</v>
      </c>
      <c r="AO392" s="76">
        <v>1</v>
      </c>
      <c r="AP392" s="76">
        <v>1</v>
      </c>
      <c r="AQ392" s="76">
        <v>1</v>
      </c>
      <c r="AR392" s="96">
        <v>0.05</v>
      </c>
      <c r="AS392" s="80">
        <v>0</v>
      </c>
      <c r="AT392" s="80">
        <v>0.230769230769231</v>
      </c>
      <c r="AU392" s="80">
        <v>0</v>
      </c>
      <c r="AV392" s="80">
        <v>0.0697674418604651</v>
      </c>
      <c r="AW392" s="36"/>
      <c r="AX392" s="34"/>
    </row>
    <row r="393" ht="14.5" spans="1:50">
      <c r="A393" s="32"/>
      <c r="B393" s="36"/>
      <c r="C393" s="91" t="s">
        <v>401</v>
      </c>
      <c r="D393" s="69" t="s">
        <v>19</v>
      </c>
      <c r="E393" s="92" t="s">
        <v>444</v>
      </c>
      <c r="F393" s="92" t="s">
        <v>444</v>
      </c>
      <c r="G393" s="92" t="s">
        <v>444</v>
      </c>
      <c r="H393" s="92" t="s">
        <v>444</v>
      </c>
      <c r="I393" s="71">
        <v>0.9</v>
      </c>
      <c r="J393" s="72">
        <v>0.953488372093023</v>
      </c>
      <c r="K393" s="72">
        <v>0.957446808510638</v>
      </c>
      <c r="L393" s="73">
        <v>0.952380952380952</v>
      </c>
      <c r="M393" s="72">
        <v>0.956298200514139</v>
      </c>
      <c r="N393" s="74">
        <v>0.9</v>
      </c>
      <c r="O393" s="72">
        <v>0</v>
      </c>
      <c r="P393" s="72">
        <v>0</v>
      </c>
      <c r="Q393" s="72">
        <v>0</v>
      </c>
      <c r="R393" s="72">
        <v>0.162162162162162</v>
      </c>
      <c r="S393" s="74">
        <v>0.9</v>
      </c>
      <c r="T393" s="72">
        <v>0</v>
      </c>
      <c r="U393" s="72">
        <v>0</v>
      </c>
      <c r="V393" s="72">
        <v>0</v>
      </c>
      <c r="W393" s="72">
        <v>0.189189189189189</v>
      </c>
      <c r="X393" s="74">
        <v>0.92</v>
      </c>
      <c r="Y393" s="74">
        <v>0</v>
      </c>
      <c r="Z393" s="74">
        <v>1</v>
      </c>
      <c r="AA393" s="74">
        <v>0</v>
      </c>
      <c r="AB393" s="74">
        <v>0.75</v>
      </c>
      <c r="AC393" s="74">
        <v>0.92</v>
      </c>
      <c r="AD393" s="72">
        <v>0.996336517074447</v>
      </c>
      <c r="AE393" s="72">
        <v>0.995099684500235</v>
      </c>
      <c r="AF393" s="72">
        <v>0.997755331088664</v>
      </c>
      <c r="AG393" s="72">
        <v>0.956831584385968</v>
      </c>
      <c r="AH393" s="74">
        <v>0.92</v>
      </c>
      <c r="AI393" s="72">
        <v>0.955183093459647</v>
      </c>
      <c r="AJ393" s="72">
        <v>0.962956460674157</v>
      </c>
      <c r="AK393" s="72">
        <v>0.960719171389486</v>
      </c>
      <c r="AL393" s="72">
        <v>0.968064812944635</v>
      </c>
      <c r="AM393" s="71">
        <v>0.99</v>
      </c>
      <c r="AN393" s="76">
        <v>1</v>
      </c>
      <c r="AO393" s="76">
        <v>1</v>
      </c>
      <c r="AP393" s="76">
        <v>1</v>
      </c>
      <c r="AQ393" s="76">
        <v>1</v>
      </c>
      <c r="AR393" s="96">
        <v>0.05</v>
      </c>
      <c r="AS393" s="80">
        <v>0</v>
      </c>
      <c r="AT393" s="80">
        <v>0.111111111111111</v>
      </c>
      <c r="AU393" s="80">
        <v>0</v>
      </c>
      <c r="AV393" s="80">
        <v>0.0372670807453416</v>
      </c>
      <c r="AW393" s="36"/>
      <c r="AX393" s="34"/>
    </row>
    <row r="394" ht="14.5" spans="1:50">
      <c r="A394" s="32"/>
      <c r="B394" s="36"/>
      <c r="C394" s="91" t="s">
        <v>401</v>
      </c>
      <c r="D394" s="69" t="s">
        <v>19</v>
      </c>
      <c r="E394" s="92" t="s">
        <v>445</v>
      </c>
      <c r="F394" s="92" t="s">
        <v>445</v>
      </c>
      <c r="G394" s="92" t="s">
        <v>445</v>
      </c>
      <c r="H394" s="92" t="s">
        <v>445</v>
      </c>
      <c r="I394" s="71">
        <v>0.9</v>
      </c>
      <c r="J394" s="72">
        <v>0.971428571428571</v>
      </c>
      <c r="K394" s="72">
        <v>0.944444444444444</v>
      </c>
      <c r="L394" s="73">
        <v>0.975</v>
      </c>
      <c r="M394" s="72">
        <v>0.970414201183432</v>
      </c>
      <c r="N394" s="74">
        <v>0.9</v>
      </c>
      <c r="O394" s="72">
        <v>0.976420948126086</v>
      </c>
      <c r="P394" s="72">
        <v>0.980440097799511</v>
      </c>
      <c r="Q394" s="72">
        <v>0.916573660714286</v>
      </c>
      <c r="R394" s="72">
        <v>0.956039429159923</v>
      </c>
      <c r="S394" s="74">
        <v>0.9</v>
      </c>
      <c r="T394" s="72">
        <v>0.896003971208737</v>
      </c>
      <c r="U394" s="72">
        <v>0.916598750339582</v>
      </c>
      <c r="V394" s="72">
        <v>0.908761160714286</v>
      </c>
      <c r="W394" s="72">
        <v>0.897337060467853</v>
      </c>
      <c r="X394" s="74">
        <v>0.92</v>
      </c>
      <c r="Y394" s="74">
        <v>0</v>
      </c>
      <c r="Z394" s="74">
        <v>0</v>
      </c>
      <c r="AA394" s="74">
        <v>1</v>
      </c>
      <c r="AB394" s="74">
        <v>0.4</v>
      </c>
      <c r="AC394" s="74">
        <v>0.92</v>
      </c>
      <c r="AD394" s="72">
        <v>0.998048327137546</v>
      </c>
      <c r="AE394" s="72">
        <v>0.996929946971811</v>
      </c>
      <c r="AF394" s="72">
        <v>0.999457170774074</v>
      </c>
      <c r="AG394" s="72">
        <v>0.986741676536386</v>
      </c>
      <c r="AH394" s="74">
        <v>0.92</v>
      </c>
      <c r="AI394" s="72">
        <v>0.941104294478528</v>
      </c>
      <c r="AJ394" s="72">
        <v>0.954668838219327</v>
      </c>
      <c r="AK394" s="72">
        <v>0.943469785575049</v>
      </c>
      <c r="AL394" s="72">
        <v>0.945565048885757</v>
      </c>
      <c r="AM394" s="71">
        <v>0.99</v>
      </c>
      <c r="AN394" s="76">
        <v>1</v>
      </c>
      <c r="AO394" s="76">
        <v>1</v>
      </c>
      <c r="AP394" s="76">
        <v>1</v>
      </c>
      <c r="AQ394" s="76">
        <v>1</v>
      </c>
      <c r="AR394" s="96">
        <v>0.05</v>
      </c>
      <c r="AS394" s="80">
        <v>0.0882352941176471</v>
      </c>
      <c r="AT394" s="80">
        <v>0.0232558139534884</v>
      </c>
      <c r="AU394" s="80">
        <v>0.0625</v>
      </c>
      <c r="AV394" s="80">
        <v>0.033003300330033</v>
      </c>
      <c r="AW394" s="36"/>
      <c r="AX394" s="34"/>
    </row>
    <row r="395" ht="14.5" spans="1:50">
      <c r="A395" s="32"/>
      <c r="B395" s="36"/>
      <c r="C395" s="91" t="s">
        <v>401</v>
      </c>
      <c r="D395" s="69" t="s">
        <v>19</v>
      </c>
      <c r="E395" s="92" t="s">
        <v>446</v>
      </c>
      <c r="F395" s="92" t="s">
        <v>446</v>
      </c>
      <c r="G395" s="92" t="s">
        <v>446</v>
      </c>
      <c r="H395" s="92" t="s">
        <v>446</v>
      </c>
      <c r="I395" s="71">
        <v>0.9</v>
      </c>
      <c r="J395" s="72">
        <v>1</v>
      </c>
      <c r="K395" s="72">
        <v>0.967741935483871</v>
      </c>
      <c r="L395" s="73">
        <v>0.967741935483871</v>
      </c>
      <c r="M395" s="72">
        <v>0.96309963099631</v>
      </c>
      <c r="N395" s="74">
        <v>0.9</v>
      </c>
      <c r="O395" s="72">
        <v>0</v>
      </c>
      <c r="P395" s="72">
        <v>1</v>
      </c>
      <c r="Q395" s="72">
        <v>0</v>
      </c>
      <c r="R395" s="72">
        <v>0.8</v>
      </c>
      <c r="S395" s="74">
        <v>0.9</v>
      </c>
      <c r="T395" s="72">
        <v>0</v>
      </c>
      <c r="U395" s="72">
        <v>1</v>
      </c>
      <c r="V395" s="72">
        <v>0</v>
      </c>
      <c r="W395" s="72">
        <v>0.8</v>
      </c>
      <c r="X395" s="74">
        <v>0.92</v>
      </c>
      <c r="Y395" s="74">
        <v>0</v>
      </c>
      <c r="Z395" s="74">
        <v>0</v>
      </c>
      <c r="AA395" s="74">
        <v>0</v>
      </c>
      <c r="AB395" s="74">
        <v>0</v>
      </c>
      <c r="AC395" s="74">
        <v>0.92</v>
      </c>
      <c r="AD395" s="72">
        <v>0.983787435262328</v>
      </c>
      <c r="AE395" s="72">
        <v>0.998029772329247</v>
      </c>
      <c r="AF395" s="72">
        <v>0.998511535599107</v>
      </c>
      <c r="AG395" s="72">
        <v>0.989876670092497</v>
      </c>
      <c r="AH395" s="74">
        <v>0.92</v>
      </c>
      <c r="AI395" s="72">
        <v>0.940805288461538</v>
      </c>
      <c r="AJ395" s="72">
        <v>0.961646398503274</v>
      </c>
      <c r="AK395" s="72">
        <v>0.967443454420836</v>
      </c>
      <c r="AL395" s="72">
        <v>0.963278904591052</v>
      </c>
      <c r="AM395" s="71">
        <v>0.99</v>
      </c>
      <c r="AN395" s="76">
        <v>1</v>
      </c>
      <c r="AO395" s="76">
        <v>1</v>
      </c>
      <c r="AP395" s="76">
        <v>1</v>
      </c>
      <c r="AQ395" s="76">
        <v>1</v>
      </c>
      <c r="AR395" s="96">
        <v>0.05</v>
      </c>
      <c r="AS395" s="80">
        <v>0.0526315789473684</v>
      </c>
      <c r="AT395" s="80">
        <v>0</v>
      </c>
      <c r="AU395" s="80">
        <v>0</v>
      </c>
      <c r="AV395" s="80">
        <v>0.0506329113924051</v>
      </c>
      <c r="AW395" s="36"/>
      <c r="AX395" s="34"/>
    </row>
    <row r="396" ht="14.5" spans="1:50">
      <c r="A396" s="32"/>
      <c r="B396" s="36"/>
      <c r="C396" s="91" t="s">
        <v>401</v>
      </c>
      <c r="D396" s="69" t="s">
        <v>19</v>
      </c>
      <c r="E396" s="92" t="s">
        <v>447</v>
      </c>
      <c r="F396" s="92" t="s">
        <v>447</v>
      </c>
      <c r="G396" s="92" t="s">
        <v>447</v>
      </c>
      <c r="H396" s="92" t="s">
        <v>447</v>
      </c>
      <c r="I396" s="71">
        <v>0.9</v>
      </c>
      <c r="J396" s="72">
        <v>0.955555555555556</v>
      </c>
      <c r="K396" s="72">
        <v>0.976744186046512</v>
      </c>
      <c r="L396" s="73">
        <v>1</v>
      </c>
      <c r="M396" s="72">
        <v>0.977777777777778</v>
      </c>
      <c r="N396" s="74">
        <v>0.9</v>
      </c>
      <c r="O396" s="72">
        <v>0.333333333333333</v>
      </c>
      <c r="P396" s="72">
        <v>0</v>
      </c>
      <c r="Q396" s="72">
        <v>0.666666666666667</v>
      </c>
      <c r="R396" s="72">
        <v>0.35</v>
      </c>
      <c r="S396" s="74">
        <v>0.9</v>
      </c>
      <c r="T396" s="72">
        <v>0.333333333333333</v>
      </c>
      <c r="U396" s="72">
        <v>0</v>
      </c>
      <c r="V396" s="72">
        <v>0.666666666666667</v>
      </c>
      <c r="W396" s="72">
        <v>0.3</v>
      </c>
      <c r="X396" s="74">
        <v>0.92</v>
      </c>
      <c r="Y396" s="74">
        <v>0</v>
      </c>
      <c r="Z396" s="74">
        <v>0</v>
      </c>
      <c r="AA396" s="74">
        <v>0</v>
      </c>
      <c r="AB396" s="74">
        <v>0</v>
      </c>
      <c r="AC396" s="74">
        <v>0.92</v>
      </c>
      <c r="AD396" s="72">
        <v>0.996406109613657</v>
      </c>
      <c r="AE396" s="72">
        <v>0.99625468164794</v>
      </c>
      <c r="AF396" s="72">
        <v>0.995260663507109</v>
      </c>
      <c r="AG396" s="72">
        <v>0.994179628700452</v>
      </c>
      <c r="AH396" s="74">
        <v>0.92</v>
      </c>
      <c r="AI396" s="72">
        <v>0.928929583605843</v>
      </c>
      <c r="AJ396" s="72">
        <v>0.942764076314565</v>
      </c>
      <c r="AK396" s="72">
        <v>0.947505320406716</v>
      </c>
      <c r="AL396" s="72">
        <v>0.947071703621675</v>
      </c>
      <c r="AM396" s="71">
        <v>0.99</v>
      </c>
      <c r="AN396" s="76">
        <v>1</v>
      </c>
      <c r="AO396" s="76">
        <v>1</v>
      </c>
      <c r="AP396" s="76">
        <v>1</v>
      </c>
      <c r="AQ396" s="76">
        <v>1</v>
      </c>
      <c r="AR396" s="96">
        <v>0.05</v>
      </c>
      <c r="AS396" s="80">
        <v>0.0909090909090909</v>
      </c>
      <c r="AT396" s="80">
        <v>0.0555555555555556</v>
      </c>
      <c r="AU396" s="80">
        <v>0</v>
      </c>
      <c r="AV396" s="80">
        <v>0.0581395348837209</v>
      </c>
      <c r="AW396" s="36"/>
      <c r="AX396" s="34"/>
    </row>
    <row r="397" ht="14.5" spans="1:50">
      <c r="A397" s="32"/>
      <c r="B397" s="36"/>
      <c r="C397" s="91" t="s">
        <v>401</v>
      </c>
      <c r="D397" s="69" t="s">
        <v>19</v>
      </c>
      <c r="E397" s="92" t="s">
        <v>448</v>
      </c>
      <c r="F397" s="92" t="s">
        <v>448</v>
      </c>
      <c r="G397" s="92" t="s">
        <v>448</v>
      </c>
      <c r="H397" s="92" t="s">
        <v>448</v>
      </c>
      <c r="I397" s="71">
        <v>0.9</v>
      </c>
      <c r="J397" s="72">
        <v>0.869565217391304</v>
      </c>
      <c r="K397" s="72">
        <v>0.84</v>
      </c>
      <c r="L397" s="73">
        <v>0.916666666666667</v>
      </c>
      <c r="M397" s="72">
        <v>0.892018779342723</v>
      </c>
      <c r="N397" s="74">
        <v>0.9</v>
      </c>
      <c r="O397" s="72">
        <v>0.987230646448524</v>
      </c>
      <c r="P397" s="72">
        <v>0.989492119089317</v>
      </c>
      <c r="Q397" s="72">
        <v>0.993545611015491</v>
      </c>
      <c r="R397" s="72">
        <v>0.990235115661737</v>
      </c>
      <c r="S397" s="74">
        <v>0.9</v>
      </c>
      <c r="T397" s="72">
        <v>0.88707102952913</v>
      </c>
      <c r="U397" s="72">
        <v>0.92338003502627</v>
      </c>
      <c r="V397" s="72">
        <v>0.925559380378657</v>
      </c>
      <c r="W397" s="72">
        <v>0.901687523701176</v>
      </c>
      <c r="X397" s="74">
        <v>0.92</v>
      </c>
      <c r="Y397" s="74">
        <v>0</v>
      </c>
      <c r="Z397" s="74">
        <v>0</v>
      </c>
      <c r="AA397" s="74">
        <v>0</v>
      </c>
      <c r="AB397" s="74">
        <v>0</v>
      </c>
      <c r="AC397" s="74">
        <v>0.92</v>
      </c>
      <c r="AD397" s="72">
        <v>0.997712978845054</v>
      </c>
      <c r="AE397" s="72">
        <v>0.998959417273673</v>
      </c>
      <c r="AF397" s="72">
        <v>0.998910675381264</v>
      </c>
      <c r="AG397" s="72">
        <v>0.985201966644172</v>
      </c>
      <c r="AH397" s="74">
        <v>0.92</v>
      </c>
      <c r="AI397" s="72">
        <v>0.980845969672785</v>
      </c>
      <c r="AJ397" s="72">
        <v>0.977670753064799</v>
      </c>
      <c r="AK397" s="72">
        <v>0.982832618025751</v>
      </c>
      <c r="AL397" s="72">
        <v>0.982991424645852</v>
      </c>
      <c r="AM397" s="71">
        <v>0.99</v>
      </c>
      <c r="AN397" s="76">
        <v>1</v>
      </c>
      <c r="AO397" s="76">
        <v>1</v>
      </c>
      <c r="AP397" s="76">
        <v>1</v>
      </c>
      <c r="AQ397" s="76">
        <v>1</v>
      </c>
      <c r="AR397" s="96">
        <v>0.05</v>
      </c>
      <c r="AS397" s="80">
        <v>0.111111111111111</v>
      </c>
      <c r="AT397" s="80">
        <v>0.0769230769230769</v>
      </c>
      <c r="AU397" s="80">
        <v>0.142857142857143</v>
      </c>
      <c r="AV397" s="80">
        <v>0.0740740740740741</v>
      </c>
      <c r="AW397" s="36"/>
      <c r="AX397" s="34"/>
    </row>
    <row r="398" ht="14.5" spans="1:50">
      <c r="A398" s="32"/>
      <c r="B398" s="36"/>
      <c r="C398" s="91" t="s">
        <v>401</v>
      </c>
      <c r="D398" s="69" t="s">
        <v>19</v>
      </c>
      <c r="E398" s="92" t="s">
        <v>449</v>
      </c>
      <c r="F398" s="92" t="s">
        <v>449</v>
      </c>
      <c r="G398" s="92" t="s">
        <v>449</v>
      </c>
      <c r="H398" s="92" t="s">
        <v>449</v>
      </c>
      <c r="I398" s="71">
        <v>0.9</v>
      </c>
      <c r="J398" s="72">
        <v>0.96875</v>
      </c>
      <c r="K398" s="72">
        <v>0.96969696969697</v>
      </c>
      <c r="L398" s="73">
        <v>1</v>
      </c>
      <c r="M398" s="72">
        <v>0.958333333333333</v>
      </c>
      <c r="N398" s="74">
        <v>0.9</v>
      </c>
      <c r="O398" s="72">
        <v>0</v>
      </c>
      <c r="P398" s="72">
        <v>0</v>
      </c>
      <c r="Q398" s="72">
        <v>0</v>
      </c>
      <c r="R398" s="72">
        <v>0</v>
      </c>
      <c r="S398" s="74">
        <v>0.9</v>
      </c>
      <c r="T398" s="72">
        <v>1</v>
      </c>
      <c r="U398" s="72">
        <v>0</v>
      </c>
      <c r="V398" s="72">
        <v>0.333333333333333</v>
      </c>
      <c r="W398" s="72">
        <v>0.4</v>
      </c>
      <c r="X398" s="74">
        <v>0.92</v>
      </c>
      <c r="Y398" s="74">
        <v>0</v>
      </c>
      <c r="Z398" s="74">
        <v>0</v>
      </c>
      <c r="AA398" s="74">
        <v>0</v>
      </c>
      <c r="AB398" s="74">
        <v>0</v>
      </c>
      <c r="AC398" s="74">
        <v>0.92</v>
      </c>
      <c r="AD398" s="72">
        <v>0.998507833872171</v>
      </c>
      <c r="AE398" s="72">
        <v>0.987320837927233</v>
      </c>
      <c r="AF398" s="72">
        <v>0.997013142174432</v>
      </c>
      <c r="AG398" s="72">
        <v>0.976313287035703</v>
      </c>
      <c r="AH398" s="74">
        <v>0.92</v>
      </c>
      <c r="AI398" s="72">
        <v>0.923331635252165</v>
      </c>
      <c r="AJ398" s="72">
        <v>0.940213153106317</v>
      </c>
      <c r="AK398" s="72">
        <v>0.968887665198238</v>
      </c>
      <c r="AL398" s="72">
        <v>0.950575928537847</v>
      </c>
      <c r="AM398" s="71">
        <v>0.99</v>
      </c>
      <c r="AN398" s="76">
        <v>1</v>
      </c>
      <c r="AO398" s="76">
        <v>1</v>
      </c>
      <c r="AP398" s="76">
        <v>1</v>
      </c>
      <c r="AQ398" s="76">
        <v>1</v>
      </c>
      <c r="AR398" s="96">
        <v>0.05</v>
      </c>
      <c r="AS398" s="80">
        <v>0</v>
      </c>
      <c r="AT398" s="80">
        <v>0.0909090909090909</v>
      </c>
      <c r="AU398" s="80">
        <v>0</v>
      </c>
      <c r="AV398" s="80">
        <v>0.0657894736842105</v>
      </c>
      <c r="AW398" s="36"/>
      <c r="AX398" s="34"/>
    </row>
    <row r="399" ht="14.5" spans="1:50">
      <c r="A399" s="32"/>
      <c r="B399" s="36"/>
      <c r="C399" s="91" t="s">
        <v>401</v>
      </c>
      <c r="D399" s="69" t="s">
        <v>19</v>
      </c>
      <c r="E399" s="92" t="s">
        <v>450</v>
      </c>
      <c r="F399" s="92" t="s">
        <v>450</v>
      </c>
      <c r="G399" s="92" t="s">
        <v>450</v>
      </c>
      <c r="H399" s="92" t="s">
        <v>450</v>
      </c>
      <c r="I399" s="71">
        <v>0.9</v>
      </c>
      <c r="J399" s="72">
        <v>1</v>
      </c>
      <c r="K399" s="72">
        <v>0.916666666666667</v>
      </c>
      <c r="L399" s="73">
        <v>0.863636363636364</v>
      </c>
      <c r="M399" s="72">
        <v>0.868292682926829</v>
      </c>
      <c r="N399" s="74">
        <v>0.9</v>
      </c>
      <c r="O399" s="72">
        <v>0</v>
      </c>
      <c r="P399" s="72">
        <v>0</v>
      </c>
      <c r="Q399" s="72">
        <v>0</v>
      </c>
      <c r="R399" s="72">
        <v>0</v>
      </c>
      <c r="S399" s="74">
        <v>0.9</v>
      </c>
      <c r="T399" s="72">
        <v>0</v>
      </c>
      <c r="U399" s="72">
        <v>0</v>
      </c>
      <c r="V399" s="72">
        <v>0</v>
      </c>
      <c r="W399" s="72">
        <v>0</v>
      </c>
      <c r="X399" s="74">
        <v>0.92</v>
      </c>
      <c r="Y399" s="74">
        <v>0</v>
      </c>
      <c r="Z399" s="74">
        <v>0</v>
      </c>
      <c r="AA399" s="74">
        <v>0</v>
      </c>
      <c r="AB399" s="74">
        <v>0</v>
      </c>
      <c r="AC399" s="74">
        <v>0.92</v>
      </c>
      <c r="AD399" s="72">
        <v>1</v>
      </c>
      <c r="AE399" s="72">
        <v>1</v>
      </c>
      <c r="AF399" s="72">
        <v>1</v>
      </c>
      <c r="AG399" s="72">
        <v>0.953177257525084</v>
      </c>
      <c r="AH399" s="74">
        <v>0.92</v>
      </c>
      <c r="AI399" s="72">
        <v>0.89953488372093</v>
      </c>
      <c r="AJ399" s="72">
        <v>0.970632911392405</v>
      </c>
      <c r="AK399" s="72">
        <v>0.94159885112494</v>
      </c>
      <c r="AL399" s="72">
        <v>0.943176351098519</v>
      </c>
      <c r="AM399" s="71">
        <v>0.99</v>
      </c>
      <c r="AN399" s="76">
        <v>1</v>
      </c>
      <c r="AO399" s="76">
        <v>1</v>
      </c>
      <c r="AP399" s="76">
        <v>1</v>
      </c>
      <c r="AQ399" s="76">
        <v>1</v>
      </c>
      <c r="AR399" s="96">
        <v>0.05</v>
      </c>
      <c r="AS399" s="80">
        <v>0.142857142857143</v>
      </c>
      <c r="AT399" s="80">
        <v>0</v>
      </c>
      <c r="AU399" s="80">
        <v>0</v>
      </c>
      <c r="AV399" s="80">
        <v>0.06</v>
      </c>
      <c r="AW399" s="36"/>
      <c r="AX399" s="34"/>
    </row>
    <row r="400" ht="14.5" spans="1:50">
      <c r="A400" s="32"/>
      <c r="B400" s="36"/>
      <c r="C400" s="91" t="s">
        <v>401</v>
      </c>
      <c r="D400" s="69" t="s">
        <v>19</v>
      </c>
      <c r="E400" s="92" t="s">
        <v>451</v>
      </c>
      <c r="F400" s="92" t="s">
        <v>451</v>
      </c>
      <c r="G400" s="92" t="s">
        <v>451</v>
      </c>
      <c r="H400" s="92" t="s">
        <v>451</v>
      </c>
      <c r="I400" s="71">
        <v>0.9</v>
      </c>
      <c r="J400" s="72">
        <v>0.857142857142857</v>
      </c>
      <c r="K400" s="72">
        <v>0.793103448275862</v>
      </c>
      <c r="L400" s="73">
        <v>0.962962962962963</v>
      </c>
      <c r="M400" s="72">
        <v>0.892857142857143</v>
      </c>
      <c r="N400" s="74">
        <v>0.9</v>
      </c>
      <c r="O400" s="72">
        <v>0</v>
      </c>
      <c r="P400" s="72">
        <v>0</v>
      </c>
      <c r="Q400" s="72">
        <v>0</v>
      </c>
      <c r="R400" s="72">
        <v>0</v>
      </c>
      <c r="S400" s="74">
        <v>0.9</v>
      </c>
      <c r="T400" s="72">
        <v>0</v>
      </c>
      <c r="U400" s="72">
        <v>0</v>
      </c>
      <c r="V400" s="72">
        <v>0</v>
      </c>
      <c r="W400" s="72">
        <v>0</v>
      </c>
      <c r="X400" s="74">
        <v>0.92</v>
      </c>
      <c r="Y400" s="74">
        <v>0</v>
      </c>
      <c r="Z400" s="74">
        <v>0</v>
      </c>
      <c r="AA400" s="74">
        <v>0</v>
      </c>
      <c r="AB400" s="74">
        <v>0</v>
      </c>
      <c r="AC400" s="74">
        <v>0.92</v>
      </c>
      <c r="AD400" s="72">
        <v>0.971428571428571</v>
      </c>
      <c r="AE400" s="72">
        <v>1</v>
      </c>
      <c r="AF400" s="72">
        <v>1</v>
      </c>
      <c r="AG400" s="72">
        <v>0.992788461538462</v>
      </c>
      <c r="AH400" s="74">
        <v>0.92</v>
      </c>
      <c r="AI400" s="72">
        <v>0.931797651309846</v>
      </c>
      <c r="AJ400" s="72">
        <v>0.948421052631579</v>
      </c>
      <c r="AK400" s="72">
        <v>0.934711131986848</v>
      </c>
      <c r="AL400" s="72">
        <v>0.950079718511188</v>
      </c>
      <c r="AM400" s="71">
        <v>0.99</v>
      </c>
      <c r="AN400" s="76">
        <v>1</v>
      </c>
      <c r="AO400" s="76">
        <v>1</v>
      </c>
      <c r="AP400" s="76">
        <v>1</v>
      </c>
      <c r="AQ400" s="76">
        <v>1</v>
      </c>
      <c r="AR400" s="96">
        <v>0.05</v>
      </c>
      <c r="AS400" s="80">
        <v>0.5</v>
      </c>
      <c r="AT400" s="80">
        <v>0</v>
      </c>
      <c r="AU400" s="80">
        <v>0</v>
      </c>
      <c r="AV400" s="80">
        <v>0.0909090909090909</v>
      </c>
      <c r="AW400" s="36"/>
      <c r="AX400" s="34"/>
    </row>
    <row r="401" ht="14.5" spans="1:50">
      <c r="A401" s="32"/>
      <c r="B401" s="36"/>
      <c r="C401" s="91" t="s">
        <v>401</v>
      </c>
      <c r="D401" s="69" t="s">
        <v>19</v>
      </c>
      <c r="E401" s="92" t="s">
        <v>452</v>
      </c>
      <c r="F401" s="92" t="s">
        <v>452</v>
      </c>
      <c r="G401" s="92" t="s">
        <v>452</v>
      </c>
      <c r="H401" s="92" t="s">
        <v>452</v>
      </c>
      <c r="I401" s="71">
        <v>0.9</v>
      </c>
      <c r="J401" s="72">
        <v>0.971428571428571</v>
      </c>
      <c r="K401" s="72">
        <v>0.888888888888889</v>
      </c>
      <c r="L401" s="73">
        <v>1</v>
      </c>
      <c r="M401" s="72">
        <v>0.924418604651163</v>
      </c>
      <c r="N401" s="74">
        <v>0.9</v>
      </c>
      <c r="O401" s="72">
        <v>0.929325955734406</v>
      </c>
      <c r="P401" s="72">
        <v>0.965642894325872</v>
      </c>
      <c r="Q401" s="72">
        <v>0.99234626550541</v>
      </c>
      <c r="R401" s="72">
        <v>0.972533318400717</v>
      </c>
      <c r="S401" s="74">
        <v>0.9</v>
      </c>
      <c r="T401" s="72">
        <v>0.820674044265594</v>
      </c>
      <c r="U401" s="72">
        <v>0.88365434669443</v>
      </c>
      <c r="V401" s="72">
        <v>0.919767748746371</v>
      </c>
      <c r="W401" s="72">
        <v>0.881341695598611</v>
      </c>
      <c r="X401" s="74">
        <v>0.92</v>
      </c>
      <c r="Y401" s="74">
        <v>0</v>
      </c>
      <c r="Z401" s="74">
        <v>1</v>
      </c>
      <c r="AA401" s="74">
        <v>0</v>
      </c>
      <c r="AB401" s="74">
        <v>0.571428571428571</v>
      </c>
      <c r="AC401" s="74">
        <v>0.92</v>
      </c>
      <c r="AD401" s="72">
        <v>0.982836615220862</v>
      </c>
      <c r="AE401" s="72">
        <v>0.998299319727891</v>
      </c>
      <c r="AF401" s="72">
        <v>0.97346251053075</v>
      </c>
      <c r="AG401" s="72">
        <v>0.963765439038885</v>
      </c>
      <c r="AH401" s="74">
        <v>0.92</v>
      </c>
      <c r="AI401" s="72">
        <v>0.921376538558151</v>
      </c>
      <c r="AJ401" s="72">
        <v>0.957347204161248</v>
      </c>
      <c r="AK401" s="72">
        <v>0.981525468461335</v>
      </c>
      <c r="AL401" s="72">
        <v>0.963090441011865</v>
      </c>
      <c r="AM401" s="71">
        <v>0.99</v>
      </c>
      <c r="AN401" s="76">
        <v>1</v>
      </c>
      <c r="AO401" s="76">
        <v>1</v>
      </c>
      <c r="AP401" s="76">
        <v>1</v>
      </c>
      <c r="AQ401" s="76">
        <v>1</v>
      </c>
      <c r="AR401" s="96">
        <v>0.05</v>
      </c>
      <c r="AS401" s="80">
        <v>0</v>
      </c>
      <c r="AT401" s="80">
        <v>0.0909090909090909</v>
      </c>
      <c r="AU401" s="80">
        <v>0.0555555555555556</v>
      </c>
      <c r="AV401" s="80">
        <v>0.0864197530864197</v>
      </c>
      <c r="AW401" s="36"/>
      <c r="AX401" s="34"/>
    </row>
    <row r="402" ht="14.5" spans="1:50">
      <c r="A402" s="32"/>
      <c r="B402" s="36"/>
      <c r="C402" s="91" t="s">
        <v>401</v>
      </c>
      <c r="D402" s="69" t="s">
        <v>19</v>
      </c>
      <c r="E402" s="92" t="s">
        <v>453</v>
      </c>
      <c r="F402" s="92" t="s">
        <v>453</v>
      </c>
      <c r="G402" s="92" t="s">
        <v>453</v>
      </c>
      <c r="H402" s="92" t="s">
        <v>453</v>
      </c>
      <c r="I402" s="71">
        <v>0.9</v>
      </c>
      <c r="J402" s="72">
        <v>1</v>
      </c>
      <c r="K402" s="72">
        <v>0.972972972972973</v>
      </c>
      <c r="L402" s="73">
        <v>1</v>
      </c>
      <c r="M402" s="72">
        <v>0.979885057471264</v>
      </c>
      <c r="N402" s="74">
        <v>0.9</v>
      </c>
      <c r="O402" s="72">
        <v>0.444444444444444</v>
      </c>
      <c r="P402" s="72">
        <v>0.222222222222222</v>
      </c>
      <c r="Q402" s="72">
        <v>0.294117647058824</v>
      </c>
      <c r="R402" s="72">
        <v>0.425</v>
      </c>
      <c r="S402" s="74">
        <v>0.9</v>
      </c>
      <c r="T402" s="72">
        <v>0.555555555555556</v>
      </c>
      <c r="U402" s="72">
        <v>0.444444444444444</v>
      </c>
      <c r="V402" s="72">
        <v>0.588235294117647</v>
      </c>
      <c r="W402" s="72">
        <v>0.5375</v>
      </c>
      <c r="X402" s="74">
        <v>0.92</v>
      </c>
      <c r="Y402" s="74">
        <v>0</v>
      </c>
      <c r="Z402" s="74">
        <v>0</v>
      </c>
      <c r="AA402" s="74">
        <v>0</v>
      </c>
      <c r="AB402" s="74">
        <v>0.5</v>
      </c>
      <c r="AC402" s="74">
        <v>0.92</v>
      </c>
      <c r="AD402" s="72">
        <v>0.986885245901639</v>
      </c>
      <c r="AE402" s="72">
        <v>0.965790666062528</v>
      </c>
      <c r="AF402" s="72">
        <v>0.988041138483616</v>
      </c>
      <c r="AG402" s="72">
        <v>0.939341642697347</v>
      </c>
      <c r="AH402" s="74">
        <v>0.92</v>
      </c>
      <c r="AI402" s="72">
        <v>0.891294642857143</v>
      </c>
      <c r="AJ402" s="72">
        <v>0.950448526270824</v>
      </c>
      <c r="AK402" s="72">
        <v>0.965785381026439</v>
      </c>
      <c r="AL402" s="72">
        <v>0.946532218396458</v>
      </c>
      <c r="AM402" s="71">
        <v>0.99</v>
      </c>
      <c r="AN402" s="76">
        <v>1</v>
      </c>
      <c r="AO402" s="76">
        <v>1</v>
      </c>
      <c r="AP402" s="76">
        <v>1</v>
      </c>
      <c r="AQ402" s="76">
        <v>1</v>
      </c>
      <c r="AR402" s="96">
        <v>0.05</v>
      </c>
      <c r="AS402" s="80">
        <v>0</v>
      </c>
      <c r="AT402" s="80">
        <v>0.333333333333333</v>
      </c>
      <c r="AU402" s="80">
        <v>0</v>
      </c>
      <c r="AV402" s="80">
        <v>0.0538461538461538</v>
      </c>
      <c r="AW402" s="36"/>
      <c r="AX402" s="34"/>
    </row>
    <row r="403" ht="14.5" spans="1:50">
      <c r="A403" s="32"/>
      <c r="B403" s="36"/>
      <c r="C403" s="91" t="s">
        <v>401</v>
      </c>
      <c r="D403" s="69" t="s">
        <v>19</v>
      </c>
      <c r="E403" s="92" t="s">
        <v>454</v>
      </c>
      <c r="F403" s="92" t="s">
        <v>454</v>
      </c>
      <c r="G403" s="92" t="s">
        <v>454</v>
      </c>
      <c r="H403" s="92" t="s">
        <v>454</v>
      </c>
      <c r="I403" s="71">
        <v>0.9</v>
      </c>
      <c r="J403" s="72">
        <v>1</v>
      </c>
      <c r="K403" s="72">
        <v>1</v>
      </c>
      <c r="L403" s="73">
        <v>1</v>
      </c>
      <c r="M403" s="72">
        <v>0.997416020671835</v>
      </c>
      <c r="N403" s="74">
        <v>0.9</v>
      </c>
      <c r="O403" s="72">
        <v>0</v>
      </c>
      <c r="P403" s="72">
        <v>0</v>
      </c>
      <c r="Q403" s="72">
        <v>0.5</v>
      </c>
      <c r="R403" s="72">
        <v>0.5</v>
      </c>
      <c r="S403" s="74">
        <v>0.9</v>
      </c>
      <c r="T403" s="72">
        <v>0</v>
      </c>
      <c r="U403" s="72">
        <v>0</v>
      </c>
      <c r="V403" s="72">
        <v>0.5</v>
      </c>
      <c r="W403" s="72">
        <v>0.625</v>
      </c>
      <c r="X403" s="74">
        <v>0.92</v>
      </c>
      <c r="Y403" s="74">
        <v>0</v>
      </c>
      <c r="Z403" s="74">
        <v>0</v>
      </c>
      <c r="AA403" s="74">
        <v>0</v>
      </c>
      <c r="AB403" s="74">
        <v>0</v>
      </c>
      <c r="AC403" s="74">
        <v>0.92</v>
      </c>
      <c r="AD403" s="72">
        <v>0.998153277931671</v>
      </c>
      <c r="AE403" s="72">
        <v>0.98881239242685</v>
      </c>
      <c r="AF403" s="72">
        <v>0.992840095465394</v>
      </c>
      <c r="AG403" s="72">
        <v>0.969650655021834</v>
      </c>
      <c r="AH403" s="74">
        <v>0.92</v>
      </c>
      <c r="AI403" s="72">
        <v>0.95044404973357</v>
      </c>
      <c r="AJ403" s="72">
        <v>0.959669486523706</v>
      </c>
      <c r="AK403" s="72">
        <v>0.96234309623431</v>
      </c>
      <c r="AL403" s="72">
        <v>0.958323592544577</v>
      </c>
      <c r="AM403" s="71">
        <v>0.99</v>
      </c>
      <c r="AN403" s="76">
        <v>1</v>
      </c>
      <c r="AO403" s="76">
        <v>1</v>
      </c>
      <c r="AP403" s="76">
        <v>1</v>
      </c>
      <c r="AQ403" s="76">
        <v>1</v>
      </c>
      <c r="AR403" s="96">
        <v>0.05</v>
      </c>
      <c r="AS403" s="80">
        <v>0</v>
      </c>
      <c r="AT403" s="80">
        <v>0</v>
      </c>
      <c r="AU403" s="80">
        <v>0</v>
      </c>
      <c r="AV403" s="80">
        <v>0.0487804878048781</v>
      </c>
      <c r="AW403" s="36"/>
      <c r="AX403" s="34"/>
    </row>
    <row r="404" ht="14.5" spans="1:50">
      <c r="A404" s="32"/>
      <c r="B404" s="36"/>
      <c r="C404" s="91" t="s">
        <v>401</v>
      </c>
      <c r="D404" s="69" t="s">
        <v>19</v>
      </c>
      <c r="E404" s="92" t="s">
        <v>455</v>
      </c>
      <c r="F404" s="92" t="s">
        <v>455</v>
      </c>
      <c r="G404" s="92" t="s">
        <v>455</v>
      </c>
      <c r="H404" s="92" t="s">
        <v>455</v>
      </c>
      <c r="I404" s="71">
        <v>0.9</v>
      </c>
      <c r="J404" s="72">
        <v>1</v>
      </c>
      <c r="K404" s="72">
        <v>1</v>
      </c>
      <c r="L404" s="73">
        <v>0.966666666666667</v>
      </c>
      <c r="M404" s="72">
        <v>0.885593220338983</v>
      </c>
      <c r="N404" s="74">
        <v>0.9</v>
      </c>
      <c r="O404" s="72">
        <v>0</v>
      </c>
      <c r="P404" s="72">
        <v>1</v>
      </c>
      <c r="Q404" s="72">
        <v>1</v>
      </c>
      <c r="R404" s="72">
        <v>0.266666666666667</v>
      </c>
      <c r="S404" s="74">
        <v>0.9</v>
      </c>
      <c r="T404" s="72">
        <v>0</v>
      </c>
      <c r="U404" s="72">
        <v>1</v>
      </c>
      <c r="V404" s="72">
        <v>1</v>
      </c>
      <c r="W404" s="72">
        <v>0.2</v>
      </c>
      <c r="X404" s="74">
        <v>0.92</v>
      </c>
      <c r="Y404" s="74">
        <v>0</v>
      </c>
      <c r="Z404" s="74">
        <v>0</v>
      </c>
      <c r="AA404" s="74">
        <v>0</v>
      </c>
      <c r="AB404" s="74">
        <v>0.333333333333333</v>
      </c>
      <c r="AC404" s="74">
        <v>0.92</v>
      </c>
      <c r="AD404" s="72">
        <v>0.999664091367148</v>
      </c>
      <c r="AE404" s="72">
        <v>0.991840435176791</v>
      </c>
      <c r="AF404" s="72">
        <v>0.981420313790256</v>
      </c>
      <c r="AG404" s="72">
        <v>0.996357145459182</v>
      </c>
      <c r="AH404" s="74">
        <v>0.92</v>
      </c>
      <c r="AI404" s="72">
        <v>0.929384965831435</v>
      </c>
      <c r="AJ404" s="72">
        <v>0.960350877192983</v>
      </c>
      <c r="AK404" s="72">
        <v>0.969415807560137</v>
      </c>
      <c r="AL404" s="72">
        <v>0.951944113921621</v>
      </c>
      <c r="AM404" s="71">
        <v>0.99</v>
      </c>
      <c r="AN404" s="76">
        <v>1</v>
      </c>
      <c r="AO404" s="76">
        <v>1</v>
      </c>
      <c r="AP404" s="76">
        <v>1</v>
      </c>
      <c r="AQ404" s="76">
        <v>1</v>
      </c>
      <c r="AR404" s="96">
        <v>0.05</v>
      </c>
      <c r="AS404" s="80">
        <v>0</v>
      </c>
      <c r="AT404" s="80">
        <v>0.1</v>
      </c>
      <c r="AU404" s="80">
        <v>0.111111111111111</v>
      </c>
      <c r="AV404" s="80">
        <v>0.0111111111111111</v>
      </c>
      <c r="AW404" s="36"/>
      <c r="AX404" s="34"/>
    </row>
    <row r="405" ht="14.5" spans="1:50">
      <c r="A405" s="32"/>
      <c r="B405" s="36"/>
      <c r="C405" s="91" t="s">
        <v>401</v>
      </c>
      <c r="D405" s="69" t="s">
        <v>19</v>
      </c>
      <c r="E405" s="92" t="s">
        <v>456</v>
      </c>
      <c r="F405" s="92" t="s">
        <v>456</v>
      </c>
      <c r="G405" s="92" t="s">
        <v>456</v>
      </c>
      <c r="H405" s="92" t="s">
        <v>456</v>
      </c>
      <c r="I405" s="71">
        <v>0.9</v>
      </c>
      <c r="J405" s="72">
        <v>1</v>
      </c>
      <c r="K405" s="72">
        <v>1</v>
      </c>
      <c r="L405" s="73">
        <v>1</v>
      </c>
      <c r="M405" s="72">
        <v>1</v>
      </c>
      <c r="N405" s="74">
        <v>0.9</v>
      </c>
      <c r="O405" s="72">
        <v>0.333333333333333</v>
      </c>
      <c r="P405" s="72">
        <v>0</v>
      </c>
      <c r="Q405" s="72">
        <v>0</v>
      </c>
      <c r="R405" s="72">
        <v>0.142857142857143</v>
      </c>
      <c r="S405" s="74">
        <v>0.9</v>
      </c>
      <c r="T405" s="72">
        <v>0.333333333333333</v>
      </c>
      <c r="U405" s="72">
        <v>0</v>
      </c>
      <c r="V405" s="72">
        <v>0.333333333333333</v>
      </c>
      <c r="W405" s="72">
        <v>0.428571428571429</v>
      </c>
      <c r="X405" s="74">
        <v>0.92</v>
      </c>
      <c r="Y405" s="74">
        <v>0</v>
      </c>
      <c r="Z405" s="74">
        <v>0</v>
      </c>
      <c r="AA405" s="74">
        <v>0</v>
      </c>
      <c r="AB405" s="74">
        <v>0</v>
      </c>
      <c r="AC405" s="74">
        <v>0.92</v>
      </c>
      <c r="AD405" s="72">
        <v>0.982558139534884</v>
      </c>
      <c r="AE405" s="72">
        <v>1</v>
      </c>
      <c r="AF405" s="72">
        <v>1</v>
      </c>
      <c r="AG405" s="72">
        <v>0.973020527859238</v>
      </c>
      <c r="AH405" s="74">
        <v>0.92</v>
      </c>
      <c r="AI405" s="72">
        <v>0.926029962546816</v>
      </c>
      <c r="AJ405" s="72">
        <v>0.955124653739612</v>
      </c>
      <c r="AK405" s="72">
        <v>0.951656708310701</v>
      </c>
      <c r="AL405" s="72">
        <v>0.953555304740406</v>
      </c>
      <c r="AM405" s="71">
        <v>0.99</v>
      </c>
      <c r="AN405" s="76">
        <v>1</v>
      </c>
      <c r="AO405" s="76">
        <v>1</v>
      </c>
      <c r="AP405" s="76">
        <v>1</v>
      </c>
      <c r="AQ405" s="76">
        <v>1</v>
      </c>
      <c r="AR405" s="96">
        <v>0.05</v>
      </c>
      <c r="AS405" s="80">
        <v>0</v>
      </c>
      <c r="AT405" s="80">
        <v>0</v>
      </c>
      <c r="AU405" s="80">
        <v>0</v>
      </c>
      <c r="AV405" s="80">
        <v>0.18</v>
      </c>
      <c r="AW405" s="36"/>
      <c r="AX405" s="34"/>
    </row>
    <row r="406" ht="14.5" spans="1:50">
      <c r="A406" s="32"/>
      <c r="B406" s="36"/>
      <c r="C406" s="91" t="s">
        <v>401</v>
      </c>
      <c r="D406" s="69" t="s">
        <v>19</v>
      </c>
      <c r="E406" s="92" t="s">
        <v>457</v>
      </c>
      <c r="F406" s="92" t="s">
        <v>457</v>
      </c>
      <c r="G406" s="92" t="s">
        <v>457</v>
      </c>
      <c r="H406" s="92" t="s">
        <v>457</v>
      </c>
      <c r="I406" s="71">
        <v>0.9</v>
      </c>
      <c r="J406" s="72">
        <v>1</v>
      </c>
      <c r="K406" s="72">
        <v>1</v>
      </c>
      <c r="L406" s="73">
        <v>1</v>
      </c>
      <c r="M406" s="72">
        <v>1</v>
      </c>
      <c r="N406" s="74">
        <v>0.9</v>
      </c>
      <c r="O406" s="72">
        <v>0</v>
      </c>
      <c r="P406" s="72">
        <v>0</v>
      </c>
      <c r="Q406" s="72">
        <v>0</v>
      </c>
      <c r="R406" s="72">
        <v>0</v>
      </c>
      <c r="S406" s="74">
        <v>0.9</v>
      </c>
      <c r="T406" s="72">
        <v>0</v>
      </c>
      <c r="U406" s="72">
        <v>0</v>
      </c>
      <c r="V406" s="72">
        <v>0</v>
      </c>
      <c r="W406" s="72">
        <v>0</v>
      </c>
      <c r="X406" s="74">
        <v>0.92</v>
      </c>
      <c r="Y406" s="74">
        <v>0</v>
      </c>
      <c r="Z406" s="74">
        <v>0</v>
      </c>
      <c r="AA406" s="74">
        <v>0</v>
      </c>
      <c r="AB406" s="74">
        <v>0</v>
      </c>
      <c r="AC406" s="74">
        <v>0.92</v>
      </c>
      <c r="AD406" s="72">
        <v>0.702127659574468</v>
      </c>
      <c r="AE406" s="72">
        <v>0.525</v>
      </c>
      <c r="AF406" s="72">
        <v>0.684210526315789</v>
      </c>
      <c r="AG406" s="72">
        <v>0.6991643454039</v>
      </c>
      <c r="AH406" s="74">
        <v>0.92</v>
      </c>
      <c r="AI406" s="72">
        <v>0.944047118216239</v>
      </c>
      <c r="AJ406" s="72">
        <v>0.958543983822042</v>
      </c>
      <c r="AK406" s="72">
        <v>0.970443349753695</v>
      </c>
      <c r="AL406" s="72">
        <v>0.954012440093811</v>
      </c>
      <c r="AM406" s="71">
        <v>0.99</v>
      </c>
      <c r="AN406" s="76">
        <v>1</v>
      </c>
      <c r="AO406" s="76">
        <v>1</v>
      </c>
      <c r="AP406" s="76">
        <v>1</v>
      </c>
      <c r="AQ406" s="76">
        <v>1</v>
      </c>
      <c r="AR406" s="96">
        <v>0.05</v>
      </c>
      <c r="AS406" s="80">
        <v>0</v>
      </c>
      <c r="AT406" s="80">
        <v>0</v>
      </c>
      <c r="AU406" s="80">
        <v>0</v>
      </c>
      <c r="AV406" s="80">
        <v>0.0169491525423729</v>
      </c>
      <c r="AW406" s="36"/>
      <c r="AX406" s="34"/>
    </row>
    <row r="407" ht="14.5" spans="1:50">
      <c r="A407" s="32"/>
      <c r="B407" s="36"/>
      <c r="C407" s="91" t="s">
        <v>401</v>
      </c>
      <c r="D407" s="69" t="s">
        <v>19</v>
      </c>
      <c r="E407" s="92" t="s">
        <v>458</v>
      </c>
      <c r="F407" s="92" t="s">
        <v>458</v>
      </c>
      <c r="G407" s="92" t="s">
        <v>458</v>
      </c>
      <c r="H407" s="92" t="s">
        <v>458</v>
      </c>
      <c r="I407" s="71">
        <v>0.9</v>
      </c>
      <c r="J407" s="72">
        <v>0.87037037037037</v>
      </c>
      <c r="K407" s="72">
        <v>0.827586206896552</v>
      </c>
      <c r="L407" s="73">
        <v>0.842105263157895</v>
      </c>
      <c r="M407" s="72">
        <v>0.864271457085828</v>
      </c>
      <c r="N407" s="74">
        <v>0.9</v>
      </c>
      <c r="O407" s="72">
        <v>0</v>
      </c>
      <c r="P407" s="72">
        <v>0</v>
      </c>
      <c r="Q407" s="72">
        <v>0</v>
      </c>
      <c r="R407" s="72">
        <v>0.117647058823529</v>
      </c>
      <c r="S407" s="74">
        <v>0.9</v>
      </c>
      <c r="T407" s="72">
        <v>0</v>
      </c>
      <c r="U407" s="72">
        <v>0</v>
      </c>
      <c r="V407" s="72">
        <v>0</v>
      </c>
      <c r="W407" s="72">
        <v>0.176470588235294</v>
      </c>
      <c r="X407" s="74">
        <v>0.92</v>
      </c>
      <c r="Y407" s="74">
        <v>0</v>
      </c>
      <c r="Z407" s="74">
        <v>0</v>
      </c>
      <c r="AA407" s="74">
        <v>0</v>
      </c>
      <c r="AB407" s="74">
        <v>0.222222222222222</v>
      </c>
      <c r="AC407" s="74">
        <v>0.92</v>
      </c>
      <c r="AD407" s="72">
        <v>0.988657844990548</v>
      </c>
      <c r="AE407" s="72">
        <v>0.989602169981917</v>
      </c>
      <c r="AF407" s="72">
        <v>0.976617303195635</v>
      </c>
      <c r="AG407" s="72">
        <v>0.984164460661563</v>
      </c>
      <c r="AH407" s="74">
        <v>0.92</v>
      </c>
      <c r="AI407" s="72">
        <v>0.92161906051171</v>
      </c>
      <c r="AJ407" s="72">
        <v>0.925206922498119</v>
      </c>
      <c r="AK407" s="72">
        <v>0.941749049429658</v>
      </c>
      <c r="AL407" s="72">
        <v>0.930392608910976</v>
      </c>
      <c r="AM407" s="71">
        <v>0.99</v>
      </c>
      <c r="AN407" s="76">
        <v>1</v>
      </c>
      <c r="AO407" s="76">
        <v>1</v>
      </c>
      <c r="AP407" s="76">
        <v>1</v>
      </c>
      <c r="AQ407" s="76">
        <v>1</v>
      </c>
      <c r="AR407" s="96">
        <v>0.05</v>
      </c>
      <c r="AS407" s="80">
        <v>0.0555555555555556</v>
      </c>
      <c r="AT407" s="80">
        <v>0</v>
      </c>
      <c r="AU407" s="80">
        <v>0.05</v>
      </c>
      <c r="AV407" s="80">
        <v>0.0710059171597633</v>
      </c>
      <c r="AW407" s="36"/>
      <c r="AX407" s="34"/>
    </row>
    <row r="408" ht="14.5" spans="1:50">
      <c r="A408" s="32"/>
      <c r="B408" s="36"/>
      <c r="C408" s="91" t="s">
        <v>401</v>
      </c>
      <c r="D408" s="69" t="s">
        <v>19</v>
      </c>
      <c r="E408" s="92" t="s">
        <v>459</v>
      </c>
      <c r="F408" s="92" t="s">
        <v>459</v>
      </c>
      <c r="G408" s="92" t="s">
        <v>459</v>
      </c>
      <c r="H408" s="92" t="s">
        <v>459</v>
      </c>
      <c r="I408" s="71">
        <v>0.9</v>
      </c>
      <c r="J408" s="72">
        <v>0.96551724137931</v>
      </c>
      <c r="K408" s="72">
        <v>1</v>
      </c>
      <c r="L408" s="73">
        <v>0.967741935483871</v>
      </c>
      <c r="M408" s="72">
        <v>0.985401459854015</v>
      </c>
      <c r="N408" s="74">
        <v>0.9</v>
      </c>
      <c r="O408" s="72">
        <v>0.990307867730901</v>
      </c>
      <c r="P408" s="72">
        <v>0.989596083231334</v>
      </c>
      <c r="Q408" s="72">
        <v>0.986197377501725</v>
      </c>
      <c r="R408" s="72">
        <v>0.98901259888661</v>
      </c>
      <c r="S408" s="74">
        <v>0.9</v>
      </c>
      <c r="T408" s="72">
        <v>0.901368301026226</v>
      </c>
      <c r="U408" s="72">
        <v>0.938188494492044</v>
      </c>
      <c r="V408" s="72">
        <v>0.93167701863354</v>
      </c>
      <c r="W408" s="72">
        <v>0.933196601230589</v>
      </c>
      <c r="X408" s="74">
        <v>0.92</v>
      </c>
      <c r="Y408" s="74">
        <v>0.925884334643459</v>
      </c>
      <c r="Z408" s="74">
        <v>0.954248366013072</v>
      </c>
      <c r="AA408" s="74">
        <v>0.932203389830508</v>
      </c>
      <c r="AB408" s="74">
        <v>0.946530872056015</v>
      </c>
      <c r="AC408" s="74">
        <v>0.92</v>
      </c>
      <c r="AD408" s="72">
        <v>0.999555555555556</v>
      </c>
      <c r="AE408" s="72">
        <v>0.999188311688312</v>
      </c>
      <c r="AF408" s="72">
        <v>1</v>
      </c>
      <c r="AG408" s="72">
        <v>0.999092862258296</v>
      </c>
      <c r="AH408" s="74">
        <v>0.92</v>
      </c>
      <c r="AI408" s="72">
        <v>0.953120587404688</v>
      </c>
      <c r="AJ408" s="72">
        <v>0.971502590673575</v>
      </c>
      <c r="AK408" s="72">
        <v>0.961012311901505</v>
      </c>
      <c r="AL408" s="72">
        <v>0.966802721088435</v>
      </c>
      <c r="AM408" s="71">
        <v>0.99</v>
      </c>
      <c r="AN408" s="76">
        <v>1</v>
      </c>
      <c r="AO408" s="76">
        <v>1</v>
      </c>
      <c r="AP408" s="76">
        <v>1</v>
      </c>
      <c r="AQ408" s="76">
        <v>1</v>
      </c>
      <c r="AR408" s="96">
        <v>0.05</v>
      </c>
      <c r="AS408" s="80">
        <v>0</v>
      </c>
      <c r="AT408" s="80">
        <v>0.111111111111111</v>
      </c>
      <c r="AU408" s="80">
        <v>0</v>
      </c>
      <c r="AV408" s="80">
        <v>0.0149253731343284</v>
      </c>
      <c r="AW408" s="36"/>
      <c r="AX408" s="34"/>
    </row>
    <row r="409" ht="14.5" spans="1:50">
      <c r="A409" s="32"/>
      <c r="B409" s="36"/>
      <c r="C409" s="91" t="s">
        <v>401</v>
      </c>
      <c r="D409" s="69" t="s">
        <v>19</v>
      </c>
      <c r="E409" s="92" t="s">
        <v>460</v>
      </c>
      <c r="F409" s="92" t="s">
        <v>460</v>
      </c>
      <c r="G409" s="92" t="s">
        <v>460</v>
      </c>
      <c r="H409" s="92" t="s">
        <v>460</v>
      </c>
      <c r="I409" s="71">
        <v>0.9</v>
      </c>
      <c r="J409" s="72">
        <v>0.918367346938776</v>
      </c>
      <c r="K409" s="72">
        <v>1</v>
      </c>
      <c r="L409" s="73">
        <v>0.915254237288136</v>
      </c>
      <c r="M409" s="72">
        <v>0.948</v>
      </c>
      <c r="N409" s="74">
        <v>0.9</v>
      </c>
      <c r="O409" s="72">
        <v>0.865736124958458</v>
      </c>
      <c r="P409" s="72">
        <v>0.96578857338351</v>
      </c>
      <c r="Q409" s="72">
        <v>0.971270718232044</v>
      </c>
      <c r="R409" s="72">
        <v>0.955413766434648</v>
      </c>
      <c r="S409" s="74">
        <v>0.9</v>
      </c>
      <c r="T409" s="72">
        <v>0.788301761382519</v>
      </c>
      <c r="U409" s="72">
        <v>0.876154635648307</v>
      </c>
      <c r="V409" s="72">
        <v>0.903867403314917</v>
      </c>
      <c r="W409" s="72">
        <v>0.876411446249033</v>
      </c>
      <c r="X409" s="74">
        <v>0.92</v>
      </c>
      <c r="Y409" s="74">
        <v>0.778950636448308</v>
      </c>
      <c r="Z409" s="74">
        <v>0.892844916124615</v>
      </c>
      <c r="AA409" s="74">
        <v>0.941155103523429</v>
      </c>
      <c r="AB409" s="74">
        <v>0.879972639233899</v>
      </c>
      <c r="AC409" s="74">
        <v>0.92</v>
      </c>
      <c r="AD409" s="72">
        <v>0.998233735649102</v>
      </c>
      <c r="AE409" s="72">
        <v>0.997922848664688</v>
      </c>
      <c r="AF409" s="72">
        <v>0.994397759103641</v>
      </c>
      <c r="AG409" s="72">
        <v>0.900018780456464</v>
      </c>
      <c r="AH409" s="74">
        <v>0.92</v>
      </c>
      <c r="AI409" s="72">
        <v>0.826163723916533</v>
      </c>
      <c r="AJ409" s="72">
        <v>0.918891170431211</v>
      </c>
      <c r="AK409" s="72">
        <v>0.961236057780216</v>
      </c>
      <c r="AL409" s="72">
        <v>0.915855795399471</v>
      </c>
      <c r="AM409" s="71">
        <v>0.99</v>
      </c>
      <c r="AN409" s="76">
        <v>1</v>
      </c>
      <c r="AO409" s="76">
        <v>1</v>
      </c>
      <c r="AP409" s="76">
        <v>1</v>
      </c>
      <c r="AQ409" s="76">
        <v>1</v>
      </c>
      <c r="AR409" s="96">
        <v>0.05</v>
      </c>
      <c r="AS409" s="80">
        <v>0.08</v>
      </c>
      <c r="AT409" s="80">
        <v>0.107142857142857</v>
      </c>
      <c r="AU409" s="80">
        <v>0.129032258064516</v>
      </c>
      <c r="AV409" s="80">
        <v>0.0473186119873817</v>
      </c>
      <c r="AW409" s="36"/>
      <c r="AX409" s="34"/>
    </row>
    <row r="410" ht="14.5" spans="1:50">
      <c r="A410" s="32"/>
      <c r="B410" s="36"/>
      <c r="C410" s="91" t="s">
        <v>401</v>
      </c>
      <c r="D410" s="69" t="s">
        <v>19</v>
      </c>
      <c r="E410" s="92" t="s">
        <v>461</v>
      </c>
      <c r="F410" s="92" t="s">
        <v>461</v>
      </c>
      <c r="G410" s="92" t="s">
        <v>461</v>
      </c>
      <c r="H410" s="92" t="s">
        <v>461</v>
      </c>
      <c r="I410" s="71">
        <v>0.9</v>
      </c>
      <c r="J410" s="72">
        <v>1</v>
      </c>
      <c r="K410" s="72">
        <v>0.96551724137931</v>
      </c>
      <c r="L410" s="73">
        <v>0.946428571428571</v>
      </c>
      <c r="M410" s="72">
        <v>0.970355731225296</v>
      </c>
      <c r="N410" s="74">
        <v>0.9</v>
      </c>
      <c r="O410" s="72">
        <v>0.967900425810678</v>
      </c>
      <c r="P410" s="72">
        <v>0.945543135568931</v>
      </c>
      <c r="Q410" s="72">
        <v>0.971281058405937</v>
      </c>
      <c r="R410" s="72">
        <v>0.965137108998209</v>
      </c>
      <c r="S410" s="74">
        <v>0.9</v>
      </c>
      <c r="T410" s="72">
        <v>0.933508024893547</v>
      </c>
      <c r="U410" s="72">
        <v>0.936371453138435</v>
      </c>
      <c r="V410" s="72">
        <v>0.940626008389803</v>
      </c>
      <c r="W410" s="72">
        <v>0.931996692848284</v>
      </c>
      <c r="X410" s="74">
        <v>0.92</v>
      </c>
      <c r="Y410" s="74">
        <v>0.890610756608933</v>
      </c>
      <c r="Z410" s="74">
        <v>0.912168792934249</v>
      </c>
      <c r="AA410" s="74">
        <v>0.913828238719068</v>
      </c>
      <c r="AB410" s="74">
        <v>0.920276390663105</v>
      </c>
      <c r="AC410" s="74">
        <v>0.92</v>
      </c>
      <c r="AD410" s="72">
        <v>0.999670130298532</v>
      </c>
      <c r="AE410" s="72">
        <v>0.989998536371176</v>
      </c>
      <c r="AF410" s="72">
        <v>0.986584953915939</v>
      </c>
      <c r="AG410" s="72">
        <v>0.99236703729916</v>
      </c>
      <c r="AH410" s="74">
        <v>0.92</v>
      </c>
      <c r="AI410" s="72">
        <v>0.923283622195351</v>
      </c>
      <c r="AJ410" s="72">
        <v>0.941673264713645</v>
      </c>
      <c r="AK410" s="72">
        <v>0.9452096724824</v>
      </c>
      <c r="AL410" s="72">
        <v>0.946579312082651</v>
      </c>
      <c r="AM410" s="71">
        <v>0.99</v>
      </c>
      <c r="AN410" s="76">
        <v>1</v>
      </c>
      <c r="AO410" s="76">
        <v>1</v>
      </c>
      <c r="AP410" s="76">
        <v>1</v>
      </c>
      <c r="AQ410" s="76">
        <v>1</v>
      </c>
      <c r="AR410" s="96">
        <v>0.05</v>
      </c>
      <c r="AS410" s="80">
        <v>0.0833333333333333</v>
      </c>
      <c r="AT410" s="80">
        <v>0.0625</v>
      </c>
      <c r="AU410" s="80">
        <v>0.111111111111111</v>
      </c>
      <c r="AV410" s="80">
        <v>0.0778443113772455</v>
      </c>
      <c r="AW410" s="36"/>
      <c r="AX410" s="34"/>
    </row>
    <row r="411" ht="14.5" spans="1:50">
      <c r="A411" s="32"/>
      <c r="B411" s="36"/>
      <c r="C411" s="91" t="s">
        <v>401</v>
      </c>
      <c r="D411" s="69" t="s">
        <v>19</v>
      </c>
      <c r="E411" s="92" t="s">
        <v>462</v>
      </c>
      <c r="F411" s="92" t="s">
        <v>462</v>
      </c>
      <c r="G411" s="92" t="s">
        <v>462</v>
      </c>
      <c r="H411" s="92" t="s">
        <v>462</v>
      </c>
      <c r="I411" s="71">
        <v>0.9</v>
      </c>
      <c r="J411" s="72">
        <v>1</v>
      </c>
      <c r="K411" s="72">
        <v>0.979591836734694</v>
      </c>
      <c r="L411" s="73">
        <v>0.957446808510638</v>
      </c>
      <c r="M411" s="72">
        <v>0.973995271867612</v>
      </c>
      <c r="N411" s="74">
        <v>0.9</v>
      </c>
      <c r="O411" s="72">
        <v>0.975271411338963</v>
      </c>
      <c r="P411" s="72">
        <v>0.989954337899543</v>
      </c>
      <c r="Q411" s="72">
        <v>0.970907928388747</v>
      </c>
      <c r="R411" s="72">
        <v>0.952382553720954</v>
      </c>
      <c r="S411" s="74">
        <v>0.9</v>
      </c>
      <c r="T411" s="72">
        <v>0.89475271411339</v>
      </c>
      <c r="U411" s="72">
        <v>0.930593607305936</v>
      </c>
      <c r="V411" s="72">
        <v>0.906969309462916</v>
      </c>
      <c r="W411" s="72">
        <v>0.9050005044221</v>
      </c>
      <c r="X411" s="74">
        <v>0.92</v>
      </c>
      <c r="Y411" s="74">
        <v>0.826457645764576</v>
      </c>
      <c r="Z411" s="74">
        <v>0.911023879620543</v>
      </c>
      <c r="AA411" s="74">
        <v>0.919509771447499</v>
      </c>
      <c r="AB411" s="74">
        <v>0.906131919124959</v>
      </c>
      <c r="AC411" s="74">
        <v>0.92</v>
      </c>
      <c r="AD411" s="72">
        <v>0.813544350386456</v>
      </c>
      <c r="AE411" s="72">
        <v>0.839343403475072</v>
      </c>
      <c r="AF411" s="72">
        <v>0.986711119459053</v>
      </c>
      <c r="AG411" s="72">
        <v>0.905205545712168</v>
      </c>
      <c r="AH411" s="74">
        <v>0.92</v>
      </c>
      <c r="AI411" s="72">
        <v>0.883376473971815</v>
      </c>
      <c r="AJ411" s="72">
        <v>0.942456250985338</v>
      </c>
      <c r="AK411" s="72">
        <v>0.94291754756871</v>
      </c>
      <c r="AL411" s="72">
        <v>0.939799442711027</v>
      </c>
      <c r="AM411" s="71">
        <v>0.99</v>
      </c>
      <c r="AN411" s="76">
        <v>1</v>
      </c>
      <c r="AO411" s="76">
        <v>1</v>
      </c>
      <c r="AP411" s="76">
        <v>1</v>
      </c>
      <c r="AQ411" s="76">
        <v>1</v>
      </c>
      <c r="AR411" s="96">
        <v>0.05</v>
      </c>
      <c r="AS411" s="80">
        <v>0.0740740740740741</v>
      </c>
      <c r="AT411" s="80">
        <v>0.04</v>
      </c>
      <c r="AU411" s="80">
        <v>0.193548387096774</v>
      </c>
      <c r="AV411" s="80">
        <v>0.0544871794871795</v>
      </c>
      <c r="AW411" s="36"/>
      <c r="AX411" s="34"/>
    </row>
    <row r="412" ht="14.5" spans="1:50">
      <c r="A412" s="32"/>
      <c r="B412" s="36"/>
      <c r="C412" s="91" t="s">
        <v>401</v>
      </c>
      <c r="D412" s="69" t="s">
        <v>19</v>
      </c>
      <c r="E412" s="92" t="s">
        <v>463</v>
      </c>
      <c r="F412" s="92" t="s">
        <v>463</v>
      </c>
      <c r="G412" s="92" t="s">
        <v>463</v>
      </c>
      <c r="H412" s="92" t="s">
        <v>463</v>
      </c>
      <c r="I412" s="71">
        <v>0.9</v>
      </c>
      <c r="J412" s="72">
        <v>0.945454545454545</v>
      </c>
      <c r="K412" s="72">
        <v>0.948275862068966</v>
      </c>
      <c r="L412" s="73">
        <v>0.981818181818182</v>
      </c>
      <c r="M412" s="72">
        <v>0.972055888223553</v>
      </c>
      <c r="N412" s="74">
        <v>0.9</v>
      </c>
      <c r="O412" s="72">
        <v>0.990167727009832</v>
      </c>
      <c r="P412" s="72">
        <v>0.993150684931507</v>
      </c>
      <c r="Q412" s="72">
        <v>0.989217391304348</v>
      </c>
      <c r="R412" s="72">
        <v>0.990820856218494</v>
      </c>
      <c r="S412" s="74">
        <v>0.9</v>
      </c>
      <c r="T412" s="72">
        <v>0.936379410063621</v>
      </c>
      <c r="U412" s="72">
        <v>0.947290053603335</v>
      </c>
      <c r="V412" s="72">
        <v>0.957217391304348</v>
      </c>
      <c r="W412" s="72">
        <v>0.946279437213152</v>
      </c>
      <c r="X412" s="74">
        <v>0.92</v>
      </c>
      <c r="Y412" s="74">
        <v>0.937873033098209</v>
      </c>
      <c r="Z412" s="74">
        <v>0.966758157974992</v>
      </c>
      <c r="AA412" s="74">
        <v>0.973445143256464</v>
      </c>
      <c r="AB412" s="74">
        <v>0.959496758456897</v>
      </c>
      <c r="AC412" s="74">
        <v>0.92</v>
      </c>
      <c r="AD412" s="72">
        <v>0.999465431218817</v>
      </c>
      <c r="AE412" s="72">
        <v>0.998661947513812</v>
      </c>
      <c r="AF412" s="72">
        <v>0.997798289440257</v>
      </c>
      <c r="AG412" s="72">
        <v>0.994897474249754</v>
      </c>
      <c r="AH412" s="74">
        <v>0.92</v>
      </c>
      <c r="AI412" s="72">
        <v>0.953420058749475</v>
      </c>
      <c r="AJ412" s="72">
        <v>0.975312358874003</v>
      </c>
      <c r="AK412" s="72">
        <v>0.981875217845939</v>
      </c>
      <c r="AL412" s="72">
        <v>0.971971833422724</v>
      </c>
      <c r="AM412" s="71">
        <v>0.99</v>
      </c>
      <c r="AN412" s="76">
        <v>1</v>
      </c>
      <c r="AO412" s="76">
        <v>1</v>
      </c>
      <c r="AP412" s="76">
        <v>1</v>
      </c>
      <c r="AQ412" s="76">
        <v>1</v>
      </c>
      <c r="AR412" s="96">
        <v>0.05</v>
      </c>
      <c r="AS412" s="80">
        <v>0</v>
      </c>
      <c r="AT412" s="80">
        <v>0.0714285714285714</v>
      </c>
      <c r="AU412" s="80">
        <v>0</v>
      </c>
      <c r="AV412" s="80">
        <v>0.0344827586206897</v>
      </c>
      <c r="AW412" s="36"/>
      <c r="AX412" s="34"/>
    </row>
    <row r="413" ht="14.5" spans="1:50">
      <c r="A413" s="32"/>
      <c r="B413" s="36"/>
      <c r="C413" s="91" t="s">
        <v>401</v>
      </c>
      <c r="D413" s="69" t="s">
        <v>19</v>
      </c>
      <c r="E413" s="92" t="s">
        <v>464</v>
      </c>
      <c r="F413" s="92" t="s">
        <v>464</v>
      </c>
      <c r="G413" s="92" t="s">
        <v>464</v>
      </c>
      <c r="H413" s="92" t="s">
        <v>464</v>
      </c>
      <c r="I413" s="71">
        <v>0.9</v>
      </c>
      <c r="J413" s="72">
        <v>0.959183673469388</v>
      </c>
      <c r="K413" s="72">
        <v>1</v>
      </c>
      <c r="L413" s="73">
        <v>0.981132075471698</v>
      </c>
      <c r="M413" s="72">
        <v>0.988962472406181</v>
      </c>
      <c r="N413" s="74">
        <v>0.9</v>
      </c>
      <c r="O413" s="72">
        <v>0.980716253443526</v>
      </c>
      <c r="P413" s="72">
        <v>0.993445309299467</v>
      </c>
      <c r="Q413" s="72">
        <v>0.991219963031423</v>
      </c>
      <c r="R413" s="72">
        <v>0.989990768184248</v>
      </c>
      <c r="S413" s="74">
        <v>0.9</v>
      </c>
      <c r="T413" s="72">
        <v>0.952380952380952</v>
      </c>
      <c r="U413" s="72">
        <v>0.969274887341254</v>
      </c>
      <c r="V413" s="72">
        <v>0.973197781885397</v>
      </c>
      <c r="W413" s="72">
        <v>0.965696516204266</v>
      </c>
      <c r="X413" s="74">
        <v>0.92</v>
      </c>
      <c r="Y413" s="74">
        <v>0.970836261419536</v>
      </c>
      <c r="Z413" s="74">
        <v>0.974390243902439</v>
      </c>
      <c r="AA413" s="74">
        <v>0.98149861239593</v>
      </c>
      <c r="AB413" s="74">
        <v>0.978618558423119</v>
      </c>
      <c r="AC413" s="74">
        <v>0.92</v>
      </c>
      <c r="AD413" s="72">
        <v>0.99492385786802</v>
      </c>
      <c r="AE413" s="72">
        <v>0.988452655889146</v>
      </c>
      <c r="AF413" s="72">
        <v>0.996547756041427</v>
      </c>
      <c r="AG413" s="72">
        <v>0.996064400715563</v>
      </c>
      <c r="AH413" s="74">
        <v>0.92</v>
      </c>
      <c r="AI413" s="72">
        <v>0.976468408375023</v>
      </c>
      <c r="AJ413" s="72">
        <v>0.981677524429967</v>
      </c>
      <c r="AK413" s="72">
        <v>0.987748497457235</v>
      </c>
      <c r="AL413" s="72">
        <v>0.985239024609103</v>
      </c>
      <c r="AM413" s="71">
        <v>0.99</v>
      </c>
      <c r="AN413" s="76">
        <v>1</v>
      </c>
      <c r="AO413" s="76">
        <v>1</v>
      </c>
      <c r="AP413" s="76">
        <v>1</v>
      </c>
      <c r="AQ413" s="76">
        <v>1</v>
      </c>
      <c r="AR413" s="96">
        <v>0.05</v>
      </c>
      <c r="AS413" s="80">
        <v>0.0555555555555556</v>
      </c>
      <c r="AT413" s="80">
        <v>0.1</v>
      </c>
      <c r="AU413" s="80">
        <v>0.166666666666667</v>
      </c>
      <c r="AV413" s="80">
        <v>0.0621468926553672</v>
      </c>
      <c r="AW413" s="36"/>
      <c r="AX413" s="34"/>
    </row>
    <row r="414" ht="14.5" spans="1:50">
      <c r="A414" s="32"/>
      <c r="B414" s="36"/>
      <c r="C414" s="91" t="s">
        <v>401</v>
      </c>
      <c r="D414" s="69" t="s">
        <v>19</v>
      </c>
      <c r="E414" s="92" t="s">
        <v>465</v>
      </c>
      <c r="F414" s="92" t="s">
        <v>465</v>
      </c>
      <c r="G414" s="92" t="s">
        <v>465</v>
      </c>
      <c r="H414" s="92" t="s">
        <v>465</v>
      </c>
      <c r="I414" s="71">
        <v>0.9</v>
      </c>
      <c r="J414" s="72">
        <v>0.98</v>
      </c>
      <c r="K414" s="72">
        <v>0.981132075471698</v>
      </c>
      <c r="L414" s="73">
        <v>0.928571428571429</v>
      </c>
      <c r="M414" s="72">
        <v>0.957983193277311</v>
      </c>
      <c r="N414" s="74">
        <v>0.9</v>
      </c>
      <c r="O414" s="72">
        <v>0.983004552352049</v>
      </c>
      <c r="P414" s="72">
        <v>0.985611510791367</v>
      </c>
      <c r="Q414" s="72">
        <v>0.982456140350877</v>
      </c>
      <c r="R414" s="72">
        <v>0.983041958041958</v>
      </c>
      <c r="S414" s="74">
        <v>0.9</v>
      </c>
      <c r="T414" s="72">
        <v>0.935660091047041</v>
      </c>
      <c r="U414" s="72">
        <v>0.954344216934145</v>
      </c>
      <c r="V414" s="72">
        <v>0.967836257309941</v>
      </c>
      <c r="W414" s="72">
        <v>0.955454545454545</v>
      </c>
      <c r="X414" s="74">
        <v>0.92</v>
      </c>
      <c r="Y414" s="74">
        <v>0.944324905863367</v>
      </c>
      <c r="Z414" s="74">
        <v>0.950728862973761</v>
      </c>
      <c r="AA414" s="74">
        <v>0.971455457967378</v>
      </c>
      <c r="AB414" s="74">
        <v>0.964069425178469</v>
      </c>
      <c r="AC414" s="74">
        <v>0.92</v>
      </c>
      <c r="AD414" s="72">
        <v>0.998347869520114</v>
      </c>
      <c r="AE414" s="72">
        <v>0.99461594732992</v>
      </c>
      <c r="AF414" s="72">
        <v>0.999554310454603</v>
      </c>
      <c r="AG414" s="72">
        <v>0.988982761218438</v>
      </c>
      <c r="AH414" s="74">
        <v>0.92</v>
      </c>
      <c r="AI414" s="72">
        <v>0.955754730402618</v>
      </c>
      <c r="AJ414" s="72">
        <v>0.964807719596992</v>
      </c>
      <c r="AK414" s="72">
        <v>0.978299026647519</v>
      </c>
      <c r="AL414" s="72">
        <v>0.973376389151308</v>
      </c>
      <c r="AM414" s="71">
        <v>0.99</v>
      </c>
      <c r="AN414" s="76">
        <v>1</v>
      </c>
      <c r="AO414" s="76">
        <v>1</v>
      </c>
      <c r="AP414" s="76">
        <v>1</v>
      </c>
      <c r="AQ414" s="76">
        <v>1</v>
      </c>
      <c r="AR414" s="96">
        <v>0.05</v>
      </c>
      <c r="AS414" s="80">
        <v>0</v>
      </c>
      <c r="AT414" s="80">
        <v>0.0344827586206897</v>
      </c>
      <c r="AU414" s="80">
        <v>0.0285714285714286</v>
      </c>
      <c r="AV414" s="80">
        <v>0.0291970802919708</v>
      </c>
      <c r="AW414" s="36"/>
      <c r="AX414" s="34"/>
    </row>
    <row r="415" ht="14.5" spans="1:50">
      <c r="A415" s="32"/>
      <c r="B415" s="36"/>
      <c r="C415" s="91" t="s">
        <v>401</v>
      </c>
      <c r="D415" s="69" t="s">
        <v>19</v>
      </c>
      <c r="E415" s="92" t="s">
        <v>466</v>
      </c>
      <c r="F415" s="92" t="s">
        <v>466</v>
      </c>
      <c r="G415" s="92" t="s">
        <v>466</v>
      </c>
      <c r="H415" s="92" t="s">
        <v>466</v>
      </c>
      <c r="I415" s="71">
        <v>0.9</v>
      </c>
      <c r="J415" s="72">
        <v>1</v>
      </c>
      <c r="K415" s="72">
        <v>0.921052631578947</v>
      </c>
      <c r="L415" s="73">
        <v>0.944444444444444</v>
      </c>
      <c r="M415" s="72">
        <v>0.967065868263473</v>
      </c>
      <c r="N415" s="74">
        <v>0.9</v>
      </c>
      <c r="O415" s="72">
        <v>0.916510318949343</v>
      </c>
      <c r="P415" s="72">
        <v>0.979284903518729</v>
      </c>
      <c r="Q415" s="72">
        <v>0.934094447327452</v>
      </c>
      <c r="R415" s="72">
        <v>0.930280211054762</v>
      </c>
      <c r="S415" s="74">
        <v>0.9</v>
      </c>
      <c r="T415" s="72">
        <v>0.826454033771107</v>
      </c>
      <c r="U415" s="72">
        <v>0.949489216799092</v>
      </c>
      <c r="V415" s="72">
        <v>0.901401141670991</v>
      </c>
      <c r="W415" s="72">
        <v>0.901541929204447</v>
      </c>
      <c r="X415" s="74">
        <v>0.92</v>
      </c>
      <c r="Y415" s="74">
        <v>0.845679012345679</v>
      </c>
      <c r="Z415" s="74">
        <v>0.977110885045778</v>
      </c>
      <c r="AA415" s="74">
        <v>1</v>
      </c>
      <c r="AB415" s="74">
        <v>0.957702123038497</v>
      </c>
      <c r="AC415" s="74">
        <v>0.92</v>
      </c>
      <c r="AD415" s="72">
        <v>0.997392438070404</v>
      </c>
      <c r="AE415" s="72">
        <v>0.942930701566188</v>
      </c>
      <c r="AF415" s="72">
        <v>0.988236664337293</v>
      </c>
      <c r="AG415" s="72">
        <v>0.986992175273865</v>
      </c>
      <c r="AH415" s="74">
        <v>0.92</v>
      </c>
      <c r="AI415" s="72">
        <v>0.867002629272568</v>
      </c>
      <c r="AJ415" s="72">
        <v>0.987616099071207</v>
      </c>
      <c r="AK415" s="72">
        <v>0.975499092558984</v>
      </c>
      <c r="AL415" s="72">
        <v>0.964192553948304</v>
      </c>
      <c r="AM415" s="71">
        <v>0.99</v>
      </c>
      <c r="AN415" s="76">
        <v>1</v>
      </c>
      <c r="AO415" s="76">
        <v>1</v>
      </c>
      <c r="AP415" s="76">
        <v>1</v>
      </c>
      <c r="AQ415" s="76">
        <v>1</v>
      </c>
      <c r="AR415" s="96">
        <v>0.05</v>
      </c>
      <c r="AS415" s="80">
        <v>0</v>
      </c>
      <c r="AT415" s="80">
        <v>0.00952380952380952</v>
      </c>
      <c r="AU415" s="80">
        <v>0.0206896551724138</v>
      </c>
      <c r="AV415" s="80">
        <v>0.0079914757591902</v>
      </c>
      <c r="AW415" s="36"/>
      <c r="AX415" s="34"/>
    </row>
    <row r="416" ht="14.5" spans="1:50">
      <c r="A416" s="32"/>
      <c r="B416" s="36"/>
      <c r="C416" s="91" t="s">
        <v>401</v>
      </c>
      <c r="D416" s="69" t="s">
        <v>19</v>
      </c>
      <c r="E416" s="92" t="s">
        <v>467</v>
      </c>
      <c r="F416" s="92" t="s">
        <v>467</v>
      </c>
      <c r="G416" s="92" t="s">
        <v>467</v>
      </c>
      <c r="H416" s="92" t="s">
        <v>467</v>
      </c>
      <c r="I416" s="71">
        <v>0.9</v>
      </c>
      <c r="J416" s="72">
        <v>0.923076923076923</v>
      </c>
      <c r="K416" s="72">
        <v>0.953488372093023</v>
      </c>
      <c r="L416" s="73">
        <v>0.961538461538462</v>
      </c>
      <c r="M416" s="72">
        <v>0.91219512195122</v>
      </c>
      <c r="N416" s="74">
        <v>0.9</v>
      </c>
      <c r="O416" s="72">
        <v>0.976815547221275</v>
      </c>
      <c r="P416" s="72">
        <v>0.982494529540481</v>
      </c>
      <c r="Q416" s="72">
        <v>0.995084269662921</v>
      </c>
      <c r="R416" s="72">
        <v>0.977492822966507</v>
      </c>
      <c r="S416" s="74">
        <v>0.9</v>
      </c>
      <c r="T416" s="72">
        <v>0.891578588475963</v>
      </c>
      <c r="U416" s="72">
        <v>0.927789934354486</v>
      </c>
      <c r="V416" s="72">
        <v>0.936446629213483</v>
      </c>
      <c r="W416" s="72">
        <v>0.920153110047847</v>
      </c>
      <c r="X416" s="74">
        <v>0.92</v>
      </c>
      <c r="Y416" s="74">
        <v>0.897860801446219</v>
      </c>
      <c r="Z416" s="74">
        <v>0.921841541755889</v>
      </c>
      <c r="AA416" s="74">
        <v>0.94995060915377</v>
      </c>
      <c r="AB416" s="74">
        <v>0.928563307689393</v>
      </c>
      <c r="AC416" s="74">
        <v>0.92</v>
      </c>
      <c r="AD416" s="72">
        <v>0.998800959232614</v>
      </c>
      <c r="AE416" s="72">
        <v>0.989122251356473</v>
      </c>
      <c r="AF416" s="72">
        <v>0.981758462498982</v>
      </c>
      <c r="AG416" s="72">
        <v>0.985036571859749</v>
      </c>
      <c r="AH416" s="74">
        <v>0.92</v>
      </c>
      <c r="AI416" s="72">
        <v>0.918478260869565</v>
      </c>
      <c r="AJ416" s="72">
        <v>0.952539550374688</v>
      </c>
      <c r="AK416" s="72">
        <v>0.962466032608696</v>
      </c>
      <c r="AL416" s="72">
        <v>0.950617283950617</v>
      </c>
      <c r="AM416" s="71">
        <v>0.99</v>
      </c>
      <c r="AN416" s="76">
        <v>1</v>
      </c>
      <c r="AO416" s="76">
        <v>1</v>
      </c>
      <c r="AP416" s="76">
        <v>1</v>
      </c>
      <c r="AQ416" s="76">
        <v>1</v>
      </c>
      <c r="AR416" s="96">
        <v>0.05</v>
      </c>
      <c r="AS416" s="80">
        <v>0.08</v>
      </c>
      <c r="AT416" s="80">
        <v>0.032258064516129</v>
      </c>
      <c r="AU416" s="80">
        <v>0.0952380952380952</v>
      </c>
      <c r="AV416" s="80">
        <v>0.0555555555555556</v>
      </c>
      <c r="AW416" s="36"/>
      <c r="AX416" s="34"/>
    </row>
    <row r="417" ht="14.5" spans="1:50">
      <c r="A417" s="32"/>
      <c r="B417" s="36"/>
      <c r="C417" s="91" t="s">
        <v>401</v>
      </c>
      <c r="D417" s="69" t="s">
        <v>19</v>
      </c>
      <c r="E417" s="92" t="s">
        <v>468</v>
      </c>
      <c r="F417" s="92" t="s">
        <v>468</v>
      </c>
      <c r="G417" s="92" t="s">
        <v>468</v>
      </c>
      <c r="H417" s="92" t="s">
        <v>468</v>
      </c>
      <c r="I417" s="71">
        <v>0.9</v>
      </c>
      <c r="J417" s="72">
        <v>0.989130434782609</v>
      </c>
      <c r="K417" s="72">
        <v>0.96875</v>
      </c>
      <c r="L417" s="73">
        <v>0.990384615384615</v>
      </c>
      <c r="M417" s="72">
        <v>0.975225225225225</v>
      </c>
      <c r="N417" s="74">
        <v>0.9</v>
      </c>
      <c r="O417" s="72">
        <v>0.973978450904655</v>
      </c>
      <c r="P417" s="72">
        <v>0.980510347598955</v>
      </c>
      <c r="Q417" s="72">
        <v>0.974971558589306</v>
      </c>
      <c r="R417" s="72">
        <v>0.980533964177087</v>
      </c>
      <c r="S417" s="74">
        <v>0.9</v>
      </c>
      <c r="T417" s="72">
        <v>0.946533848343159</v>
      </c>
      <c r="U417" s="72">
        <v>0.957404058669881</v>
      </c>
      <c r="V417" s="72">
        <v>0.960409556313993</v>
      </c>
      <c r="W417" s="72">
        <v>0.957936239720626</v>
      </c>
      <c r="X417" s="74">
        <v>0.92</v>
      </c>
      <c r="Y417" s="74">
        <v>0.94916250367323</v>
      </c>
      <c r="Z417" s="74">
        <v>0.950949126803341</v>
      </c>
      <c r="AA417" s="74">
        <v>0.96507447354905</v>
      </c>
      <c r="AB417" s="74">
        <v>0.961824969463416</v>
      </c>
      <c r="AC417" s="74">
        <v>0.92</v>
      </c>
      <c r="AD417" s="72">
        <v>0.993238453568897</v>
      </c>
      <c r="AE417" s="72">
        <v>0.979657611652924</v>
      </c>
      <c r="AF417" s="72">
        <v>0.988858939802336</v>
      </c>
      <c r="AG417" s="72">
        <v>0.980752361843498</v>
      </c>
      <c r="AH417" s="74">
        <v>0.92</v>
      </c>
      <c r="AI417" s="72">
        <v>0.96073588280385</v>
      </c>
      <c r="AJ417" s="72">
        <v>0.964560463307114</v>
      </c>
      <c r="AK417" s="72">
        <v>0.974208675263775</v>
      </c>
      <c r="AL417" s="72">
        <v>0.973441581224904</v>
      </c>
      <c r="AM417" s="71">
        <v>0.99</v>
      </c>
      <c r="AN417" s="76">
        <v>1</v>
      </c>
      <c r="AO417" s="76">
        <v>1</v>
      </c>
      <c r="AP417" s="76">
        <v>1</v>
      </c>
      <c r="AQ417" s="76">
        <v>1</v>
      </c>
      <c r="AR417" s="96">
        <v>0.05</v>
      </c>
      <c r="AS417" s="80">
        <v>0.0638297872340425</v>
      </c>
      <c r="AT417" s="80">
        <v>0</v>
      </c>
      <c r="AU417" s="80">
        <v>0.0217391304347826</v>
      </c>
      <c r="AV417" s="80">
        <v>0.0296803652968037</v>
      </c>
      <c r="AW417" s="36"/>
      <c r="AX417" s="34"/>
    </row>
    <row r="418" ht="14.5" spans="1:50">
      <c r="A418" s="32"/>
      <c r="B418" s="36"/>
      <c r="C418" s="91" t="s">
        <v>401</v>
      </c>
      <c r="D418" s="69" t="s">
        <v>19</v>
      </c>
      <c r="E418" s="92" t="s">
        <v>469</v>
      </c>
      <c r="F418" s="92" t="s">
        <v>469</v>
      </c>
      <c r="G418" s="92" t="s">
        <v>469</v>
      </c>
      <c r="H418" s="92" t="s">
        <v>469</v>
      </c>
      <c r="I418" s="71">
        <v>0.9</v>
      </c>
      <c r="J418" s="72">
        <v>0.987012987012987</v>
      </c>
      <c r="K418" s="72">
        <v>0.986842105263158</v>
      </c>
      <c r="L418" s="73">
        <v>1</v>
      </c>
      <c r="M418" s="72">
        <v>0.988200589970501</v>
      </c>
      <c r="N418" s="74">
        <v>0.9</v>
      </c>
      <c r="O418" s="72">
        <v>0.993055555555556</v>
      </c>
      <c r="P418" s="72">
        <v>0.988173817381738</v>
      </c>
      <c r="Q418" s="72">
        <v>0.990662931839402</v>
      </c>
      <c r="R418" s="72">
        <v>0.990726580548596</v>
      </c>
      <c r="S418" s="74">
        <v>0.9</v>
      </c>
      <c r="T418" s="72">
        <v>0.959401709401709</v>
      </c>
      <c r="U418" s="72">
        <v>0.967821782178218</v>
      </c>
      <c r="V418" s="72">
        <v>0.966075319016495</v>
      </c>
      <c r="W418" s="72">
        <v>0.964761006084665</v>
      </c>
      <c r="X418" s="74">
        <v>0.92</v>
      </c>
      <c r="Y418" s="74">
        <v>0.978463747307968</v>
      </c>
      <c r="Z418" s="74">
        <v>0.978038815117467</v>
      </c>
      <c r="AA418" s="74">
        <v>0.985096870342772</v>
      </c>
      <c r="AB418" s="74">
        <v>0.983389692952793</v>
      </c>
      <c r="AC418" s="74">
        <v>0.92</v>
      </c>
      <c r="AD418" s="72">
        <v>0.99528672427337</v>
      </c>
      <c r="AE418" s="72">
        <v>0.992797118847539</v>
      </c>
      <c r="AF418" s="72">
        <v>0.991841491841492</v>
      </c>
      <c r="AG418" s="72">
        <v>0.993112614789754</v>
      </c>
      <c r="AH418" s="74">
        <v>0.92</v>
      </c>
      <c r="AI418" s="72">
        <v>0.984493192133132</v>
      </c>
      <c r="AJ418" s="72">
        <v>0.983858163535327</v>
      </c>
      <c r="AK418" s="72">
        <v>0.992082825822168</v>
      </c>
      <c r="AL418" s="72">
        <v>0.988649278956147</v>
      </c>
      <c r="AM418" s="71">
        <v>0.99</v>
      </c>
      <c r="AN418" s="76">
        <v>1</v>
      </c>
      <c r="AO418" s="76">
        <v>1</v>
      </c>
      <c r="AP418" s="76">
        <v>1</v>
      </c>
      <c r="AQ418" s="76">
        <v>1</v>
      </c>
      <c r="AR418" s="96">
        <v>0.05</v>
      </c>
      <c r="AS418" s="80">
        <v>0.0512820512820513</v>
      </c>
      <c r="AT418" s="80">
        <v>0.0263157894736842</v>
      </c>
      <c r="AU418" s="80">
        <v>0.0540540540540541</v>
      </c>
      <c r="AV418" s="80">
        <v>0.0392156862745098</v>
      </c>
      <c r="AW418" s="36"/>
      <c r="AX418" s="34"/>
    </row>
    <row r="419" ht="14.5" spans="1:50">
      <c r="A419" s="32"/>
      <c r="B419" s="36"/>
      <c r="C419" s="91" t="s">
        <v>401</v>
      </c>
      <c r="D419" s="69" t="s">
        <v>19</v>
      </c>
      <c r="E419" s="92" t="s">
        <v>470</v>
      </c>
      <c r="F419" s="92" t="s">
        <v>470</v>
      </c>
      <c r="G419" s="92" t="s">
        <v>470</v>
      </c>
      <c r="H419" s="92" t="s">
        <v>470</v>
      </c>
      <c r="I419" s="71">
        <v>0.9</v>
      </c>
      <c r="J419" s="72">
        <v>1</v>
      </c>
      <c r="K419" s="72">
        <v>0.984615384615385</v>
      </c>
      <c r="L419" s="73">
        <v>1</v>
      </c>
      <c r="M419" s="72">
        <v>0.98576512455516</v>
      </c>
      <c r="N419" s="74">
        <v>0.9</v>
      </c>
      <c r="O419" s="72">
        <v>0.955716138595516</v>
      </c>
      <c r="P419" s="72">
        <v>0.962974683544304</v>
      </c>
      <c r="Q419" s="72">
        <v>0.970490521790111</v>
      </c>
      <c r="R419" s="72">
        <v>0.965502528107866</v>
      </c>
      <c r="S419" s="74">
        <v>0.9</v>
      </c>
      <c r="T419" s="72">
        <v>0.941263664999074</v>
      </c>
      <c r="U419" s="72">
        <v>0.954430379746835</v>
      </c>
      <c r="V419" s="72">
        <v>0.955638069181161</v>
      </c>
      <c r="W419" s="72">
        <v>0.944466963923794</v>
      </c>
      <c r="X419" s="74">
        <v>0.92</v>
      </c>
      <c r="Y419" s="74">
        <v>0.930146377617195</v>
      </c>
      <c r="Z419" s="74">
        <v>0.933932584269663</v>
      </c>
      <c r="AA419" s="74">
        <v>0.965664320750693</v>
      </c>
      <c r="AB419" s="74">
        <v>0.943302990897269</v>
      </c>
      <c r="AC419" s="74">
        <v>0.92</v>
      </c>
      <c r="AD419" s="72">
        <v>0.998833582676167</v>
      </c>
      <c r="AE419" s="72">
        <v>0.963648992822413</v>
      </c>
      <c r="AF419" s="72">
        <v>0.957348811725224</v>
      </c>
      <c r="AG419" s="72">
        <v>0.952033873434145</v>
      </c>
      <c r="AH419" s="74">
        <v>0.92</v>
      </c>
      <c r="AI419" s="72">
        <v>0.950648148148148</v>
      </c>
      <c r="AJ419" s="72">
        <v>0.962687952478188</v>
      </c>
      <c r="AK419" s="72">
        <v>0.975833588253288</v>
      </c>
      <c r="AL419" s="72">
        <v>0.963153941866852</v>
      </c>
      <c r="AM419" s="71">
        <v>0.99</v>
      </c>
      <c r="AN419" s="76">
        <v>1</v>
      </c>
      <c r="AO419" s="76">
        <v>1</v>
      </c>
      <c r="AP419" s="76">
        <v>1</v>
      </c>
      <c r="AQ419" s="76">
        <v>1</v>
      </c>
      <c r="AR419" s="96">
        <v>0.05</v>
      </c>
      <c r="AS419" s="80">
        <v>0.0348837209302326</v>
      </c>
      <c r="AT419" s="80">
        <v>0.0526315789473684</v>
      </c>
      <c r="AU419" s="80">
        <v>0.00961538461538462</v>
      </c>
      <c r="AV419" s="80">
        <v>0.0174825174825175</v>
      </c>
      <c r="AW419" s="36"/>
      <c r="AX419" s="34"/>
    </row>
    <row r="420" ht="14.5" spans="1:50">
      <c r="A420" s="32"/>
      <c r="B420" s="36"/>
      <c r="C420" s="91" t="s">
        <v>401</v>
      </c>
      <c r="D420" s="69" t="s">
        <v>19</v>
      </c>
      <c r="E420" s="92" t="s">
        <v>471</v>
      </c>
      <c r="F420" s="92" t="s">
        <v>471</v>
      </c>
      <c r="G420" s="92" t="s">
        <v>471</v>
      </c>
      <c r="H420" s="92" t="s">
        <v>471</v>
      </c>
      <c r="I420" s="71">
        <v>0.9</v>
      </c>
      <c r="J420" s="72">
        <v>0.904761904761905</v>
      </c>
      <c r="K420" s="72">
        <v>0.934782608695652</v>
      </c>
      <c r="L420" s="73">
        <v>0.941176470588235</v>
      </c>
      <c r="M420" s="72">
        <v>0.931203931203931</v>
      </c>
      <c r="N420" s="74">
        <v>0.9</v>
      </c>
      <c r="O420" s="72">
        <v>0.934606668824862</v>
      </c>
      <c r="P420" s="72">
        <v>0.970789310130516</v>
      </c>
      <c r="Q420" s="72">
        <v>0.973630831643002</v>
      </c>
      <c r="R420" s="72">
        <v>0.923087270892887</v>
      </c>
      <c r="S420" s="74">
        <v>0.9</v>
      </c>
      <c r="T420" s="72">
        <v>0.766914859177727</v>
      </c>
      <c r="U420" s="72">
        <v>0.87538844002486</v>
      </c>
      <c r="V420" s="72">
        <v>0.898580121703854</v>
      </c>
      <c r="W420" s="72">
        <v>0.861947200269043</v>
      </c>
      <c r="X420" s="74">
        <v>0.92</v>
      </c>
      <c r="Y420" s="74">
        <v>0.737757171834251</v>
      </c>
      <c r="Z420" s="74">
        <v>0.878201124297314</v>
      </c>
      <c r="AA420" s="74">
        <v>0.925325707022561</v>
      </c>
      <c r="AB420" s="74">
        <v>0.892879045996593</v>
      </c>
      <c r="AC420" s="74">
        <v>0.92</v>
      </c>
      <c r="AD420" s="72">
        <v>0.999256292906178</v>
      </c>
      <c r="AE420" s="72">
        <v>0.995696644630161</v>
      </c>
      <c r="AF420" s="72">
        <v>0.996381145152881</v>
      </c>
      <c r="AG420" s="72">
        <v>0.991548366042158</v>
      </c>
      <c r="AH420" s="74">
        <v>0.92</v>
      </c>
      <c r="AI420" s="72">
        <v>0.785572367415559</v>
      </c>
      <c r="AJ420" s="72">
        <v>0.906600249066002</v>
      </c>
      <c r="AK420" s="72">
        <v>0.946937438584998</v>
      </c>
      <c r="AL420" s="72">
        <v>0.921397084902633</v>
      </c>
      <c r="AM420" s="71">
        <v>0.99</v>
      </c>
      <c r="AN420" s="76">
        <v>1</v>
      </c>
      <c r="AO420" s="76">
        <v>1</v>
      </c>
      <c r="AP420" s="76">
        <v>1</v>
      </c>
      <c r="AQ420" s="76">
        <v>1</v>
      </c>
      <c r="AR420" s="96">
        <v>0.05</v>
      </c>
      <c r="AS420" s="80">
        <v>0.0384615384615385</v>
      </c>
      <c r="AT420" s="80">
        <v>0.0357142857142857</v>
      </c>
      <c r="AU420" s="80">
        <v>0</v>
      </c>
      <c r="AV420" s="80">
        <v>0.0249520153550864</v>
      </c>
      <c r="AW420" s="36"/>
      <c r="AX420" s="34"/>
    </row>
    <row r="421" ht="14.5" spans="1:50">
      <c r="A421" s="32"/>
      <c r="B421" s="36"/>
      <c r="C421" s="91" t="s">
        <v>401</v>
      </c>
      <c r="D421" s="69" t="s">
        <v>19</v>
      </c>
      <c r="E421" s="92" t="s">
        <v>472</v>
      </c>
      <c r="F421" s="92" t="s">
        <v>472</v>
      </c>
      <c r="G421" s="92" t="s">
        <v>472</v>
      </c>
      <c r="H421" s="92" t="s">
        <v>472</v>
      </c>
      <c r="I421" s="71">
        <v>0.9</v>
      </c>
      <c r="J421" s="72">
        <v>0.951219512195122</v>
      </c>
      <c r="K421" s="72">
        <v>0.953488372093023</v>
      </c>
      <c r="L421" s="73">
        <v>0.956521739130435</v>
      </c>
      <c r="M421" s="72">
        <v>0.971867007672634</v>
      </c>
      <c r="N421" s="74">
        <v>0.9</v>
      </c>
      <c r="O421" s="72">
        <v>0.989499192245557</v>
      </c>
      <c r="P421" s="72">
        <v>0.989854433171592</v>
      </c>
      <c r="Q421" s="72">
        <v>0.989104689720512</v>
      </c>
      <c r="R421" s="72">
        <v>0.989631278134642</v>
      </c>
      <c r="S421" s="74">
        <v>0.9</v>
      </c>
      <c r="T421" s="72">
        <v>0.973344103392569</v>
      </c>
      <c r="U421" s="72">
        <v>0.975297750330834</v>
      </c>
      <c r="V421" s="72">
        <v>0.97868308858361</v>
      </c>
      <c r="W421" s="72">
        <v>0.972333215315361</v>
      </c>
      <c r="X421" s="74">
        <v>0.92</v>
      </c>
      <c r="Y421" s="74">
        <v>0.969662495259765</v>
      </c>
      <c r="Z421" s="74">
        <v>0.980061349693252</v>
      </c>
      <c r="AA421" s="74">
        <v>0.983185427370388</v>
      </c>
      <c r="AB421" s="74">
        <v>0.978624057573681</v>
      </c>
      <c r="AC421" s="74">
        <v>0.92</v>
      </c>
      <c r="AD421" s="72">
        <v>0.994206257242178</v>
      </c>
      <c r="AE421" s="72">
        <v>0.989106753812636</v>
      </c>
      <c r="AF421" s="72">
        <v>0.996410256410256</v>
      </c>
      <c r="AG421" s="72">
        <v>0.9948580723018</v>
      </c>
      <c r="AH421" s="74">
        <v>0.92</v>
      </c>
      <c r="AI421" s="72">
        <v>0.980453479280688</v>
      </c>
      <c r="AJ421" s="72">
        <v>0.985462735462735</v>
      </c>
      <c r="AK421" s="72">
        <v>0.987064910630292</v>
      </c>
      <c r="AL421" s="72">
        <v>0.984799332653629</v>
      </c>
      <c r="AM421" s="71">
        <v>0.99</v>
      </c>
      <c r="AN421" s="76">
        <v>1</v>
      </c>
      <c r="AO421" s="76">
        <v>1</v>
      </c>
      <c r="AP421" s="76">
        <v>1</v>
      </c>
      <c r="AQ421" s="76">
        <v>1</v>
      </c>
      <c r="AR421" s="96">
        <v>0.05</v>
      </c>
      <c r="AS421" s="80">
        <v>0.0769230769230769</v>
      </c>
      <c r="AT421" s="80">
        <v>0</v>
      </c>
      <c r="AU421" s="80">
        <v>0</v>
      </c>
      <c r="AV421" s="80">
        <v>0.0227272727272727</v>
      </c>
      <c r="AW421" s="36"/>
      <c r="AX421" s="34"/>
    </row>
    <row r="422" ht="14.5" spans="1:50">
      <c r="A422" s="32"/>
      <c r="B422" s="36"/>
      <c r="C422" s="91" t="s">
        <v>401</v>
      </c>
      <c r="D422" s="69" t="s">
        <v>19</v>
      </c>
      <c r="E422" s="92" t="s">
        <v>473</v>
      </c>
      <c r="F422" s="92" t="s">
        <v>473</v>
      </c>
      <c r="G422" s="92" t="s">
        <v>473</v>
      </c>
      <c r="H422" s="92" t="s">
        <v>473</v>
      </c>
      <c r="I422" s="71">
        <v>0.9</v>
      </c>
      <c r="J422" s="72">
        <v>1</v>
      </c>
      <c r="K422" s="72">
        <v>1</v>
      </c>
      <c r="L422" s="73">
        <v>0.952380952380952</v>
      </c>
      <c r="M422" s="72">
        <v>0.99135446685879</v>
      </c>
      <c r="N422" s="74">
        <v>0.9</v>
      </c>
      <c r="O422" s="72">
        <v>0.994634750309534</v>
      </c>
      <c r="P422" s="72">
        <v>0.99399279134962</v>
      </c>
      <c r="Q422" s="72">
        <v>0.991674828599412</v>
      </c>
      <c r="R422" s="72">
        <v>0.99213623841723</v>
      </c>
      <c r="S422" s="74">
        <v>0.9</v>
      </c>
      <c r="T422" s="72">
        <v>0.965744944283946</v>
      </c>
      <c r="U422" s="72">
        <v>0.970764917901482</v>
      </c>
      <c r="V422" s="72">
        <v>0.966209598432909</v>
      </c>
      <c r="W422" s="72">
        <v>0.971650388179314</v>
      </c>
      <c r="X422" s="74">
        <v>0.92</v>
      </c>
      <c r="Y422" s="74">
        <v>0.965648854961832</v>
      </c>
      <c r="Z422" s="74">
        <v>0.977491961414791</v>
      </c>
      <c r="AA422" s="74">
        <v>0.977570093457944</v>
      </c>
      <c r="AB422" s="74">
        <v>0.977002176046422</v>
      </c>
      <c r="AC422" s="74">
        <v>0.92</v>
      </c>
      <c r="AD422" s="72">
        <v>0.997789155224575</v>
      </c>
      <c r="AE422" s="72">
        <v>0.997261242159201</v>
      </c>
      <c r="AF422" s="72">
        <v>0.989637305699482</v>
      </c>
      <c r="AG422" s="72">
        <v>0.989700434000212</v>
      </c>
      <c r="AH422" s="74">
        <v>0.92</v>
      </c>
      <c r="AI422" s="72">
        <v>0.973634651600753</v>
      </c>
      <c r="AJ422" s="72">
        <v>0.984966927239928</v>
      </c>
      <c r="AK422" s="72">
        <v>0.98493543758967</v>
      </c>
      <c r="AL422" s="72">
        <v>0.98423402688271</v>
      </c>
      <c r="AM422" s="71">
        <v>0.99</v>
      </c>
      <c r="AN422" s="76">
        <v>1</v>
      </c>
      <c r="AO422" s="76">
        <v>1</v>
      </c>
      <c r="AP422" s="76">
        <v>1</v>
      </c>
      <c r="AQ422" s="76">
        <v>1</v>
      </c>
      <c r="AR422" s="96">
        <v>0.05</v>
      </c>
      <c r="AS422" s="80">
        <v>0</v>
      </c>
      <c r="AT422" s="80">
        <v>0</v>
      </c>
      <c r="AU422" s="80">
        <v>0.166666666666667</v>
      </c>
      <c r="AV422" s="80">
        <v>0.0336134453781513</v>
      </c>
      <c r="AW422" s="36"/>
      <c r="AX422" s="34"/>
    </row>
    <row r="423" ht="14.5" spans="1:50">
      <c r="A423" s="32"/>
      <c r="B423" s="36"/>
      <c r="C423" s="91" t="s">
        <v>401</v>
      </c>
      <c r="D423" s="69" t="s">
        <v>19</v>
      </c>
      <c r="E423" s="92" t="s">
        <v>474</v>
      </c>
      <c r="F423" s="92" t="s">
        <v>474</v>
      </c>
      <c r="G423" s="92" t="s">
        <v>474</v>
      </c>
      <c r="H423" s="92" t="s">
        <v>474</v>
      </c>
      <c r="I423" s="71">
        <v>0.9</v>
      </c>
      <c r="J423" s="72">
        <v>0.875</v>
      </c>
      <c r="K423" s="72">
        <v>0.866666666666667</v>
      </c>
      <c r="L423" s="73">
        <v>0.90625</v>
      </c>
      <c r="M423" s="72">
        <v>0.916967509025271</v>
      </c>
      <c r="N423" s="74">
        <v>0.9</v>
      </c>
      <c r="O423" s="72">
        <v>0.925992779783393</v>
      </c>
      <c r="P423" s="72">
        <v>0.922557585385226</v>
      </c>
      <c r="Q423" s="72">
        <v>0.962730130220027</v>
      </c>
      <c r="R423" s="72">
        <v>0.947784967645595</v>
      </c>
      <c r="S423" s="74">
        <v>0.9</v>
      </c>
      <c r="T423" s="72">
        <v>0.896660649819495</v>
      </c>
      <c r="U423" s="72">
        <v>0.948768864177919</v>
      </c>
      <c r="V423" s="72">
        <v>0.948361023798832</v>
      </c>
      <c r="W423" s="72">
        <v>0.923643603782977</v>
      </c>
      <c r="X423" s="74">
        <v>0.92</v>
      </c>
      <c r="Y423" s="74">
        <v>0.902672516952533</v>
      </c>
      <c r="Z423" s="74">
        <v>0.946361940298508</v>
      </c>
      <c r="AA423" s="74">
        <v>0.959032576505429</v>
      </c>
      <c r="AB423" s="74">
        <v>0.931458064516129</v>
      </c>
      <c r="AC423" s="74">
        <v>0.92</v>
      </c>
      <c r="AD423" s="72">
        <v>0.990461975317631</v>
      </c>
      <c r="AE423" s="72">
        <v>0.994171069292232</v>
      </c>
      <c r="AF423" s="72">
        <v>0.996231401722788</v>
      </c>
      <c r="AG423" s="72">
        <v>0.995454272437875</v>
      </c>
      <c r="AH423" s="74">
        <v>0.92</v>
      </c>
      <c r="AI423" s="72">
        <v>0.914799154334038</v>
      </c>
      <c r="AJ423" s="72">
        <v>0.960368466152528</v>
      </c>
      <c r="AK423" s="72">
        <v>0.97019478995541</v>
      </c>
      <c r="AL423" s="72">
        <v>0.949908879214336</v>
      </c>
      <c r="AM423" s="71">
        <v>0.99</v>
      </c>
      <c r="AN423" s="76">
        <v>1</v>
      </c>
      <c r="AO423" s="76">
        <v>1</v>
      </c>
      <c r="AP423" s="76">
        <v>1</v>
      </c>
      <c r="AQ423" s="76">
        <v>1</v>
      </c>
      <c r="AR423" s="96">
        <v>0.05</v>
      </c>
      <c r="AS423" s="80">
        <v>0</v>
      </c>
      <c r="AT423" s="80">
        <v>0</v>
      </c>
      <c r="AU423" s="80">
        <v>0</v>
      </c>
      <c r="AV423" s="80">
        <v>0.00112359550561798</v>
      </c>
      <c r="AW423" s="36"/>
      <c r="AX423" s="34"/>
    </row>
    <row r="424" ht="14.5" spans="1:50">
      <c r="A424" s="32"/>
      <c r="B424" s="36"/>
      <c r="C424" s="91" t="s">
        <v>401</v>
      </c>
      <c r="D424" s="69" t="s">
        <v>19</v>
      </c>
      <c r="E424" s="92" t="s">
        <v>475</v>
      </c>
      <c r="F424" s="92" t="s">
        <v>475</v>
      </c>
      <c r="G424" s="92" t="s">
        <v>475</v>
      </c>
      <c r="H424" s="92" t="s">
        <v>475</v>
      </c>
      <c r="I424" s="71">
        <v>0.9</v>
      </c>
      <c r="J424" s="72">
        <v>0.944444444444444</v>
      </c>
      <c r="K424" s="72">
        <v>0.9</v>
      </c>
      <c r="L424" s="73">
        <v>0.8</v>
      </c>
      <c r="M424" s="72">
        <v>0.868131868131868</v>
      </c>
      <c r="N424" s="74">
        <v>0.9</v>
      </c>
      <c r="O424" s="72">
        <v>0.958728848534874</v>
      </c>
      <c r="P424" s="72">
        <v>0.976587442355445</v>
      </c>
      <c r="Q424" s="72">
        <v>0.970449678800857</v>
      </c>
      <c r="R424" s="72">
        <v>0.96154197080292</v>
      </c>
      <c r="S424" s="74">
        <v>0.9</v>
      </c>
      <c r="T424" s="72">
        <v>0.86215435410648</v>
      </c>
      <c r="U424" s="72">
        <v>0.944661227385598</v>
      </c>
      <c r="V424" s="72">
        <v>0.930620985010707</v>
      </c>
      <c r="W424" s="72">
        <v>0.91117700729927</v>
      </c>
      <c r="X424" s="74">
        <v>0.92</v>
      </c>
      <c r="Y424" s="74">
        <v>0.911698113207547</v>
      </c>
      <c r="Z424" s="74">
        <v>0.936924493554328</v>
      </c>
      <c r="AA424" s="74">
        <v>0.952913752913753</v>
      </c>
      <c r="AB424" s="74">
        <v>0.93107919888574</v>
      </c>
      <c r="AC424" s="74">
        <v>0.92</v>
      </c>
      <c r="AD424" s="72">
        <v>0.995728523967727</v>
      </c>
      <c r="AE424" s="72">
        <v>0.997948520691092</v>
      </c>
      <c r="AF424" s="72">
        <v>0.99936453468052</v>
      </c>
      <c r="AG424" s="72">
        <v>0.998549984919843</v>
      </c>
      <c r="AH424" s="74">
        <v>0.92</v>
      </c>
      <c r="AI424" s="72">
        <v>0.923833890966345</v>
      </c>
      <c r="AJ424" s="72">
        <v>0.956965572457966</v>
      </c>
      <c r="AK424" s="72">
        <v>0.962946428571429</v>
      </c>
      <c r="AL424" s="72">
        <v>0.950844961783886</v>
      </c>
      <c r="AM424" s="71">
        <v>0.99</v>
      </c>
      <c r="AN424" s="76">
        <v>1</v>
      </c>
      <c r="AO424" s="76">
        <v>1</v>
      </c>
      <c r="AP424" s="76">
        <v>1</v>
      </c>
      <c r="AQ424" s="76">
        <v>1</v>
      </c>
      <c r="AR424" s="96">
        <v>0.05</v>
      </c>
      <c r="AS424" s="80">
        <v>0.0769230769230769</v>
      </c>
      <c r="AT424" s="80">
        <v>0</v>
      </c>
      <c r="AU424" s="80">
        <v>0.0476190476190476</v>
      </c>
      <c r="AV424" s="80">
        <v>0.0617977528089888</v>
      </c>
      <c r="AW424" s="36"/>
      <c r="AX424" s="34"/>
    </row>
    <row r="425" ht="14.5" spans="1:50">
      <c r="A425" s="32"/>
      <c r="B425" s="36"/>
      <c r="C425" s="91" t="s">
        <v>401</v>
      </c>
      <c r="D425" s="69" t="s">
        <v>19</v>
      </c>
      <c r="E425" s="92" t="s">
        <v>476</v>
      </c>
      <c r="F425" s="92" t="s">
        <v>476</v>
      </c>
      <c r="G425" s="92" t="s">
        <v>476</v>
      </c>
      <c r="H425" s="92" t="s">
        <v>476</v>
      </c>
      <c r="I425" s="71">
        <v>0.9</v>
      </c>
      <c r="J425" s="72">
        <v>0.944444444444444</v>
      </c>
      <c r="K425" s="72">
        <v>0.947368421052632</v>
      </c>
      <c r="L425" s="73">
        <v>0.923076923076923</v>
      </c>
      <c r="M425" s="72">
        <v>0.954545454545455</v>
      </c>
      <c r="N425" s="74">
        <v>0.9</v>
      </c>
      <c r="O425" s="72">
        <v>0.996728462377317</v>
      </c>
      <c r="P425" s="72">
        <v>0.98880976602238</v>
      </c>
      <c r="Q425" s="72">
        <v>0.993817619783617</v>
      </c>
      <c r="R425" s="72">
        <v>0.992320382274305</v>
      </c>
      <c r="S425" s="74">
        <v>0.9</v>
      </c>
      <c r="T425" s="72">
        <v>0.941657579062159</v>
      </c>
      <c r="U425" s="72">
        <v>0.95116988809766</v>
      </c>
      <c r="V425" s="72">
        <v>0.955692941782586</v>
      </c>
      <c r="W425" s="72">
        <v>0.951305535013368</v>
      </c>
      <c r="X425" s="74">
        <v>0.92</v>
      </c>
      <c r="Y425" s="74">
        <v>0.905227161700049</v>
      </c>
      <c r="Z425" s="74">
        <v>0.934167573449401</v>
      </c>
      <c r="AA425" s="74">
        <v>0.919665809768638</v>
      </c>
      <c r="AB425" s="74">
        <v>0.928278078685792</v>
      </c>
      <c r="AC425" s="74">
        <v>0.92</v>
      </c>
      <c r="AD425" s="72">
        <v>0.998176973776469</v>
      </c>
      <c r="AE425" s="72">
        <v>0.997875504567665</v>
      </c>
      <c r="AF425" s="72">
        <v>0.980454946996466</v>
      </c>
      <c r="AG425" s="72">
        <v>0.986623541063347</v>
      </c>
      <c r="AH425" s="74">
        <v>0.92</v>
      </c>
      <c r="AI425" s="72">
        <v>0.935135135135135</v>
      </c>
      <c r="AJ425" s="72">
        <v>0.959033613445378</v>
      </c>
      <c r="AK425" s="72">
        <v>0.953973699256718</v>
      </c>
      <c r="AL425" s="72">
        <v>0.954858587913845</v>
      </c>
      <c r="AM425" s="71">
        <v>0.99</v>
      </c>
      <c r="AN425" s="76">
        <v>1</v>
      </c>
      <c r="AO425" s="76">
        <v>1</v>
      </c>
      <c r="AP425" s="76">
        <v>1</v>
      </c>
      <c r="AQ425" s="76">
        <v>1</v>
      </c>
      <c r="AR425" s="96">
        <v>0.05</v>
      </c>
      <c r="AS425" s="80">
        <v>0.16</v>
      </c>
      <c r="AT425" s="80">
        <v>0.075</v>
      </c>
      <c r="AU425" s="80">
        <v>0</v>
      </c>
      <c r="AV425" s="80">
        <v>0.0575757575757576</v>
      </c>
      <c r="AW425" s="36"/>
      <c r="AX425" s="34"/>
    </row>
    <row r="426" ht="14.5" spans="1:50">
      <c r="A426" s="32"/>
      <c r="B426" s="36"/>
      <c r="C426" s="91" t="s">
        <v>401</v>
      </c>
      <c r="D426" s="69" t="s">
        <v>19</v>
      </c>
      <c r="E426" s="92" t="s">
        <v>477</v>
      </c>
      <c r="F426" s="92" t="s">
        <v>477</v>
      </c>
      <c r="G426" s="92" t="s">
        <v>477</v>
      </c>
      <c r="H426" s="92" t="s">
        <v>477</v>
      </c>
      <c r="I426" s="71">
        <v>0.9</v>
      </c>
      <c r="J426" s="72">
        <v>0.878048780487805</v>
      </c>
      <c r="K426" s="72">
        <v>0.930232558139535</v>
      </c>
      <c r="L426" s="73">
        <v>1</v>
      </c>
      <c r="M426" s="72">
        <v>0.930362116991644</v>
      </c>
      <c r="N426" s="74">
        <v>0.9</v>
      </c>
      <c r="O426" s="72">
        <v>0.981132075471698</v>
      </c>
      <c r="P426" s="72">
        <v>0.981392143349414</v>
      </c>
      <c r="Q426" s="72">
        <v>0.988552188552189</v>
      </c>
      <c r="R426" s="72">
        <v>0.987558511948756</v>
      </c>
      <c r="S426" s="74">
        <v>0.9</v>
      </c>
      <c r="T426" s="72">
        <v>0.927857935627081</v>
      </c>
      <c r="U426" s="72">
        <v>0.947622329427981</v>
      </c>
      <c r="V426" s="72">
        <v>0.931986531986532</v>
      </c>
      <c r="W426" s="72">
        <v>0.934405025868441</v>
      </c>
      <c r="X426" s="74">
        <v>0.92</v>
      </c>
      <c r="Y426" s="74">
        <v>0.93691663984551</v>
      </c>
      <c r="Z426" s="74">
        <v>0.96943231441048</v>
      </c>
      <c r="AA426" s="74">
        <v>0.958766342608113</v>
      </c>
      <c r="AB426" s="74">
        <v>0.956940658027412</v>
      </c>
      <c r="AC426" s="74">
        <v>0.92</v>
      </c>
      <c r="AD426" s="72">
        <v>0.976190476190476</v>
      </c>
      <c r="AE426" s="72">
        <v>0.955882352941177</v>
      </c>
      <c r="AF426" s="72">
        <v>0.958333333333333</v>
      </c>
      <c r="AG426" s="72">
        <v>0.952710495963091</v>
      </c>
      <c r="AH426" s="74">
        <v>0.92</v>
      </c>
      <c r="AI426" s="72">
        <v>0.946843177189409</v>
      </c>
      <c r="AJ426" s="72">
        <v>0.975305990981318</v>
      </c>
      <c r="AK426" s="72">
        <v>0.962623097582811</v>
      </c>
      <c r="AL426" s="72">
        <v>0.966596155187243</v>
      </c>
      <c r="AM426" s="71">
        <v>0.99</v>
      </c>
      <c r="AN426" s="76">
        <v>1</v>
      </c>
      <c r="AO426" s="76">
        <v>1</v>
      </c>
      <c r="AP426" s="76">
        <v>1</v>
      </c>
      <c r="AQ426" s="76">
        <v>1</v>
      </c>
      <c r="AR426" s="96">
        <v>0.05</v>
      </c>
      <c r="AS426" s="80">
        <v>0</v>
      </c>
      <c r="AT426" s="80">
        <v>0</v>
      </c>
      <c r="AU426" s="80">
        <v>0.0909090909090909</v>
      </c>
      <c r="AV426" s="80">
        <v>0.0266666666666667</v>
      </c>
      <c r="AW426" s="36"/>
      <c r="AX426" s="34"/>
    </row>
    <row r="427" ht="14.5" spans="1:50">
      <c r="A427" s="32"/>
      <c r="B427" s="36"/>
      <c r="C427" s="91" t="s">
        <v>401</v>
      </c>
      <c r="D427" s="69" t="s">
        <v>19</v>
      </c>
      <c r="E427" s="92" t="s">
        <v>478</v>
      </c>
      <c r="F427" s="92" t="s">
        <v>478</v>
      </c>
      <c r="G427" s="92" t="s">
        <v>478</v>
      </c>
      <c r="H427" s="92" t="s">
        <v>478</v>
      </c>
      <c r="I427" s="71">
        <v>0.9</v>
      </c>
      <c r="J427" s="72">
        <v>0.972972972972973</v>
      </c>
      <c r="K427" s="72">
        <v>1</v>
      </c>
      <c r="L427" s="73">
        <v>0.987341772151899</v>
      </c>
      <c r="M427" s="72">
        <v>0.985141158989599</v>
      </c>
      <c r="N427" s="74">
        <v>0.9</v>
      </c>
      <c r="O427" s="72">
        <v>0.982049036777583</v>
      </c>
      <c r="P427" s="72">
        <v>0.983813443072702</v>
      </c>
      <c r="Q427" s="72">
        <v>0.983072582713516</v>
      </c>
      <c r="R427" s="72">
        <v>0.984521049876617</v>
      </c>
      <c r="S427" s="74">
        <v>0.9</v>
      </c>
      <c r="T427" s="72">
        <v>0.883318739054291</v>
      </c>
      <c r="U427" s="72">
        <v>0.919341563786008</v>
      </c>
      <c r="V427" s="72">
        <v>0.926647858425237</v>
      </c>
      <c r="W427" s="72">
        <v>0.905630748523144</v>
      </c>
      <c r="X427" s="74">
        <v>0.92</v>
      </c>
      <c r="Y427" s="74">
        <v>0.894115331627632</v>
      </c>
      <c r="Z427" s="74">
        <v>0.92018779342723</v>
      </c>
      <c r="AA427" s="74">
        <v>0.948556430446194</v>
      </c>
      <c r="AB427" s="74">
        <v>0.928897391442976</v>
      </c>
      <c r="AC427" s="74">
        <v>0.92</v>
      </c>
      <c r="AD427" s="72">
        <v>0.986301369863014</v>
      </c>
      <c r="AE427" s="72">
        <v>0.979381443298969</v>
      </c>
      <c r="AF427" s="72">
        <v>0.98876404494382</v>
      </c>
      <c r="AG427" s="72">
        <v>0.983737517831669</v>
      </c>
      <c r="AH427" s="74">
        <v>0.92</v>
      </c>
      <c r="AI427" s="72">
        <v>0.923722665561198</v>
      </c>
      <c r="AJ427" s="72">
        <v>0.939952200756821</v>
      </c>
      <c r="AK427" s="72">
        <v>0.964122296173045</v>
      </c>
      <c r="AL427" s="72">
        <v>0.950780471604118</v>
      </c>
      <c r="AM427" s="71">
        <v>0.99</v>
      </c>
      <c r="AN427" s="76">
        <v>1</v>
      </c>
      <c r="AO427" s="76">
        <v>1</v>
      </c>
      <c r="AP427" s="76">
        <v>1</v>
      </c>
      <c r="AQ427" s="76">
        <v>1</v>
      </c>
      <c r="AR427" s="96">
        <v>0.05</v>
      </c>
      <c r="AS427" s="80">
        <v>0</v>
      </c>
      <c r="AT427" s="80">
        <v>0.0333333333333333</v>
      </c>
      <c r="AU427" s="80">
        <v>0.115384615384615</v>
      </c>
      <c r="AV427" s="80">
        <v>0.0355029585798817</v>
      </c>
      <c r="AW427" s="36"/>
      <c r="AX427" s="34"/>
    </row>
    <row r="428" ht="14.5" spans="1:50">
      <c r="A428" s="32"/>
      <c r="B428" s="36"/>
      <c r="C428" s="91" t="s">
        <v>401</v>
      </c>
      <c r="D428" s="69" t="s">
        <v>19</v>
      </c>
      <c r="E428" s="92" t="s">
        <v>479</v>
      </c>
      <c r="F428" s="92" t="s">
        <v>479</v>
      </c>
      <c r="G428" s="92" t="s">
        <v>479</v>
      </c>
      <c r="H428" s="92" t="s">
        <v>479</v>
      </c>
      <c r="I428" s="71">
        <v>0.9</v>
      </c>
      <c r="J428" s="72">
        <v>0.813953488372093</v>
      </c>
      <c r="K428" s="72">
        <v>0.765957446808511</v>
      </c>
      <c r="L428" s="73">
        <v>0.73469387755102</v>
      </c>
      <c r="M428" s="72">
        <v>0.817961165048544</v>
      </c>
      <c r="N428" s="74">
        <v>0.9</v>
      </c>
      <c r="O428" s="72">
        <v>0.98881074168798</v>
      </c>
      <c r="P428" s="72">
        <v>0.99054889131225</v>
      </c>
      <c r="Q428" s="72">
        <v>0.988668028980123</v>
      </c>
      <c r="R428" s="72">
        <v>0.979985606753156</v>
      </c>
      <c r="S428" s="74">
        <v>0.9</v>
      </c>
      <c r="T428" s="72">
        <v>0.812979539641944</v>
      </c>
      <c r="U428" s="72">
        <v>0.867320974191203</v>
      </c>
      <c r="V428" s="72">
        <v>0.837451235370611</v>
      </c>
      <c r="W428" s="72">
        <v>0.796510610156964</v>
      </c>
      <c r="X428" s="74">
        <v>0.92</v>
      </c>
      <c r="Y428" s="74">
        <v>0</v>
      </c>
      <c r="Z428" s="74">
        <v>0</v>
      </c>
      <c r="AA428" s="74">
        <v>0</v>
      </c>
      <c r="AB428" s="74">
        <v>0.25</v>
      </c>
      <c r="AC428" s="74">
        <v>0.92</v>
      </c>
      <c r="AD428" s="72">
        <v>0.98989898989899</v>
      </c>
      <c r="AE428" s="72">
        <v>0.985074626865672</v>
      </c>
      <c r="AF428" s="72">
        <v>0.986111111111111</v>
      </c>
      <c r="AG428" s="72">
        <v>0.979028697571744</v>
      </c>
      <c r="AH428" s="74">
        <v>0.92</v>
      </c>
      <c r="AI428" s="72">
        <v>0.958939127656175</v>
      </c>
      <c r="AJ428" s="72">
        <v>0.976372228280625</v>
      </c>
      <c r="AK428" s="72">
        <v>0.981051458294631</v>
      </c>
      <c r="AL428" s="72">
        <v>0.974502596417527</v>
      </c>
      <c r="AM428" s="71">
        <v>0.99</v>
      </c>
      <c r="AN428" s="76">
        <v>1</v>
      </c>
      <c r="AO428" s="76">
        <v>1</v>
      </c>
      <c r="AP428" s="76">
        <v>1</v>
      </c>
      <c r="AQ428" s="76">
        <v>1</v>
      </c>
      <c r="AR428" s="96">
        <v>0.05</v>
      </c>
      <c r="AS428" s="80">
        <v>0</v>
      </c>
      <c r="AT428" s="80">
        <v>0.142857142857143</v>
      </c>
      <c r="AU428" s="80">
        <v>0</v>
      </c>
      <c r="AV428" s="80">
        <v>0.0994152046783626</v>
      </c>
      <c r="AW428" s="36"/>
      <c r="AX428" s="34"/>
    </row>
    <row r="429" ht="14.5" spans="1:50">
      <c r="A429" s="32"/>
      <c r="B429" s="36"/>
      <c r="C429" s="91" t="s">
        <v>401</v>
      </c>
      <c r="D429" s="69" t="s">
        <v>19</v>
      </c>
      <c r="E429" s="92" t="s">
        <v>480</v>
      </c>
      <c r="F429" s="92" t="s">
        <v>480</v>
      </c>
      <c r="G429" s="92" t="s">
        <v>480</v>
      </c>
      <c r="H429" s="92" t="s">
        <v>480</v>
      </c>
      <c r="I429" s="71">
        <v>0.9</v>
      </c>
      <c r="J429" s="72">
        <v>0.92</v>
      </c>
      <c r="K429" s="72">
        <v>0.956521739130435</v>
      </c>
      <c r="L429" s="73">
        <v>1</v>
      </c>
      <c r="M429" s="72">
        <v>0.946428571428571</v>
      </c>
      <c r="N429" s="74">
        <v>0.9</v>
      </c>
      <c r="O429" s="72">
        <v>0.969395017793594</v>
      </c>
      <c r="P429" s="72">
        <v>0.972996515679443</v>
      </c>
      <c r="Q429" s="72">
        <v>0.985074626865672</v>
      </c>
      <c r="R429" s="72">
        <v>0.974645846748229</v>
      </c>
      <c r="S429" s="74">
        <v>0.9</v>
      </c>
      <c r="T429" s="72">
        <v>0.925978647686833</v>
      </c>
      <c r="U429" s="72">
        <v>0.924216027874564</v>
      </c>
      <c r="V429" s="72">
        <v>0.9528672427337</v>
      </c>
      <c r="W429" s="72">
        <v>0.923374114616871</v>
      </c>
      <c r="X429" s="74">
        <v>0.92</v>
      </c>
      <c r="Y429" s="74">
        <v>0.936488169364882</v>
      </c>
      <c r="Z429" s="74">
        <v>0.943754848719938</v>
      </c>
      <c r="AA429" s="74">
        <v>0.964949324324324</v>
      </c>
      <c r="AB429" s="74">
        <v>0.958847536682538</v>
      </c>
      <c r="AC429" s="74">
        <v>0.92</v>
      </c>
      <c r="AD429" s="72">
        <v>0.945054945054945</v>
      </c>
      <c r="AE429" s="72">
        <v>0.925581395348837</v>
      </c>
      <c r="AF429" s="72">
        <v>0.983050847457627</v>
      </c>
      <c r="AG429" s="72">
        <v>0.962255965292842</v>
      </c>
      <c r="AH429" s="74">
        <v>0.92</v>
      </c>
      <c r="AI429" s="72">
        <v>0.950733752620545</v>
      </c>
      <c r="AJ429" s="72">
        <v>0.953631734119539</v>
      </c>
      <c r="AK429" s="72">
        <v>0.974190005491488</v>
      </c>
      <c r="AL429" s="72">
        <v>0.968993186979561</v>
      </c>
      <c r="AM429" s="71">
        <v>0.99</v>
      </c>
      <c r="AN429" s="76">
        <v>1</v>
      </c>
      <c r="AO429" s="76">
        <v>1</v>
      </c>
      <c r="AP429" s="76">
        <v>1</v>
      </c>
      <c r="AQ429" s="76">
        <v>1</v>
      </c>
      <c r="AR429" s="96">
        <v>0.05</v>
      </c>
      <c r="AS429" s="80">
        <v>0</v>
      </c>
      <c r="AT429" s="80">
        <v>0.0454545454545455</v>
      </c>
      <c r="AU429" s="80">
        <v>0.0357142857142857</v>
      </c>
      <c r="AV429" s="80">
        <v>0.0319634703196347</v>
      </c>
      <c r="AW429" s="36"/>
      <c r="AX429" s="34"/>
    </row>
    <row r="430" ht="14.5" spans="1:50">
      <c r="A430" s="32"/>
      <c r="B430" s="36"/>
      <c r="C430" s="91" t="s">
        <v>401</v>
      </c>
      <c r="D430" s="69" t="s">
        <v>19</v>
      </c>
      <c r="E430" s="92" t="s">
        <v>481</v>
      </c>
      <c r="F430" s="92" t="s">
        <v>481</v>
      </c>
      <c r="G430" s="92" t="s">
        <v>481</v>
      </c>
      <c r="H430" s="92" t="s">
        <v>481</v>
      </c>
      <c r="I430" s="71">
        <v>0.9</v>
      </c>
      <c r="J430" s="72">
        <v>0.829268292682927</v>
      </c>
      <c r="K430" s="72">
        <v>0.813953488372093</v>
      </c>
      <c r="L430" s="73">
        <v>0.837209302325581</v>
      </c>
      <c r="M430" s="72">
        <v>0.778975741239892</v>
      </c>
      <c r="N430" s="74">
        <v>0.9</v>
      </c>
      <c r="O430" s="72">
        <v>0.940975609756098</v>
      </c>
      <c r="P430" s="72">
        <v>0.943941109852775</v>
      </c>
      <c r="Q430" s="72">
        <v>0.964132762312634</v>
      </c>
      <c r="R430" s="72">
        <v>0.914405010438413</v>
      </c>
      <c r="S430" s="74">
        <v>0.9</v>
      </c>
      <c r="T430" s="72">
        <v>0.848780487804878</v>
      </c>
      <c r="U430" s="72">
        <v>0.844280860702152</v>
      </c>
      <c r="V430" s="72">
        <v>0.867237687366167</v>
      </c>
      <c r="W430" s="72">
        <v>0.81758872651357</v>
      </c>
      <c r="X430" s="74">
        <v>0.92</v>
      </c>
      <c r="Y430" s="74">
        <v>0.815429949102598</v>
      </c>
      <c r="Z430" s="74">
        <v>0.824442562799887</v>
      </c>
      <c r="AA430" s="74">
        <v>0.855803694513372</v>
      </c>
      <c r="AB430" s="74">
        <v>0.849763597182464</v>
      </c>
      <c r="AC430" s="74">
        <v>0.92</v>
      </c>
      <c r="AD430" s="72">
        <v>0.977077363896848</v>
      </c>
      <c r="AE430" s="72">
        <v>0.986111111111111</v>
      </c>
      <c r="AF430" s="72">
        <v>0.945638432364096</v>
      </c>
      <c r="AG430" s="72">
        <v>0.959497206703911</v>
      </c>
      <c r="AH430" s="74">
        <v>0.92</v>
      </c>
      <c r="AI430" s="72">
        <v>0.859661251296232</v>
      </c>
      <c r="AJ430" s="72">
        <v>0.86055701919458</v>
      </c>
      <c r="AK430" s="72">
        <v>0.890849554302347</v>
      </c>
      <c r="AL430" s="72">
        <v>0.884280604133545</v>
      </c>
      <c r="AM430" s="71">
        <v>0.99</v>
      </c>
      <c r="AN430" s="76">
        <v>1</v>
      </c>
      <c r="AO430" s="76">
        <v>1</v>
      </c>
      <c r="AP430" s="76">
        <v>1</v>
      </c>
      <c r="AQ430" s="76">
        <v>1</v>
      </c>
      <c r="AR430" s="96">
        <v>0.05</v>
      </c>
      <c r="AS430" s="80">
        <v>0</v>
      </c>
      <c r="AT430" s="80">
        <v>0</v>
      </c>
      <c r="AU430" s="80">
        <v>0.0434782608695652</v>
      </c>
      <c r="AV430" s="80">
        <v>0.0165745856353591</v>
      </c>
      <c r="AW430" s="36"/>
      <c r="AX430" s="34"/>
    </row>
    <row r="431" ht="14.5" spans="1:50">
      <c r="A431" s="32"/>
      <c r="B431" s="36"/>
      <c r="C431" s="91" t="s">
        <v>401</v>
      </c>
      <c r="D431" s="69" t="s">
        <v>19</v>
      </c>
      <c r="E431" s="92" t="s">
        <v>482</v>
      </c>
      <c r="F431" s="92" t="s">
        <v>482</v>
      </c>
      <c r="G431" s="92" t="s">
        <v>482</v>
      </c>
      <c r="H431" s="92" t="s">
        <v>482</v>
      </c>
      <c r="I431" s="71">
        <v>0.9</v>
      </c>
      <c r="J431" s="72">
        <v>0.935483870967742</v>
      </c>
      <c r="K431" s="72">
        <v>0.96875</v>
      </c>
      <c r="L431" s="73">
        <v>0.983870967741935</v>
      </c>
      <c r="M431" s="72">
        <v>0.929328621908127</v>
      </c>
      <c r="N431" s="74">
        <v>0.9</v>
      </c>
      <c r="O431" s="72">
        <v>0.976987447698745</v>
      </c>
      <c r="P431" s="72">
        <v>0.981489272191838</v>
      </c>
      <c r="Q431" s="72">
        <v>0.986267166042447</v>
      </c>
      <c r="R431" s="72">
        <v>0.966431988797697</v>
      </c>
      <c r="S431" s="74">
        <v>0.9</v>
      </c>
      <c r="T431" s="72">
        <v>0.890167364016736</v>
      </c>
      <c r="U431" s="72">
        <v>0.925115692048801</v>
      </c>
      <c r="V431" s="72">
        <v>0.906783187682064</v>
      </c>
      <c r="W431" s="72">
        <v>0.893539227507877</v>
      </c>
      <c r="X431" s="74">
        <v>0.92</v>
      </c>
      <c r="Y431" s="74">
        <v>0.908183632734531</v>
      </c>
      <c r="Z431" s="74">
        <v>0.914785696170429</v>
      </c>
      <c r="AA431" s="74">
        <v>0.916201117318436</v>
      </c>
      <c r="AB431" s="74">
        <v>0.921804461726035</v>
      </c>
      <c r="AC431" s="74">
        <v>0.92</v>
      </c>
      <c r="AD431" s="72">
        <v>0.970802919708029</v>
      </c>
      <c r="AE431" s="72">
        <v>0.982758620689655</v>
      </c>
      <c r="AF431" s="72">
        <v>0.994318181818182</v>
      </c>
      <c r="AG431" s="72">
        <v>0.97913769123783</v>
      </c>
      <c r="AH431" s="74">
        <v>0.92</v>
      </c>
      <c r="AI431" s="72">
        <v>0.928376998979245</v>
      </c>
      <c r="AJ431" s="72">
        <v>0.93864642631246</v>
      </c>
      <c r="AK431" s="72">
        <v>0.942350714162795</v>
      </c>
      <c r="AL431" s="72">
        <v>0.946144932703449</v>
      </c>
      <c r="AM431" s="71">
        <v>0.99</v>
      </c>
      <c r="AN431" s="76">
        <v>1</v>
      </c>
      <c r="AO431" s="76">
        <v>1</v>
      </c>
      <c r="AP431" s="76">
        <v>1</v>
      </c>
      <c r="AQ431" s="76">
        <v>1</v>
      </c>
      <c r="AR431" s="96">
        <v>0.05</v>
      </c>
      <c r="AS431" s="80">
        <v>0.15</v>
      </c>
      <c r="AT431" s="80">
        <v>0.15</v>
      </c>
      <c r="AU431" s="80">
        <v>0.0526315789473684</v>
      </c>
      <c r="AV431" s="80">
        <v>0.0760869565217391</v>
      </c>
      <c r="AW431" s="36"/>
      <c r="AX431" s="34"/>
    </row>
    <row r="432" ht="14.5" spans="1:50">
      <c r="A432" s="32"/>
      <c r="B432" s="36"/>
      <c r="C432" s="91" t="s">
        <v>401</v>
      </c>
      <c r="D432" s="69" t="s">
        <v>19</v>
      </c>
      <c r="E432" s="92" t="s">
        <v>483</v>
      </c>
      <c r="F432" s="92" t="s">
        <v>483</v>
      </c>
      <c r="G432" s="92" t="s">
        <v>483</v>
      </c>
      <c r="H432" s="92" t="s">
        <v>483</v>
      </c>
      <c r="I432" s="71">
        <v>0.9</v>
      </c>
      <c r="J432" s="72">
        <v>0.926829268292683</v>
      </c>
      <c r="K432" s="72">
        <v>0.954545454545455</v>
      </c>
      <c r="L432" s="73">
        <v>0.978723404255319</v>
      </c>
      <c r="M432" s="72">
        <v>0.955445544554455</v>
      </c>
      <c r="N432" s="74">
        <v>0.9</v>
      </c>
      <c r="O432" s="72">
        <v>0.965543071161049</v>
      </c>
      <c r="P432" s="72">
        <v>0.966987902399016</v>
      </c>
      <c r="Q432" s="72">
        <v>0.948777403035413</v>
      </c>
      <c r="R432" s="72">
        <v>0.963355575888772</v>
      </c>
      <c r="S432" s="74">
        <v>0.9</v>
      </c>
      <c r="T432" s="72">
        <v>0.854307116104869</v>
      </c>
      <c r="U432" s="72">
        <v>0.912241131843346</v>
      </c>
      <c r="V432" s="72">
        <v>0.941399662731872</v>
      </c>
      <c r="W432" s="72">
        <v>0.895400477582629</v>
      </c>
      <c r="X432" s="74">
        <v>0.92</v>
      </c>
      <c r="Y432" s="74">
        <v>0</v>
      </c>
      <c r="Z432" s="74">
        <v>0</v>
      </c>
      <c r="AA432" s="74">
        <v>0</v>
      </c>
      <c r="AB432" s="74">
        <v>0</v>
      </c>
      <c r="AC432" s="74">
        <v>0.92</v>
      </c>
      <c r="AD432" s="72">
        <v>0.940298507462687</v>
      </c>
      <c r="AE432" s="72">
        <v>0.978632478632479</v>
      </c>
      <c r="AF432" s="72">
        <v>0.982558139534884</v>
      </c>
      <c r="AG432" s="72">
        <v>0.979456593770709</v>
      </c>
      <c r="AH432" s="74">
        <v>0.92</v>
      </c>
      <c r="AI432" s="72">
        <v>0.949831523773867</v>
      </c>
      <c r="AJ432" s="72">
        <v>0.973549313102317</v>
      </c>
      <c r="AK432" s="72">
        <v>0.985033726812816</v>
      </c>
      <c r="AL432" s="72">
        <v>0.973890922074444</v>
      </c>
      <c r="AM432" s="71">
        <v>0.99</v>
      </c>
      <c r="AN432" s="76">
        <v>1</v>
      </c>
      <c r="AO432" s="76">
        <v>1</v>
      </c>
      <c r="AP432" s="76">
        <v>1</v>
      </c>
      <c r="AQ432" s="76">
        <v>1</v>
      </c>
      <c r="AR432" s="96">
        <v>0.05</v>
      </c>
      <c r="AS432" s="80">
        <v>0.2</v>
      </c>
      <c r="AT432" s="80">
        <v>0</v>
      </c>
      <c r="AU432" s="80">
        <v>0</v>
      </c>
      <c r="AV432" s="80">
        <v>0.0510204081632653</v>
      </c>
      <c r="AW432" s="36"/>
      <c r="AX432" s="34"/>
    </row>
    <row r="433" ht="14.5" spans="1:50">
      <c r="A433" s="32"/>
      <c r="B433" s="36"/>
      <c r="C433" s="91" t="s">
        <v>401</v>
      </c>
      <c r="D433" s="69" t="s">
        <v>19</v>
      </c>
      <c r="E433" s="92" t="s">
        <v>484</v>
      </c>
      <c r="F433" s="92" t="s">
        <v>484</v>
      </c>
      <c r="G433" s="92" t="s">
        <v>484</v>
      </c>
      <c r="H433" s="92" t="s">
        <v>484</v>
      </c>
      <c r="I433" s="71">
        <v>0.9</v>
      </c>
      <c r="J433" s="72">
        <v>0.879310344827586</v>
      </c>
      <c r="K433" s="72">
        <v>0.879310344827586</v>
      </c>
      <c r="L433" s="73">
        <v>0.913793103448276</v>
      </c>
      <c r="M433" s="72">
        <v>0.897838899803536</v>
      </c>
      <c r="N433" s="74">
        <v>0.9</v>
      </c>
      <c r="O433" s="72">
        <v>0.961120929058319</v>
      </c>
      <c r="P433" s="72">
        <v>0.967237751728284</v>
      </c>
      <c r="Q433" s="72">
        <v>0.967130214917826</v>
      </c>
      <c r="R433" s="72">
        <v>0.928326872471068</v>
      </c>
      <c r="S433" s="74">
        <v>0.9</v>
      </c>
      <c r="T433" s="72">
        <v>0.873516788689725</v>
      </c>
      <c r="U433" s="72">
        <v>0.862037871956718</v>
      </c>
      <c r="V433" s="72">
        <v>0.882427307206068</v>
      </c>
      <c r="W433" s="72">
        <v>0.856512266206389</v>
      </c>
      <c r="X433" s="74">
        <v>0.92</v>
      </c>
      <c r="Y433" s="74">
        <v>0.921258657031015</v>
      </c>
      <c r="Z433" s="74">
        <v>0.938982070561018</v>
      </c>
      <c r="AA433" s="74">
        <v>0.959813628421666</v>
      </c>
      <c r="AB433" s="74">
        <v>0.941534463894967</v>
      </c>
      <c r="AC433" s="74">
        <v>0.92</v>
      </c>
      <c r="AD433" s="72">
        <v>0.990384615384615</v>
      </c>
      <c r="AE433" s="72">
        <v>0.981254506128335</v>
      </c>
      <c r="AF433" s="72">
        <v>0.993892282065519</v>
      </c>
      <c r="AG433" s="72">
        <v>0.990299823633157</v>
      </c>
      <c r="AH433" s="74">
        <v>0.92</v>
      </c>
      <c r="AI433" s="72">
        <v>0.934602336977007</v>
      </c>
      <c r="AJ433" s="72">
        <v>0.948897991027892</v>
      </c>
      <c r="AK433" s="72">
        <v>0.966689867753803</v>
      </c>
      <c r="AL433" s="72">
        <v>0.953817996084107</v>
      </c>
      <c r="AM433" s="71">
        <v>0.99</v>
      </c>
      <c r="AN433" s="76">
        <v>1</v>
      </c>
      <c r="AO433" s="76">
        <v>1</v>
      </c>
      <c r="AP433" s="76">
        <v>1</v>
      </c>
      <c r="AQ433" s="76">
        <v>1</v>
      </c>
      <c r="AR433" s="96">
        <v>0.05</v>
      </c>
      <c r="AS433" s="80">
        <v>0.0487804878048781</v>
      </c>
      <c r="AT433" s="80">
        <v>0.0740740740740741</v>
      </c>
      <c r="AU433" s="80">
        <v>0.0338983050847458</v>
      </c>
      <c r="AV433" s="80">
        <v>0.0468431771894094</v>
      </c>
      <c r="AW433" s="36"/>
      <c r="AX433" s="34"/>
    </row>
    <row r="434" ht="14.5" spans="1:50">
      <c r="A434" s="32"/>
      <c r="B434" s="36"/>
      <c r="C434" s="91" t="s">
        <v>401</v>
      </c>
      <c r="D434" s="69" t="s">
        <v>19</v>
      </c>
      <c r="E434" s="92" t="s">
        <v>485</v>
      </c>
      <c r="F434" s="92" t="s">
        <v>485</v>
      </c>
      <c r="G434" s="92" t="s">
        <v>485</v>
      </c>
      <c r="H434" s="92" t="s">
        <v>485</v>
      </c>
      <c r="I434" s="71">
        <v>0.9</v>
      </c>
      <c r="J434" s="72">
        <v>0.763157894736842</v>
      </c>
      <c r="K434" s="72">
        <v>0.871794871794872</v>
      </c>
      <c r="L434" s="73">
        <v>0.853658536585366</v>
      </c>
      <c r="M434" s="72">
        <v>0.805714285714286</v>
      </c>
      <c r="N434" s="74">
        <v>0.9</v>
      </c>
      <c r="O434" s="72">
        <v>0.928865979381443</v>
      </c>
      <c r="P434" s="72">
        <v>0.974400871459695</v>
      </c>
      <c r="Q434" s="72">
        <v>0.91653290529695</v>
      </c>
      <c r="R434" s="72">
        <v>0.909683135292891</v>
      </c>
      <c r="S434" s="74">
        <v>0.9</v>
      </c>
      <c r="T434" s="72">
        <v>0.797938144329897</v>
      </c>
      <c r="U434" s="72">
        <v>0.854575163398693</v>
      </c>
      <c r="V434" s="72">
        <v>0.87800963081862</v>
      </c>
      <c r="W434" s="72">
        <v>0.79857202418178</v>
      </c>
      <c r="X434" s="74">
        <v>0.92</v>
      </c>
      <c r="Y434" s="74">
        <v>0.849825007954184</v>
      </c>
      <c r="Z434" s="74">
        <v>0.885970149253731</v>
      </c>
      <c r="AA434" s="74">
        <v>0.916642630516296</v>
      </c>
      <c r="AB434" s="74">
        <v>0.892804600775712</v>
      </c>
      <c r="AC434" s="74">
        <v>0.92</v>
      </c>
      <c r="AD434" s="72">
        <v>0.998158687646468</v>
      </c>
      <c r="AE434" s="72">
        <v>0.979456344732557</v>
      </c>
      <c r="AF434" s="72">
        <v>0.980938833570413</v>
      </c>
      <c r="AG434" s="72">
        <v>0.987332659113115</v>
      </c>
      <c r="AH434" s="74">
        <v>0.92</v>
      </c>
      <c r="AI434" s="72">
        <v>0.882468553459119</v>
      </c>
      <c r="AJ434" s="72">
        <v>0.910298363811357</v>
      </c>
      <c r="AK434" s="72">
        <v>0.936401047512159</v>
      </c>
      <c r="AL434" s="72">
        <v>0.917688693635975</v>
      </c>
      <c r="AM434" s="71">
        <v>0.99</v>
      </c>
      <c r="AN434" s="76">
        <v>1</v>
      </c>
      <c r="AO434" s="76">
        <v>1</v>
      </c>
      <c r="AP434" s="76">
        <v>1</v>
      </c>
      <c r="AQ434" s="76">
        <v>1</v>
      </c>
      <c r="AR434" s="96">
        <v>0.05</v>
      </c>
      <c r="AS434" s="80">
        <v>0</v>
      </c>
      <c r="AT434" s="80">
        <v>0.0454545454545455</v>
      </c>
      <c r="AU434" s="80">
        <v>0.032258064516129</v>
      </c>
      <c r="AV434" s="80">
        <v>0.0247524752475248</v>
      </c>
      <c r="AW434" s="36"/>
      <c r="AX434" s="34"/>
    </row>
    <row r="435" ht="14.5" spans="1:50">
      <c r="A435" s="32"/>
      <c r="B435" s="36"/>
      <c r="C435" s="91" t="s">
        <v>401</v>
      </c>
      <c r="D435" s="69" t="s">
        <v>19</v>
      </c>
      <c r="E435" s="92" t="s">
        <v>486</v>
      </c>
      <c r="F435" s="92" t="s">
        <v>486</v>
      </c>
      <c r="G435" s="92" t="s">
        <v>486</v>
      </c>
      <c r="H435" s="92" t="s">
        <v>486</v>
      </c>
      <c r="I435" s="71">
        <v>0.9</v>
      </c>
      <c r="J435" s="72">
        <v>0.69811320754717</v>
      </c>
      <c r="K435" s="72">
        <v>0.851851851851852</v>
      </c>
      <c r="L435" s="73">
        <v>0.88135593220339</v>
      </c>
      <c r="M435" s="72">
        <v>0.847058823529412</v>
      </c>
      <c r="N435" s="74">
        <v>0.9</v>
      </c>
      <c r="O435" s="72">
        <v>0.865822784810127</v>
      </c>
      <c r="P435" s="72">
        <v>0.95129442738043</v>
      </c>
      <c r="Q435" s="72">
        <v>0.92375</v>
      </c>
      <c r="R435" s="72">
        <v>0.851770177619181</v>
      </c>
      <c r="S435" s="74">
        <v>0.9</v>
      </c>
      <c r="T435" s="72">
        <v>0.83254972875226</v>
      </c>
      <c r="U435" s="72">
        <v>0.940324703817464</v>
      </c>
      <c r="V435" s="72">
        <v>0.930416666666667</v>
      </c>
      <c r="W435" s="72">
        <v>0.883645403151437</v>
      </c>
      <c r="X435" s="74">
        <v>0.92</v>
      </c>
      <c r="Y435" s="74">
        <v>0.847390396659708</v>
      </c>
      <c r="Z435" s="74">
        <v>0.89202657807309</v>
      </c>
      <c r="AA435" s="74">
        <v>0.950551782682513</v>
      </c>
      <c r="AB435" s="74">
        <v>0.911854176726219</v>
      </c>
      <c r="AC435" s="74">
        <v>0.92</v>
      </c>
      <c r="AD435" s="72">
        <v>0.994718309859155</v>
      </c>
      <c r="AE435" s="72">
        <v>0.993440667859273</v>
      </c>
      <c r="AF435" s="72">
        <v>0.986427320490368</v>
      </c>
      <c r="AG435" s="72">
        <v>0.992142572453453</v>
      </c>
      <c r="AH435" s="74">
        <v>0.92</v>
      </c>
      <c r="AI435" s="72">
        <v>0.873677248677249</v>
      </c>
      <c r="AJ435" s="72">
        <v>0.91830985915493</v>
      </c>
      <c r="AK435" s="72">
        <v>0.957473684210526</v>
      </c>
      <c r="AL435" s="72">
        <v>0.931676925160649</v>
      </c>
      <c r="AM435" s="71">
        <v>0.99</v>
      </c>
      <c r="AN435" s="76">
        <v>1</v>
      </c>
      <c r="AO435" s="76">
        <v>1</v>
      </c>
      <c r="AP435" s="76">
        <v>1</v>
      </c>
      <c r="AQ435" s="76">
        <v>1</v>
      </c>
      <c r="AR435" s="96">
        <v>0.05</v>
      </c>
      <c r="AS435" s="80">
        <v>0.263157894736842</v>
      </c>
      <c r="AT435" s="80">
        <v>0.153846153846154</v>
      </c>
      <c r="AU435" s="80">
        <v>0.0416666666666667</v>
      </c>
      <c r="AV435" s="80">
        <v>0.0588235294117647</v>
      </c>
      <c r="AW435" s="36"/>
      <c r="AX435" s="34"/>
    </row>
    <row r="436" ht="14.5" spans="1:50">
      <c r="A436" s="32"/>
      <c r="B436" s="36"/>
      <c r="C436" s="91" t="s">
        <v>401</v>
      </c>
      <c r="D436" s="69" t="s">
        <v>19</v>
      </c>
      <c r="E436" s="92" t="s">
        <v>487</v>
      </c>
      <c r="F436" s="92" t="s">
        <v>487</v>
      </c>
      <c r="G436" s="92" t="s">
        <v>487</v>
      </c>
      <c r="H436" s="92" t="s">
        <v>487</v>
      </c>
      <c r="I436" s="71">
        <v>0.9</v>
      </c>
      <c r="J436" s="72">
        <v>0.538461538461538</v>
      </c>
      <c r="K436" s="72">
        <v>0.630434782608696</v>
      </c>
      <c r="L436" s="73">
        <v>0.658536585365854</v>
      </c>
      <c r="M436" s="72">
        <v>0.590529247910863</v>
      </c>
      <c r="N436" s="74">
        <v>0.9</v>
      </c>
      <c r="O436" s="72">
        <v>0.701293759512938</v>
      </c>
      <c r="P436" s="72">
        <v>0.80441785549931</v>
      </c>
      <c r="Q436" s="72">
        <v>0.641457858769932</v>
      </c>
      <c r="R436" s="72">
        <v>0.672860883520568</v>
      </c>
      <c r="S436" s="74">
        <v>0.9</v>
      </c>
      <c r="T436" s="72">
        <v>0.666286149162861</v>
      </c>
      <c r="U436" s="72">
        <v>0.798895536125173</v>
      </c>
      <c r="V436" s="72">
        <v>0.765831435079727</v>
      </c>
      <c r="W436" s="72">
        <v>0.705338288706816</v>
      </c>
      <c r="X436" s="74">
        <v>0.92</v>
      </c>
      <c r="Y436" s="74">
        <v>0.739320920043812</v>
      </c>
      <c r="Z436" s="74">
        <v>0.776775648252537</v>
      </c>
      <c r="AA436" s="74">
        <v>0.824090121317158</v>
      </c>
      <c r="AB436" s="74">
        <v>0.725629791894852</v>
      </c>
      <c r="AC436" s="74">
        <v>0.92</v>
      </c>
      <c r="AD436" s="72">
        <v>0.942961165048544</v>
      </c>
      <c r="AE436" s="72">
        <v>0.908117752007137</v>
      </c>
      <c r="AF436" s="72">
        <v>0.85521472392638</v>
      </c>
      <c r="AG436" s="72">
        <v>0.898604161179879</v>
      </c>
      <c r="AH436" s="74">
        <v>0.92</v>
      </c>
      <c r="AI436" s="72">
        <v>0.810986964618249</v>
      </c>
      <c r="AJ436" s="72">
        <v>0.836389034398463</v>
      </c>
      <c r="AK436" s="72">
        <v>0.869987634693517</v>
      </c>
      <c r="AL436" s="72">
        <v>0.80439298934804</v>
      </c>
      <c r="AM436" s="71">
        <v>0.99</v>
      </c>
      <c r="AN436" s="76">
        <v>1</v>
      </c>
      <c r="AO436" s="76">
        <v>1</v>
      </c>
      <c r="AP436" s="76">
        <v>1</v>
      </c>
      <c r="AQ436" s="76">
        <v>0.998946259220232</v>
      </c>
      <c r="AR436" s="96">
        <v>0.05</v>
      </c>
      <c r="AS436" s="80">
        <v>0.0714285714285714</v>
      </c>
      <c r="AT436" s="80">
        <v>0.0666666666666667</v>
      </c>
      <c r="AU436" s="80">
        <v>0</v>
      </c>
      <c r="AV436" s="80">
        <v>0.0359281437125748</v>
      </c>
      <c r="AW436" s="36"/>
      <c r="AX436" s="34"/>
    </row>
    <row r="437" ht="14.5" spans="1:50">
      <c r="A437" s="32"/>
      <c r="B437" s="36"/>
      <c r="C437" s="91" t="s">
        <v>401</v>
      </c>
      <c r="D437" s="69" t="s">
        <v>19</v>
      </c>
      <c r="E437" s="92" t="s">
        <v>488</v>
      </c>
      <c r="F437" s="92" t="s">
        <v>488</v>
      </c>
      <c r="G437" s="92" t="s">
        <v>488</v>
      </c>
      <c r="H437" s="92" t="s">
        <v>488</v>
      </c>
      <c r="I437" s="71">
        <v>0.9</v>
      </c>
      <c r="J437" s="72">
        <v>0.875</v>
      </c>
      <c r="K437" s="72">
        <v>0.709090909090909</v>
      </c>
      <c r="L437" s="73">
        <v>0.8</v>
      </c>
      <c r="M437" s="72">
        <v>0.798245614035088</v>
      </c>
      <c r="N437" s="74">
        <v>0.9</v>
      </c>
      <c r="O437" s="72">
        <v>0.798716012084592</v>
      </c>
      <c r="P437" s="72">
        <v>0.874256584536958</v>
      </c>
      <c r="Q437" s="72">
        <v>0.908507909362976</v>
      </c>
      <c r="R437" s="72">
        <v>0.844388377960446</v>
      </c>
      <c r="S437" s="74">
        <v>0.9</v>
      </c>
      <c r="T437" s="72">
        <v>0.816465256797583</v>
      </c>
      <c r="U437" s="72">
        <v>0.869158878504673</v>
      </c>
      <c r="V437" s="72">
        <v>0.848653270628474</v>
      </c>
      <c r="W437" s="72">
        <v>0.830227069260194</v>
      </c>
      <c r="X437" s="74">
        <v>0.92</v>
      </c>
      <c r="Y437" s="74">
        <v>0.880449141347424</v>
      </c>
      <c r="Z437" s="74">
        <v>0.916210184621627</v>
      </c>
      <c r="AA437" s="74">
        <v>0.902983517629877</v>
      </c>
      <c r="AB437" s="74">
        <v>0.892116688618957</v>
      </c>
      <c r="AC437" s="74">
        <v>0.92</v>
      </c>
      <c r="AD437" s="72">
        <v>0.99773413897281</v>
      </c>
      <c r="AE437" s="72">
        <v>0.994614607876136</v>
      </c>
      <c r="AF437" s="72">
        <v>0.994334277620397</v>
      </c>
      <c r="AG437" s="72">
        <v>0.9950697172791</v>
      </c>
      <c r="AH437" s="74">
        <v>0.92</v>
      </c>
      <c r="AI437" s="72">
        <v>0.897774687065369</v>
      </c>
      <c r="AJ437" s="72">
        <v>0.934394729618446</v>
      </c>
      <c r="AK437" s="72">
        <v>0.926538623300154</v>
      </c>
      <c r="AL437" s="72">
        <v>0.913565188223276</v>
      </c>
      <c r="AM437" s="71">
        <v>0.99</v>
      </c>
      <c r="AN437" s="76">
        <v>1</v>
      </c>
      <c r="AO437" s="76">
        <v>1</v>
      </c>
      <c r="AP437" s="76">
        <v>1</v>
      </c>
      <c r="AQ437" s="76">
        <v>1</v>
      </c>
      <c r="AR437" s="96">
        <v>0.05</v>
      </c>
      <c r="AS437" s="80">
        <v>0</v>
      </c>
      <c r="AT437" s="80">
        <v>0</v>
      </c>
      <c r="AU437" s="80">
        <v>0.0434782608695652</v>
      </c>
      <c r="AV437" s="80">
        <v>0.047808764940239</v>
      </c>
      <c r="AW437" s="36"/>
      <c r="AX437" s="34"/>
    </row>
    <row r="438" ht="14.5" spans="1:50">
      <c r="A438" s="32"/>
      <c r="B438" s="36"/>
      <c r="C438" s="91" t="s">
        <v>401</v>
      </c>
      <c r="D438" s="69" t="s">
        <v>19</v>
      </c>
      <c r="E438" s="92" t="s">
        <v>489</v>
      </c>
      <c r="F438" s="92" t="s">
        <v>489</v>
      </c>
      <c r="G438" s="92" t="s">
        <v>489</v>
      </c>
      <c r="H438" s="92" t="s">
        <v>489</v>
      </c>
      <c r="I438" s="71">
        <v>0.9</v>
      </c>
      <c r="J438" s="72">
        <v>0.851851851851852</v>
      </c>
      <c r="K438" s="72">
        <v>0.888888888888889</v>
      </c>
      <c r="L438" s="73">
        <v>0.862068965517241</v>
      </c>
      <c r="M438" s="72">
        <v>0.929577464788732</v>
      </c>
      <c r="N438" s="74">
        <v>0.9</v>
      </c>
      <c r="O438" s="72">
        <v>0.978049658150414</v>
      </c>
      <c r="P438" s="72">
        <v>0.977223893425011</v>
      </c>
      <c r="Q438" s="72">
        <v>0.985488689714042</v>
      </c>
      <c r="R438" s="72">
        <v>0.980691137829445</v>
      </c>
      <c r="S438" s="74">
        <v>0.9</v>
      </c>
      <c r="T438" s="72">
        <v>0.887729399064412</v>
      </c>
      <c r="U438" s="72">
        <v>0.912333476579287</v>
      </c>
      <c r="V438" s="72">
        <v>0.917200170721297</v>
      </c>
      <c r="W438" s="72">
        <v>0.905605541842503</v>
      </c>
      <c r="X438" s="74">
        <v>0.92</v>
      </c>
      <c r="Y438" s="74">
        <v>0.890909090909091</v>
      </c>
      <c r="Z438" s="74">
        <v>0.936635706914345</v>
      </c>
      <c r="AA438" s="74">
        <v>0.937592241197554</v>
      </c>
      <c r="AB438" s="74">
        <v>0.930127941567708</v>
      </c>
      <c r="AC438" s="74">
        <v>0.92</v>
      </c>
      <c r="AD438" s="72">
        <v>0.990228013029316</v>
      </c>
      <c r="AE438" s="72">
        <v>0.979477611940298</v>
      </c>
      <c r="AF438" s="72">
        <v>0.911447084233261</v>
      </c>
      <c r="AG438" s="72">
        <v>0.962161068393363</v>
      </c>
      <c r="AH438" s="74">
        <v>0.92</v>
      </c>
      <c r="AI438" s="72">
        <v>0.915102040816327</v>
      </c>
      <c r="AJ438" s="72">
        <v>0.947932618683001</v>
      </c>
      <c r="AK438" s="72">
        <v>0.951260740949429</v>
      </c>
      <c r="AL438" s="72">
        <v>0.948288036537913</v>
      </c>
      <c r="AM438" s="71">
        <v>0.99</v>
      </c>
      <c r="AN438" s="76">
        <v>1</v>
      </c>
      <c r="AO438" s="76">
        <v>1</v>
      </c>
      <c r="AP438" s="76">
        <v>1</v>
      </c>
      <c r="AQ438" s="76">
        <v>1</v>
      </c>
      <c r="AR438" s="96">
        <v>0.05</v>
      </c>
      <c r="AS438" s="80">
        <v>0</v>
      </c>
      <c r="AT438" s="80">
        <v>0.166666666666667</v>
      </c>
      <c r="AU438" s="80">
        <v>0.0333333333333333</v>
      </c>
      <c r="AV438" s="80">
        <v>0.0359712230215827</v>
      </c>
      <c r="AW438" s="36"/>
      <c r="AX438" s="34"/>
    </row>
    <row r="439" ht="14.5" spans="1:50">
      <c r="A439" s="32"/>
      <c r="B439" s="36"/>
      <c r="C439" s="91" t="s">
        <v>401</v>
      </c>
      <c r="D439" s="69" t="s">
        <v>19</v>
      </c>
      <c r="E439" s="92" t="s">
        <v>490</v>
      </c>
      <c r="F439" s="92" t="s">
        <v>490</v>
      </c>
      <c r="G439" s="92" t="s">
        <v>490</v>
      </c>
      <c r="H439" s="92" t="s">
        <v>490</v>
      </c>
      <c r="I439" s="71">
        <v>0.9</v>
      </c>
      <c r="J439" s="72">
        <v>0.702127659574468</v>
      </c>
      <c r="K439" s="72">
        <v>0.75</v>
      </c>
      <c r="L439" s="73">
        <v>0.66</v>
      </c>
      <c r="M439" s="72">
        <v>0.739495798319328</v>
      </c>
      <c r="N439" s="74">
        <v>0.9</v>
      </c>
      <c r="O439" s="72">
        <v>0.968893601979498</v>
      </c>
      <c r="P439" s="72">
        <v>0.961091054953871</v>
      </c>
      <c r="Q439" s="72">
        <v>0.965880370682393</v>
      </c>
      <c r="R439" s="72">
        <v>0.962692588465824</v>
      </c>
      <c r="S439" s="74">
        <v>0.9</v>
      </c>
      <c r="T439" s="72">
        <v>0.809826793920113</v>
      </c>
      <c r="U439" s="72">
        <v>0.857200160449258</v>
      </c>
      <c r="V439" s="72">
        <v>0.862257792754844</v>
      </c>
      <c r="W439" s="72">
        <v>0.817343527874899</v>
      </c>
      <c r="X439" s="74">
        <v>0.92</v>
      </c>
      <c r="Y439" s="74">
        <v>0.897375172686008</v>
      </c>
      <c r="Z439" s="74">
        <v>0.922135259883604</v>
      </c>
      <c r="AA439" s="74">
        <v>0.900156924284033</v>
      </c>
      <c r="AB439" s="74">
        <v>0.915467220141678</v>
      </c>
      <c r="AC439" s="74">
        <v>0.92</v>
      </c>
      <c r="AD439" s="72">
        <v>0.996939556235654</v>
      </c>
      <c r="AE439" s="72">
        <v>0.997003745318352</v>
      </c>
      <c r="AF439" s="72">
        <v>0.994600848438103</v>
      </c>
      <c r="AG439" s="72">
        <v>0.995203280337318</v>
      </c>
      <c r="AH439" s="74">
        <v>0.92</v>
      </c>
      <c r="AI439" s="72">
        <v>0.901379921509052</v>
      </c>
      <c r="AJ439" s="72">
        <v>0.933315515167713</v>
      </c>
      <c r="AK439" s="72">
        <v>0.915775401069519</v>
      </c>
      <c r="AL439" s="72">
        <v>0.926805016974191</v>
      </c>
      <c r="AM439" s="71">
        <v>0.99</v>
      </c>
      <c r="AN439" s="76">
        <v>1</v>
      </c>
      <c r="AO439" s="76">
        <v>1</v>
      </c>
      <c r="AP439" s="76">
        <v>1</v>
      </c>
      <c r="AQ439" s="76">
        <v>1</v>
      </c>
      <c r="AR439" s="96">
        <v>0.05</v>
      </c>
      <c r="AS439" s="80">
        <v>0.0232558139534884</v>
      </c>
      <c r="AT439" s="80">
        <v>0.0555555555555556</v>
      </c>
      <c r="AU439" s="80">
        <v>0.075</v>
      </c>
      <c r="AV439" s="80">
        <v>0.0348027842227378</v>
      </c>
      <c r="AW439" s="36"/>
      <c r="AX439" s="34"/>
    </row>
    <row r="440" ht="14.5" spans="1:50">
      <c r="A440" s="32"/>
      <c r="B440" s="36"/>
      <c r="C440" s="91" t="s">
        <v>401</v>
      </c>
      <c r="D440" s="69" t="s">
        <v>19</v>
      </c>
      <c r="E440" s="92" t="s">
        <v>491</v>
      </c>
      <c r="F440" s="92" t="s">
        <v>491</v>
      </c>
      <c r="G440" s="92" t="s">
        <v>491</v>
      </c>
      <c r="H440" s="92" t="s">
        <v>491</v>
      </c>
      <c r="I440" s="71">
        <v>0.9</v>
      </c>
      <c r="J440" s="72">
        <v>0.581395348837209</v>
      </c>
      <c r="K440" s="72">
        <v>0.531914893617021</v>
      </c>
      <c r="L440" s="73">
        <v>0.529411764705882</v>
      </c>
      <c r="M440" s="72">
        <v>0.54176072234763</v>
      </c>
      <c r="N440" s="74">
        <v>0.9</v>
      </c>
      <c r="O440" s="72">
        <v>0.683952633728052</v>
      </c>
      <c r="P440" s="72">
        <v>0.748799231508165</v>
      </c>
      <c r="Q440" s="72">
        <v>0.644713261648746</v>
      </c>
      <c r="R440" s="72">
        <v>0.600069013112491</v>
      </c>
      <c r="S440" s="74">
        <v>0.9</v>
      </c>
      <c r="T440" s="72">
        <v>0.683544303797468</v>
      </c>
      <c r="U440" s="72">
        <v>0.748799231508165</v>
      </c>
      <c r="V440" s="72">
        <v>0.709229390681004</v>
      </c>
      <c r="W440" s="72">
        <v>0.68167701863354</v>
      </c>
      <c r="X440" s="74">
        <v>0.92</v>
      </c>
      <c r="Y440" s="74">
        <v>0.732938336624973</v>
      </c>
      <c r="Z440" s="74">
        <v>0.784855233853007</v>
      </c>
      <c r="AA440" s="74">
        <v>0.761774119798811</v>
      </c>
      <c r="AB440" s="74">
        <v>0.729613076235474</v>
      </c>
      <c r="AC440" s="74">
        <v>0.92</v>
      </c>
      <c r="AD440" s="72">
        <v>0.956471935853379</v>
      </c>
      <c r="AE440" s="72">
        <v>0.990627020038785</v>
      </c>
      <c r="AF440" s="72">
        <v>0.985101311084625</v>
      </c>
      <c r="AG440" s="72">
        <v>0.989993391862551</v>
      </c>
      <c r="AH440" s="74">
        <v>0.92</v>
      </c>
      <c r="AI440" s="72">
        <v>0.761157849707686</v>
      </c>
      <c r="AJ440" s="72">
        <v>0.814055859137826</v>
      </c>
      <c r="AK440" s="72">
        <v>0.817934371692122</v>
      </c>
      <c r="AL440" s="72">
        <v>0.780892393499375</v>
      </c>
      <c r="AM440" s="71">
        <v>0.99</v>
      </c>
      <c r="AN440" s="76">
        <v>1</v>
      </c>
      <c r="AO440" s="76">
        <v>1</v>
      </c>
      <c r="AP440" s="76">
        <v>1</v>
      </c>
      <c r="AQ440" s="76">
        <v>1</v>
      </c>
      <c r="AR440" s="96">
        <v>0.05</v>
      </c>
      <c r="AS440" s="80">
        <v>0</v>
      </c>
      <c r="AT440" s="80">
        <v>0</v>
      </c>
      <c r="AU440" s="80">
        <v>0.0294117647058824</v>
      </c>
      <c r="AV440" s="80">
        <v>0.0127388535031847</v>
      </c>
      <c r="AW440" s="36"/>
      <c r="AX440" s="34"/>
    </row>
    <row r="441" ht="14.5" spans="1:50">
      <c r="A441" s="32"/>
      <c r="B441" s="36"/>
      <c r="C441" s="91" t="s">
        <v>401</v>
      </c>
      <c r="D441" s="69" t="s">
        <v>19</v>
      </c>
      <c r="E441" s="92" t="s">
        <v>492</v>
      </c>
      <c r="F441" s="92" t="s">
        <v>492</v>
      </c>
      <c r="G441" s="92" t="s">
        <v>492</v>
      </c>
      <c r="H441" s="92" t="s">
        <v>492</v>
      </c>
      <c r="I441" s="71">
        <v>0.9</v>
      </c>
      <c r="J441" s="72">
        <v>0.931818181818182</v>
      </c>
      <c r="K441" s="72">
        <v>0.967391304347826</v>
      </c>
      <c r="L441" s="73">
        <v>0.959183673469388</v>
      </c>
      <c r="M441" s="72">
        <v>0.951040391676867</v>
      </c>
      <c r="N441" s="74">
        <v>0.9</v>
      </c>
      <c r="O441" s="72">
        <v>0.984231274638633</v>
      </c>
      <c r="P441" s="72">
        <v>0.979161306920504</v>
      </c>
      <c r="Q441" s="72">
        <v>0.976986434108527</v>
      </c>
      <c r="R441" s="72">
        <v>0.979933027409153</v>
      </c>
      <c r="S441" s="74">
        <v>0.9</v>
      </c>
      <c r="T441" s="72">
        <v>0.926193604905826</v>
      </c>
      <c r="U441" s="72">
        <v>0.93079495755081</v>
      </c>
      <c r="V441" s="72">
        <v>0.92562984496124</v>
      </c>
      <c r="W441" s="72">
        <v>0.924469800322461</v>
      </c>
      <c r="X441" s="74">
        <v>0.92</v>
      </c>
      <c r="Y441" s="74">
        <v>0.921485088253195</v>
      </c>
      <c r="Z441" s="74">
        <v>0.938469318948078</v>
      </c>
      <c r="AA441" s="74">
        <v>0.950980392156863</v>
      </c>
      <c r="AB441" s="74">
        <v>0.942131426054492</v>
      </c>
      <c r="AC441" s="74">
        <v>0.92</v>
      </c>
      <c r="AD441" s="72">
        <v>0.997658079625293</v>
      </c>
      <c r="AE441" s="72">
        <v>0.992211838006231</v>
      </c>
      <c r="AF441" s="72">
        <v>0.992687385740402</v>
      </c>
      <c r="AG441" s="72">
        <v>0.923550436854647</v>
      </c>
      <c r="AH441" s="74">
        <v>0.92</v>
      </c>
      <c r="AI441" s="72">
        <v>0.94809433564961</v>
      </c>
      <c r="AJ441" s="72">
        <v>0.955614374427364</v>
      </c>
      <c r="AK441" s="72">
        <v>0.966740811354729</v>
      </c>
      <c r="AL441" s="72">
        <v>0.961521425569853</v>
      </c>
      <c r="AM441" s="71">
        <v>0.99</v>
      </c>
      <c r="AN441" s="76">
        <v>1</v>
      </c>
      <c r="AO441" s="76">
        <v>1</v>
      </c>
      <c r="AP441" s="76">
        <v>1</v>
      </c>
      <c r="AQ441" s="76">
        <v>1</v>
      </c>
      <c r="AR441" s="96">
        <v>0.05</v>
      </c>
      <c r="AS441" s="80">
        <v>0</v>
      </c>
      <c r="AT441" s="80">
        <v>0</v>
      </c>
      <c r="AU441" s="80">
        <v>0.04</v>
      </c>
      <c r="AV441" s="80">
        <v>0.0315457413249211</v>
      </c>
      <c r="AW441" s="36"/>
      <c r="AX441" s="34"/>
    </row>
    <row r="442" ht="14.5" spans="1:50">
      <c r="A442" s="32"/>
      <c r="B442" s="36"/>
      <c r="C442" s="91" t="s">
        <v>401</v>
      </c>
      <c r="D442" s="69" t="s">
        <v>19</v>
      </c>
      <c r="E442" s="109" t="s">
        <v>493</v>
      </c>
      <c r="F442" s="109" t="s">
        <v>493</v>
      </c>
      <c r="G442" s="109" t="s">
        <v>493</v>
      </c>
      <c r="H442" s="109" t="s">
        <v>493</v>
      </c>
      <c r="I442" s="71">
        <v>0.9</v>
      </c>
      <c r="J442" s="72">
        <v>0.8125</v>
      </c>
      <c r="K442" s="72">
        <v>0.888888888888889</v>
      </c>
      <c r="L442" s="73">
        <v>0.894736842105263</v>
      </c>
      <c r="M442" s="72">
        <v>0.867088607594937</v>
      </c>
      <c r="N442" s="74">
        <v>0.9</v>
      </c>
      <c r="O442" s="72">
        <v>0.978924015529673</v>
      </c>
      <c r="P442" s="72">
        <v>0.986997635933806</v>
      </c>
      <c r="Q442" s="72">
        <v>0.981515711645102</v>
      </c>
      <c r="R442" s="72">
        <v>0.97902947381881</v>
      </c>
      <c r="S442" s="74">
        <v>0.9</v>
      </c>
      <c r="T442" s="72">
        <v>0.936217415418746</v>
      </c>
      <c r="U442" s="72">
        <v>0.968085106382979</v>
      </c>
      <c r="V442" s="72">
        <v>0.974121996303142</v>
      </c>
      <c r="W442" s="72">
        <v>0.951537625471517</v>
      </c>
      <c r="X442" s="74">
        <v>0.92</v>
      </c>
      <c r="Y442" s="74">
        <v>0</v>
      </c>
      <c r="Z442" s="74">
        <v>0</v>
      </c>
      <c r="AA442" s="74">
        <v>0</v>
      </c>
      <c r="AB442" s="74">
        <v>0</v>
      </c>
      <c r="AC442" s="74">
        <v>0.92</v>
      </c>
      <c r="AD442" s="72">
        <v>0.989583333333333</v>
      </c>
      <c r="AE442" s="72">
        <v>0.981981981981982</v>
      </c>
      <c r="AF442" s="72">
        <v>1</v>
      </c>
      <c r="AG442" s="72">
        <v>0.978120978120978</v>
      </c>
      <c r="AH442" s="74">
        <v>0.92</v>
      </c>
      <c r="AI442" s="72">
        <v>0.963394342762063</v>
      </c>
      <c r="AJ442" s="72">
        <v>0.99113475177305</v>
      </c>
      <c r="AK442" s="72">
        <v>0.993222427603204</v>
      </c>
      <c r="AL442" s="72">
        <v>0.986959856814114</v>
      </c>
      <c r="AM442" s="71">
        <v>0.99</v>
      </c>
      <c r="AN442" s="76">
        <v>1</v>
      </c>
      <c r="AO442" s="76">
        <v>1</v>
      </c>
      <c r="AP442" s="76">
        <v>1</v>
      </c>
      <c r="AQ442" s="76">
        <v>1</v>
      </c>
      <c r="AR442" s="96">
        <v>0.05</v>
      </c>
      <c r="AS442" s="80">
        <v>0</v>
      </c>
      <c r="AT442" s="80">
        <v>0</v>
      </c>
      <c r="AU442" s="80">
        <v>0.5</v>
      </c>
      <c r="AV442" s="80">
        <v>0.105263157894737</v>
      </c>
      <c r="AW442" s="36"/>
      <c r="AX442" s="34"/>
    </row>
    <row r="443" ht="14.5" spans="1:50">
      <c r="A443" s="32"/>
      <c r="B443" s="36"/>
      <c r="C443" s="91" t="s">
        <v>401</v>
      </c>
      <c r="D443" s="69" t="s">
        <v>19</v>
      </c>
      <c r="E443" s="92" t="s">
        <v>494</v>
      </c>
      <c r="F443" s="92" t="s">
        <v>494</v>
      </c>
      <c r="G443" s="92" t="s">
        <v>494</v>
      </c>
      <c r="H443" s="92" t="s">
        <v>494</v>
      </c>
      <c r="I443" s="71">
        <v>0.9</v>
      </c>
      <c r="J443" s="72">
        <v>0.875</v>
      </c>
      <c r="K443" s="72">
        <v>0.859649122807018</v>
      </c>
      <c r="L443" s="73">
        <v>0.785714285714286</v>
      </c>
      <c r="M443" s="72">
        <v>0.876447876447876</v>
      </c>
      <c r="N443" s="74">
        <v>0.9</v>
      </c>
      <c r="O443" s="72">
        <v>0.932215743440233</v>
      </c>
      <c r="P443" s="72">
        <v>0.957972270363951</v>
      </c>
      <c r="Q443" s="72">
        <v>0.913319238900634</v>
      </c>
      <c r="R443" s="72">
        <v>0.930707395498392</v>
      </c>
      <c r="S443" s="74">
        <v>0.9</v>
      </c>
      <c r="T443" s="72">
        <v>0.858236151603499</v>
      </c>
      <c r="U443" s="72">
        <v>0.875216637781629</v>
      </c>
      <c r="V443" s="72">
        <v>0.876532769556025</v>
      </c>
      <c r="W443" s="72">
        <v>0.852130225080386</v>
      </c>
      <c r="X443" s="74">
        <v>0.92</v>
      </c>
      <c r="Y443" s="74">
        <v>0.868971404182672</v>
      </c>
      <c r="Z443" s="74">
        <v>0.904577033101757</v>
      </c>
      <c r="AA443" s="74">
        <v>0.902145922746781</v>
      </c>
      <c r="AB443" s="74">
        <v>0.886949437092633</v>
      </c>
      <c r="AC443" s="74">
        <v>0.92</v>
      </c>
      <c r="AD443" s="72">
        <v>0.991489361702128</v>
      </c>
      <c r="AE443" s="72">
        <v>0.995176848874598</v>
      </c>
      <c r="AF443" s="72">
        <v>0.995951417004049</v>
      </c>
      <c r="AG443" s="72">
        <v>0.995445787353302</v>
      </c>
      <c r="AH443" s="74">
        <v>0.92</v>
      </c>
      <c r="AI443" s="72">
        <v>0.898681377825619</v>
      </c>
      <c r="AJ443" s="72">
        <v>0.920932168123179</v>
      </c>
      <c r="AK443" s="72">
        <v>0.928084138715179</v>
      </c>
      <c r="AL443" s="72">
        <v>0.916734157485368</v>
      </c>
      <c r="AM443" s="71">
        <v>0.99</v>
      </c>
      <c r="AN443" s="76">
        <v>1</v>
      </c>
      <c r="AO443" s="76">
        <v>1</v>
      </c>
      <c r="AP443" s="76">
        <v>1</v>
      </c>
      <c r="AQ443" s="76">
        <v>1</v>
      </c>
      <c r="AR443" s="96">
        <v>0.05</v>
      </c>
      <c r="AS443" s="80">
        <v>0</v>
      </c>
      <c r="AT443" s="80">
        <v>0</v>
      </c>
      <c r="AU443" s="80">
        <v>0</v>
      </c>
      <c r="AV443" s="80">
        <v>0.00930232558139535</v>
      </c>
      <c r="AW443" s="36"/>
      <c r="AX443" s="34"/>
    </row>
    <row r="444" ht="14.5" spans="1:50">
      <c r="A444" s="32"/>
      <c r="B444" s="36"/>
      <c r="C444" s="91" t="s">
        <v>401</v>
      </c>
      <c r="D444" s="69" t="s">
        <v>19</v>
      </c>
      <c r="E444" s="92" t="s">
        <v>495</v>
      </c>
      <c r="F444" s="92" t="s">
        <v>495</v>
      </c>
      <c r="G444" s="92" t="s">
        <v>495</v>
      </c>
      <c r="H444" s="92" t="s">
        <v>495</v>
      </c>
      <c r="I444" s="71">
        <v>0.9</v>
      </c>
      <c r="J444" s="72">
        <v>0.840909090909091</v>
      </c>
      <c r="K444" s="72">
        <v>0.784313725490196</v>
      </c>
      <c r="L444" s="73">
        <v>0.816326530612245</v>
      </c>
      <c r="M444" s="72">
        <v>0.849315068493151</v>
      </c>
      <c r="N444" s="74">
        <v>0.9</v>
      </c>
      <c r="O444" s="72">
        <v>0.916553595658073</v>
      </c>
      <c r="P444" s="72">
        <v>0.933168316831683</v>
      </c>
      <c r="Q444" s="72">
        <v>0.952156862745098</v>
      </c>
      <c r="R444" s="72">
        <v>0.946219059874347</v>
      </c>
      <c r="S444" s="74">
        <v>0.9</v>
      </c>
      <c r="T444" s="72">
        <v>0.832089552238806</v>
      </c>
      <c r="U444" s="72">
        <v>0.899752475247525</v>
      </c>
      <c r="V444" s="72">
        <v>0.903921568627451</v>
      </c>
      <c r="W444" s="72">
        <v>0.89293013397926</v>
      </c>
      <c r="X444" s="74">
        <v>0.92</v>
      </c>
      <c r="Y444" s="74">
        <v>0.911681487469685</v>
      </c>
      <c r="Z444" s="74">
        <v>0.948322932917317</v>
      </c>
      <c r="AA444" s="74">
        <v>0.944022391043583</v>
      </c>
      <c r="AB444" s="74">
        <v>0.948206616366802</v>
      </c>
      <c r="AC444" s="74">
        <v>0.92</v>
      </c>
      <c r="AD444" s="72">
        <v>0.996138996138996</v>
      </c>
      <c r="AE444" s="72">
        <v>0.994426751592357</v>
      </c>
      <c r="AF444" s="72">
        <v>0.992411467116358</v>
      </c>
      <c r="AG444" s="72">
        <v>0.994540491355778</v>
      </c>
      <c r="AH444" s="74">
        <v>0.92</v>
      </c>
      <c r="AI444" s="72">
        <v>0.924810126582278</v>
      </c>
      <c r="AJ444" s="72">
        <v>0.959105346744309</v>
      </c>
      <c r="AK444" s="72">
        <v>0.955929062996294</v>
      </c>
      <c r="AL444" s="72">
        <v>0.959459848136217</v>
      </c>
      <c r="AM444" s="71">
        <v>0.99</v>
      </c>
      <c r="AN444" s="76">
        <v>1</v>
      </c>
      <c r="AO444" s="76">
        <v>1</v>
      </c>
      <c r="AP444" s="76">
        <v>1</v>
      </c>
      <c r="AQ444" s="76">
        <v>1</v>
      </c>
      <c r="AR444" s="96">
        <v>0.05</v>
      </c>
      <c r="AS444" s="80">
        <v>0</v>
      </c>
      <c r="AT444" s="80">
        <v>0.0769230769230769</v>
      </c>
      <c r="AU444" s="80">
        <v>0.0666666666666667</v>
      </c>
      <c r="AV444" s="80">
        <v>0.0457516339869281</v>
      </c>
      <c r="AW444" s="36"/>
      <c r="AX444" s="34"/>
    </row>
    <row r="445" ht="14.5" spans="1:50">
      <c r="A445" s="32"/>
      <c r="B445" s="36"/>
      <c r="C445" s="91" t="s">
        <v>401</v>
      </c>
      <c r="D445" s="69" t="s">
        <v>19</v>
      </c>
      <c r="E445" s="92" t="s">
        <v>496</v>
      </c>
      <c r="F445" s="92" t="s">
        <v>496</v>
      </c>
      <c r="G445" s="92" t="s">
        <v>496</v>
      </c>
      <c r="H445" s="92" t="s">
        <v>496</v>
      </c>
      <c r="I445" s="71">
        <v>0.9</v>
      </c>
      <c r="J445" s="72">
        <v>0.875</v>
      </c>
      <c r="K445" s="72">
        <v>0.923076923076923</v>
      </c>
      <c r="L445" s="73">
        <v>0.941176470588235</v>
      </c>
      <c r="M445" s="72">
        <v>0.912854030501089</v>
      </c>
      <c r="N445" s="74">
        <v>0.9</v>
      </c>
      <c r="O445" s="72">
        <v>0.978933061501869</v>
      </c>
      <c r="P445" s="72">
        <v>0.976067746686303</v>
      </c>
      <c r="Q445" s="72">
        <v>0.977880841955048</v>
      </c>
      <c r="R445" s="72">
        <v>0.977539523896057</v>
      </c>
      <c r="S445" s="74">
        <v>0.9</v>
      </c>
      <c r="T445" s="72">
        <v>0.849133537206932</v>
      </c>
      <c r="U445" s="72">
        <v>0.912739322533137</v>
      </c>
      <c r="V445" s="72">
        <v>0.914377452729219</v>
      </c>
      <c r="W445" s="72">
        <v>0.898273668907868</v>
      </c>
      <c r="X445" s="74">
        <v>0.92</v>
      </c>
      <c r="Y445" s="74">
        <v>0.910633260998225</v>
      </c>
      <c r="Z445" s="74">
        <v>0.925841414717627</v>
      </c>
      <c r="AA445" s="74">
        <v>0.954166666666667</v>
      </c>
      <c r="AB445" s="74">
        <v>0.952237432416887</v>
      </c>
      <c r="AC445" s="74">
        <v>0.92</v>
      </c>
      <c r="AD445" s="72">
        <v>0.963235294117647</v>
      </c>
      <c r="AE445" s="72">
        <v>0.946564885496183</v>
      </c>
      <c r="AF445" s="72">
        <v>0.962025316455696</v>
      </c>
      <c r="AG445" s="72">
        <v>0.958649789029536</v>
      </c>
      <c r="AH445" s="74">
        <v>0.92</v>
      </c>
      <c r="AI445" s="72">
        <v>0.924304776156628</v>
      </c>
      <c r="AJ445" s="72">
        <v>0.94164057608015</v>
      </c>
      <c r="AK445" s="72">
        <v>0.964599516108494</v>
      </c>
      <c r="AL445" s="72">
        <v>0.964003882347977</v>
      </c>
      <c r="AM445" s="71">
        <v>0.99</v>
      </c>
      <c r="AN445" s="76">
        <v>1</v>
      </c>
      <c r="AO445" s="76">
        <v>1</v>
      </c>
      <c r="AP445" s="76">
        <v>1</v>
      </c>
      <c r="AQ445" s="76">
        <v>1</v>
      </c>
      <c r="AR445" s="96">
        <v>0.05</v>
      </c>
      <c r="AS445" s="80">
        <v>0</v>
      </c>
      <c r="AT445" s="80">
        <v>0</v>
      </c>
      <c r="AU445" s="80">
        <v>0</v>
      </c>
      <c r="AV445" s="80">
        <v>0.0210970464135021</v>
      </c>
      <c r="AW445" s="36"/>
      <c r="AX445" s="34"/>
    </row>
    <row r="446" ht="14.5" spans="1:50">
      <c r="A446" s="32"/>
      <c r="B446" s="36"/>
      <c r="C446" s="91" t="s">
        <v>401</v>
      </c>
      <c r="D446" s="69" t="s">
        <v>19</v>
      </c>
      <c r="E446" s="92" t="s">
        <v>497</v>
      </c>
      <c r="F446" s="92" t="s">
        <v>497</v>
      </c>
      <c r="G446" s="92" t="s">
        <v>497</v>
      </c>
      <c r="H446" s="92" t="s">
        <v>497</v>
      </c>
      <c r="I446" s="71">
        <v>0.9</v>
      </c>
      <c r="J446" s="72">
        <v>0.958904109589041</v>
      </c>
      <c r="K446" s="72">
        <v>0.932432432432432</v>
      </c>
      <c r="L446" s="73">
        <v>0.951219512195122</v>
      </c>
      <c r="M446" s="72">
        <v>0.940594059405941</v>
      </c>
      <c r="N446" s="74">
        <v>0.9</v>
      </c>
      <c r="O446" s="72">
        <v>0.97672131147541</v>
      </c>
      <c r="P446" s="72">
        <v>0.987005137503778</v>
      </c>
      <c r="Q446" s="72">
        <v>0.989799507562434</v>
      </c>
      <c r="R446" s="72">
        <v>0.98361539290719</v>
      </c>
      <c r="S446" s="74">
        <v>0.9</v>
      </c>
      <c r="T446" s="72">
        <v>0.922622950819672</v>
      </c>
      <c r="U446" s="72">
        <v>0.913871260199456</v>
      </c>
      <c r="V446" s="72">
        <v>0.916989096025325</v>
      </c>
      <c r="W446" s="72">
        <v>0.912399841902914</v>
      </c>
      <c r="X446" s="74">
        <v>0.92</v>
      </c>
      <c r="Y446" s="74">
        <v>0.869989165763814</v>
      </c>
      <c r="Z446" s="74">
        <v>0.88562091503268</v>
      </c>
      <c r="AA446" s="74">
        <v>0.916918844566712</v>
      </c>
      <c r="AB446" s="74">
        <v>0.904229017566688</v>
      </c>
      <c r="AC446" s="74">
        <v>0.92</v>
      </c>
      <c r="AD446" s="72">
        <v>0.997077732320281</v>
      </c>
      <c r="AE446" s="72">
        <v>0.998590887740723</v>
      </c>
      <c r="AF446" s="72">
        <v>0.998323353293413</v>
      </c>
      <c r="AG446" s="72">
        <v>0.995805439039973</v>
      </c>
      <c r="AH446" s="74">
        <v>0.92</v>
      </c>
      <c r="AI446" s="72">
        <v>0.905936073059361</v>
      </c>
      <c r="AJ446" s="72">
        <v>0.920516390330338</v>
      </c>
      <c r="AK446" s="72">
        <v>0.946913580246914</v>
      </c>
      <c r="AL446" s="72">
        <v>0.934668135250539</v>
      </c>
      <c r="AM446" s="71">
        <v>0.99</v>
      </c>
      <c r="AN446" s="76">
        <v>1</v>
      </c>
      <c r="AO446" s="76">
        <v>1</v>
      </c>
      <c r="AP446" s="76">
        <v>1</v>
      </c>
      <c r="AQ446" s="76">
        <v>1</v>
      </c>
      <c r="AR446" s="96">
        <v>0.05</v>
      </c>
      <c r="AS446" s="80">
        <v>0.0869565217391304</v>
      </c>
      <c r="AT446" s="80">
        <v>0.0833333333333333</v>
      </c>
      <c r="AU446" s="80">
        <v>0.0833333333333333</v>
      </c>
      <c r="AV446" s="80">
        <v>0.0466321243523316</v>
      </c>
      <c r="AW446" s="36"/>
      <c r="AX446" s="34"/>
    </row>
    <row r="447" ht="14.5" spans="1:50">
      <c r="A447" s="32"/>
      <c r="B447" s="36"/>
      <c r="C447" s="91" t="s">
        <v>401</v>
      </c>
      <c r="D447" s="69" t="s">
        <v>19</v>
      </c>
      <c r="E447" s="92" t="s">
        <v>498</v>
      </c>
      <c r="F447" s="92" t="s">
        <v>498</v>
      </c>
      <c r="G447" s="92" t="s">
        <v>498</v>
      </c>
      <c r="H447" s="92" t="s">
        <v>498</v>
      </c>
      <c r="I447" s="71">
        <v>0.9</v>
      </c>
      <c r="J447" s="72">
        <v>0.873015873015873</v>
      </c>
      <c r="K447" s="72">
        <v>0.934426229508197</v>
      </c>
      <c r="L447" s="73">
        <v>0.852941176470588</v>
      </c>
      <c r="M447" s="72">
        <v>0.867992766726944</v>
      </c>
      <c r="N447" s="74">
        <v>0.9</v>
      </c>
      <c r="O447" s="72">
        <v>0.992623814541623</v>
      </c>
      <c r="P447" s="72">
        <v>0.977079354054523</v>
      </c>
      <c r="Q447" s="72">
        <v>0.995832609828095</v>
      </c>
      <c r="R447" s="72">
        <v>0.988462595000458</v>
      </c>
      <c r="S447" s="74">
        <v>0.9</v>
      </c>
      <c r="T447" s="72">
        <v>0.918711425560741</v>
      </c>
      <c r="U447" s="72">
        <v>0.94408751519361</v>
      </c>
      <c r="V447" s="72">
        <v>0.913526653932974</v>
      </c>
      <c r="W447" s="72">
        <v>0.900430363519824</v>
      </c>
      <c r="X447" s="74">
        <v>0.92</v>
      </c>
      <c r="Y447" s="74">
        <v>1</v>
      </c>
      <c r="Z447" s="74">
        <v>0.666666666666667</v>
      </c>
      <c r="AA447" s="74">
        <v>1</v>
      </c>
      <c r="AB447" s="74">
        <v>0.818181818181818</v>
      </c>
      <c r="AC447" s="74">
        <v>0.92</v>
      </c>
      <c r="AD447" s="72">
        <v>0.986078886310905</v>
      </c>
      <c r="AE447" s="72">
        <v>0.977358490566038</v>
      </c>
      <c r="AF447" s="72">
        <v>0.988195615514334</v>
      </c>
      <c r="AG447" s="72">
        <v>0.988528568277079</v>
      </c>
      <c r="AH447" s="74">
        <v>0.92</v>
      </c>
      <c r="AI447" s="72">
        <v>0.978934697562444</v>
      </c>
      <c r="AJ447" s="72">
        <v>0.982297813259285</v>
      </c>
      <c r="AK447" s="72">
        <v>0.984895833333333</v>
      </c>
      <c r="AL447" s="72">
        <v>0.981581500942895</v>
      </c>
      <c r="AM447" s="71">
        <v>0.99</v>
      </c>
      <c r="AN447" s="76">
        <v>1</v>
      </c>
      <c r="AO447" s="76">
        <v>1</v>
      </c>
      <c r="AP447" s="76">
        <v>1</v>
      </c>
      <c r="AQ447" s="76">
        <v>1</v>
      </c>
      <c r="AR447" s="96">
        <v>0.05</v>
      </c>
      <c r="AS447" s="80">
        <v>0</v>
      </c>
      <c r="AT447" s="80">
        <v>0</v>
      </c>
      <c r="AU447" s="80">
        <v>0.0666666666666667</v>
      </c>
      <c r="AV447" s="80">
        <v>0</v>
      </c>
      <c r="AW447" s="36"/>
      <c r="AX447" s="34"/>
    </row>
    <row r="448" ht="14.5" spans="1:50">
      <c r="A448" s="32"/>
      <c r="B448" s="36"/>
      <c r="C448" s="91" t="s">
        <v>401</v>
      </c>
      <c r="D448" s="69" t="s">
        <v>19</v>
      </c>
      <c r="E448" s="92" t="s">
        <v>499</v>
      </c>
      <c r="F448" s="92" t="s">
        <v>499</v>
      </c>
      <c r="G448" s="92" t="s">
        <v>499</v>
      </c>
      <c r="H448" s="92" t="s">
        <v>499</v>
      </c>
      <c r="I448" s="71">
        <v>0.9</v>
      </c>
      <c r="J448" s="72">
        <v>1</v>
      </c>
      <c r="K448" s="72">
        <v>0.945454545454545</v>
      </c>
      <c r="L448" s="73">
        <v>0.962264150943396</v>
      </c>
      <c r="M448" s="72">
        <v>0.950323974082073</v>
      </c>
      <c r="N448" s="74">
        <v>0.9</v>
      </c>
      <c r="O448" s="72">
        <v>0.959599224305107</v>
      </c>
      <c r="P448" s="72">
        <v>0.97672193877551</v>
      </c>
      <c r="Q448" s="72">
        <v>0.978388278388278</v>
      </c>
      <c r="R448" s="72">
        <v>0.958619402985075</v>
      </c>
      <c r="S448" s="74">
        <v>0.9</v>
      </c>
      <c r="T448" s="72">
        <v>0.925339366515837</v>
      </c>
      <c r="U448" s="72">
        <v>0.957270408163265</v>
      </c>
      <c r="V448" s="72">
        <v>0.960805860805861</v>
      </c>
      <c r="W448" s="72">
        <v>0.941828358208955</v>
      </c>
      <c r="X448" s="74">
        <v>0.92</v>
      </c>
      <c r="Y448" s="74">
        <v>0.919682465561522</v>
      </c>
      <c r="Z448" s="74">
        <v>0.952852998065764</v>
      </c>
      <c r="AA448" s="74">
        <v>0.958287596048299</v>
      </c>
      <c r="AB448" s="74">
        <v>0.937005741523129</v>
      </c>
      <c r="AC448" s="74">
        <v>0.92</v>
      </c>
      <c r="AD448" s="72">
        <v>0.965705378020265</v>
      </c>
      <c r="AE448" s="72">
        <v>0.995869664983938</v>
      </c>
      <c r="AF448" s="72">
        <v>0.997520148791073</v>
      </c>
      <c r="AG448" s="72">
        <v>0.991623774941832</v>
      </c>
      <c r="AH448" s="74">
        <v>0.92</v>
      </c>
      <c r="AI448" s="72">
        <v>0.940013540961408</v>
      </c>
      <c r="AJ448" s="72">
        <v>0.966868298047842</v>
      </c>
      <c r="AK448" s="72">
        <v>0.971760276121745</v>
      </c>
      <c r="AL448" s="72">
        <v>0.955875894089597</v>
      </c>
      <c r="AM448" s="71">
        <v>0.99</v>
      </c>
      <c r="AN448" s="76">
        <v>1</v>
      </c>
      <c r="AO448" s="76">
        <v>1</v>
      </c>
      <c r="AP448" s="76">
        <v>1</v>
      </c>
      <c r="AQ448" s="76">
        <v>1</v>
      </c>
      <c r="AR448" s="96">
        <v>0.05</v>
      </c>
      <c r="AS448" s="80">
        <v>0.0263157894736842</v>
      </c>
      <c r="AT448" s="80">
        <v>0.0606060606060606</v>
      </c>
      <c r="AU448" s="80">
        <v>0.024390243902439</v>
      </c>
      <c r="AV448" s="80">
        <v>0.0307262569832402</v>
      </c>
      <c r="AW448" s="36"/>
      <c r="AX448" s="34"/>
    </row>
    <row r="449" ht="14.5" spans="1:50">
      <c r="A449" s="32"/>
      <c r="B449" s="36"/>
      <c r="C449" s="91" t="s">
        <v>401</v>
      </c>
      <c r="D449" s="69" t="s">
        <v>19</v>
      </c>
      <c r="E449" s="92" t="s">
        <v>500</v>
      </c>
      <c r="F449" s="92" t="s">
        <v>500</v>
      </c>
      <c r="G449" s="92" t="s">
        <v>500</v>
      </c>
      <c r="H449" s="92" t="s">
        <v>500</v>
      </c>
      <c r="I449" s="71">
        <v>0.9</v>
      </c>
      <c r="J449" s="72">
        <v>1</v>
      </c>
      <c r="K449" s="72">
        <v>0.933333333333333</v>
      </c>
      <c r="L449" s="73">
        <v>1</v>
      </c>
      <c r="M449" s="72">
        <v>0.953020134228188</v>
      </c>
      <c r="N449" s="74">
        <v>0.9</v>
      </c>
      <c r="O449" s="72">
        <v>0.996166746526114</v>
      </c>
      <c r="P449" s="72">
        <v>0.898041474654378</v>
      </c>
      <c r="Q449" s="72">
        <v>0.965877820583379</v>
      </c>
      <c r="R449" s="72">
        <v>0.973090597033223</v>
      </c>
      <c r="S449" s="74">
        <v>0.9</v>
      </c>
      <c r="T449" s="72">
        <v>0.931480594154288</v>
      </c>
      <c r="U449" s="72">
        <v>0.782834101382488</v>
      </c>
      <c r="V449" s="72">
        <v>0.926252063841497</v>
      </c>
      <c r="W449" s="72">
        <v>0.93024396224102</v>
      </c>
      <c r="X449" s="74">
        <v>0.92</v>
      </c>
      <c r="Y449" s="74">
        <v>0</v>
      </c>
      <c r="Z449" s="74">
        <v>0</v>
      </c>
      <c r="AA449" s="74">
        <v>0</v>
      </c>
      <c r="AB449" s="74">
        <v>0.5</v>
      </c>
      <c r="AC449" s="74">
        <v>0.92</v>
      </c>
      <c r="AD449" s="72">
        <v>0.984375</v>
      </c>
      <c r="AE449" s="72">
        <v>1</v>
      </c>
      <c r="AF449" s="72">
        <v>1</v>
      </c>
      <c r="AG449" s="72">
        <v>0.994402985074627</v>
      </c>
      <c r="AH449" s="74">
        <v>0.92</v>
      </c>
      <c r="AI449" s="72">
        <v>0.981792045999042</v>
      </c>
      <c r="AJ449" s="72">
        <v>0.936635944700461</v>
      </c>
      <c r="AK449" s="72">
        <v>0.947716015410016</v>
      </c>
      <c r="AL449" s="72">
        <v>0.978916401078696</v>
      </c>
      <c r="AM449" s="71">
        <v>0.99</v>
      </c>
      <c r="AN449" s="76">
        <v>1</v>
      </c>
      <c r="AO449" s="76">
        <v>1</v>
      </c>
      <c r="AP449" s="76">
        <v>1</v>
      </c>
      <c r="AQ449" s="76">
        <v>1</v>
      </c>
      <c r="AR449" s="96">
        <v>0.05</v>
      </c>
      <c r="AS449" s="80">
        <v>0</v>
      </c>
      <c r="AT449" s="80">
        <v>0</v>
      </c>
      <c r="AU449" s="80">
        <v>0</v>
      </c>
      <c r="AV449" s="80">
        <v>0.0384615384615385</v>
      </c>
      <c r="AW449" s="36"/>
      <c r="AX449" s="34"/>
    </row>
    <row r="450" ht="14.5" spans="1:50">
      <c r="A450" s="32"/>
      <c r="B450" s="36"/>
      <c r="C450" s="91" t="s">
        <v>401</v>
      </c>
      <c r="D450" s="69" t="s">
        <v>19</v>
      </c>
      <c r="E450" s="92" t="s">
        <v>501</v>
      </c>
      <c r="F450" s="92" t="s">
        <v>501</v>
      </c>
      <c r="G450" s="92" t="s">
        <v>501</v>
      </c>
      <c r="H450" s="92" t="s">
        <v>501</v>
      </c>
      <c r="I450" s="71">
        <v>0.9</v>
      </c>
      <c r="J450" s="72">
        <v>0.916666666666667</v>
      </c>
      <c r="K450" s="72">
        <v>0.918918918918919</v>
      </c>
      <c r="L450" s="73">
        <v>0.928571428571429</v>
      </c>
      <c r="M450" s="72">
        <v>0.910662824207493</v>
      </c>
      <c r="N450" s="74">
        <v>0.9</v>
      </c>
      <c r="O450" s="72">
        <v>0.978135559530908</v>
      </c>
      <c r="P450" s="72">
        <v>0.964740013389868</v>
      </c>
      <c r="Q450" s="72">
        <v>0.98339973439575</v>
      </c>
      <c r="R450" s="72">
        <v>0.975954098516773</v>
      </c>
      <c r="S450" s="74">
        <v>0.9</v>
      </c>
      <c r="T450" s="72">
        <v>0.92446829656132</v>
      </c>
      <c r="U450" s="72">
        <v>0.924570408390984</v>
      </c>
      <c r="V450" s="72">
        <v>0.965692784417884</v>
      </c>
      <c r="W450" s="72">
        <v>0.938385353427136</v>
      </c>
      <c r="X450" s="74">
        <v>0.92</v>
      </c>
      <c r="Y450" s="74">
        <v>0</v>
      </c>
      <c r="Z450" s="74">
        <v>0</v>
      </c>
      <c r="AA450" s="74">
        <v>0</v>
      </c>
      <c r="AB450" s="74">
        <v>0.153846153846154</v>
      </c>
      <c r="AC450" s="74">
        <v>0.92</v>
      </c>
      <c r="AD450" s="72">
        <v>0.994690265486726</v>
      </c>
      <c r="AE450" s="72">
        <v>0.992213570634038</v>
      </c>
      <c r="AF450" s="72">
        <v>0.998269896193772</v>
      </c>
      <c r="AG450" s="72">
        <v>0.996070075757576</v>
      </c>
      <c r="AH450" s="74">
        <v>0.92</v>
      </c>
      <c r="AI450" s="72">
        <v>0.963831478537361</v>
      </c>
      <c r="AJ450" s="72">
        <v>0.947403610430131</v>
      </c>
      <c r="AK450" s="72">
        <v>0.980764978996241</v>
      </c>
      <c r="AL450" s="72">
        <v>0.969324131366016</v>
      </c>
      <c r="AM450" s="71">
        <v>0.99</v>
      </c>
      <c r="AN450" s="76">
        <v>1</v>
      </c>
      <c r="AO450" s="76">
        <v>1</v>
      </c>
      <c r="AP450" s="76">
        <v>1</v>
      </c>
      <c r="AQ450" s="76">
        <v>1</v>
      </c>
      <c r="AR450" s="96">
        <v>0.05</v>
      </c>
      <c r="AS450" s="80">
        <v>0</v>
      </c>
      <c r="AT450" s="80">
        <v>0</v>
      </c>
      <c r="AU450" s="80">
        <v>0.2</v>
      </c>
      <c r="AV450" s="80">
        <v>0.0380952380952381</v>
      </c>
      <c r="AW450" s="36"/>
      <c r="AX450" s="34"/>
    </row>
    <row r="451" ht="14.5" spans="1:50">
      <c r="A451" s="32"/>
      <c r="B451" s="36"/>
      <c r="C451" s="91" t="s">
        <v>401</v>
      </c>
      <c r="D451" s="69" t="s">
        <v>19</v>
      </c>
      <c r="E451" s="92" t="s">
        <v>502</v>
      </c>
      <c r="F451" s="92" t="s">
        <v>502</v>
      </c>
      <c r="G451" s="92" t="s">
        <v>502</v>
      </c>
      <c r="H451" s="92" t="s">
        <v>502</v>
      </c>
      <c r="I451" s="71">
        <v>0.9</v>
      </c>
      <c r="J451" s="72">
        <v>0.96875</v>
      </c>
      <c r="K451" s="72">
        <v>0.970588235294118</v>
      </c>
      <c r="L451" s="73">
        <v>0.967213114754098</v>
      </c>
      <c r="M451" s="72">
        <v>0.983249581239531</v>
      </c>
      <c r="N451" s="74">
        <v>0.9</v>
      </c>
      <c r="O451" s="72">
        <v>0.987979494431678</v>
      </c>
      <c r="P451" s="72">
        <v>0.981059063136456</v>
      </c>
      <c r="Q451" s="72">
        <v>0.991318074191002</v>
      </c>
      <c r="R451" s="72">
        <v>0.988270600418454</v>
      </c>
      <c r="S451" s="74">
        <v>0.9</v>
      </c>
      <c r="T451" s="72">
        <v>0.951387661304578</v>
      </c>
      <c r="U451" s="72">
        <v>0.947250509164969</v>
      </c>
      <c r="V451" s="72">
        <v>0.919692186266772</v>
      </c>
      <c r="W451" s="72">
        <v>0.94604476192489</v>
      </c>
      <c r="X451" s="74">
        <v>0.92</v>
      </c>
      <c r="Y451" s="74">
        <v>0</v>
      </c>
      <c r="Z451" s="74">
        <v>1</v>
      </c>
      <c r="AA451" s="74">
        <v>1</v>
      </c>
      <c r="AB451" s="74">
        <v>0.8</v>
      </c>
      <c r="AC451" s="74">
        <v>0.92</v>
      </c>
      <c r="AD451" s="72">
        <v>0.994350282485876</v>
      </c>
      <c r="AE451" s="72">
        <v>0.99468085106383</v>
      </c>
      <c r="AF451" s="72">
        <v>0.989966555183946</v>
      </c>
      <c r="AG451" s="72">
        <v>0.988882211538462</v>
      </c>
      <c r="AH451" s="74">
        <v>0.92</v>
      </c>
      <c r="AI451" s="72">
        <v>0.978084128667374</v>
      </c>
      <c r="AJ451" s="72">
        <v>0.977813962955424</v>
      </c>
      <c r="AK451" s="72">
        <v>0.982642998027613</v>
      </c>
      <c r="AL451" s="72">
        <v>0.981936110876363</v>
      </c>
      <c r="AM451" s="71">
        <v>0.99</v>
      </c>
      <c r="AN451" s="76">
        <v>1</v>
      </c>
      <c r="AO451" s="76">
        <v>1</v>
      </c>
      <c r="AP451" s="76">
        <v>1</v>
      </c>
      <c r="AQ451" s="76">
        <v>1</v>
      </c>
      <c r="AR451" s="96">
        <v>0.05</v>
      </c>
      <c r="AS451" s="80">
        <v>0</v>
      </c>
      <c r="AT451" s="80">
        <v>0</v>
      </c>
      <c r="AU451" s="80">
        <v>0</v>
      </c>
      <c r="AV451" s="80">
        <v>0.0594059405940594</v>
      </c>
      <c r="AW451" s="36"/>
      <c r="AX451" s="34"/>
    </row>
    <row r="452" ht="14.5" spans="1:50">
      <c r="A452" s="32"/>
      <c r="B452" s="36"/>
      <c r="C452" s="91" t="s">
        <v>401</v>
      </c>
      <c r="D452" s="69" t="s">
        <v>19</v>
      </c>
      <c r="E452" s="92" t="s">
        <v>503</v>
      </c>
      <c r="F452" s="92" t="s">
        <v>503</v>
      </c>
      <c r="G452" s="92" t="s">
        <v>503</v>
      </c>
      <c r="H452" s="92" t="s">
        <v>503</v>
      </c>
      <c r="I452" s="71">
        <v>0.9</v>
      </c>
      <c r="J452" s="72">
        <v>0.945054945054945</v>
      </c>
      <c r="K452" s="72">
        <v>0.781609195402299</v>
      </c>
      <c r="L452" s="73">
        <v>0.8875</v>
      </c>
      <c r="M452" s="72">
        <v>0.898891966759003</v>
      </c>
      <c r="N452" s="74">
        <v>0.9</v>
      </c>
      <c r="O452" s="72">
        <v>0.948168293073108</v>
      </c>
      <c r="P452" s="72">
        <v>0.947438901908269</v>
      </c>
      <c r="Q452" s="72">
        <v>0.954135482632892</v>
      </c>
      <c r="R452" s="72">
        <v>0.955032457923088</v>
      </c>
      <c r="S452" s="74">
        <v>0.9</v>
      </c>
      <c r="T452" s="72">
        <v>0.903535434330507</v>
      </c>
      <c r="U452" s="72">
        <v>0.916303983930365</v>
      </c>
      <c r="V452" s="72">
        <v>0.915755133371714</v>
      </c>
      <c r="W452" s="72">
        <v>0.887433160355952</v>
      </c>
      <c r="X452" s="74">
        <v>0.92</v>
      </c>
      <c r="Y452" s="74">
        <v>0.912374981340499</v>
      </c>
      <c r="Z452" s="74">
        <v>0.935334872979215</v>
      </c>
      <c r="AA452" s="74">
        <v>0.933456561922366</v>
      </c>
      <c r="AB452" s="74">
        <v>0.89650788121571</v>
      </c>
      <c r="AC452" s="74">
        <v>0.92</v>
      </c>
      <c r="AD452" s="72">
        <v>0.988209784523648</v>
      </c>
      <c r="AE452" s="72">
        <v>0.99410407587798</v>
      </c>
      <c r="AF452" s="72">
        <v>0.987309644670051</v>
      </c>
      <c r="AG452" s="72">
        <v>0.972146263037115</v>
      </c>
      <c r="AH452" s="74">
        <v>0.92</v>
      </c>
      <c r="AI452" s="72">
        <v>0.942691862707289</v>
      </c>
      <c r="AJ452" s="72">
        <v>0.960590724301004</v>
      </c>
      <c r="AK452" s="72">
        <v>0.954558283940164</v>
      </c>
      <c r="AL452" s="72">
        <v>0.93419459769159</v>
      </c>
      <c r="AM452" s="71">
        <v>0.99</v>
      </c>
      <c r="AN452" s="76">
        <v>1</v>
      </c>
      <c r="AO452" s="76">
        <v>1</v>
      </c>
      <c r="AP452" s="76">
        <v>1</v>
      </c>
      <c r="AQ452" s="76">
        <v>1</v>
      </c>
      <c r="AR452" s="96">
        <v>0.05</v>
      </c>
      <c r="AS452" s="80">
        <v>0.1</v>
      </c>
      <c r="AT452" s="80">
        <v>0</v>
      </c>
      <c r="AU452" s="80">
        <v>0.0697674418604651</v>
      </c>
      <c r="AV452" s="80">
        <v>0.0423529411764706</v>
      </c>
      <c r="AW452" s="36"/>
      <c r="AX452" s="34"/>
    </row>
    <row r="453" ht="14.5" spans="1:50">
      <c r="A453" s="32"/>
      <c r="B453" s="36"/>
      <c r="C453" s="91" t="s">
        <v>401</v>
      </c>
      <c r="D453" s="69" t="s">
        <v>19</v>
      </c>
      <c r="E453" s="92" t="s">
        <v>504</v>
      </c>
      <c r="F453" s="92" t="s">
        <v>504</v>
      </c>
      <c r="G453" s="92" t="s">
        <v>504</v>
      </c>
      <c r="H453" s="92" t="s">
        <v>504</v>
      </c>
      <c r="I453" s="71">
        <v>0.9</v>
      </c>
      <c r="J453" s="72">
        <v>0.962962962962963</v>
      </c>
      <c r="K453" s="72">
        <v>0.980769230769231</v>
      </c>
      <c r="L453" s="73">
        <v>0.982142857142857</v>
      </c>
      <c r="M453" s="72">
        <v>0.98125</v>
      </c>
      <c r="N453" s="74">
        <v>0.9</v>
      </c>
      <c r="O453" s="72">
        <v>0.952934340499709</v>
      </c>
      <c r="P453" s="72">
        <v>0.972058823529412</v>
      </c>
      <c r="Q453" s="72">
        <v>0.973193854200719</v>
      </c>
      <c r="R453" s="72">
        <v>0.965297330302928</v>
      </c>
      <c r="S453" s="74">
        <v>0.9</v>
      </c>
      <c r="T453" s="72">
        <v>0.931435212085997</v>
      </c>
      <c r="U453" s="72">
        <v>0.942647058823529</v>
      </c>
      <c r="V453" s="72">
        <v>0.952271984308598</v>
      </c>
      <c r="W453" s="72">
        <v>0.942399674344449</v>
      </c>
      <c r="X453" s="74">
        <v>0.92</v>
      </c>
      <c r="Y453" s="74">
        <v>0.930602409638554</v>
      </c>
      <c r="Z453" s="74">
        <v>0.956888007928642</v>
      </c>
      <c r="AA453" s="74">
        <v>0.95960729312763</v>
      </c>
      <c r="AB453" s="74">
        <v>0.945476464463806</v>
      </c>
      <c r="AC453" s="74">
        <v>0.92</v>
      </c>
      <c r="AD453" s="72">
        <v>0.997598215817464</v>
      </c>
      <c r="AE453" s="72">
        <v>0.995448752958311</v>
      </c>
      <c r="AF453" s="72">
        <v>0.995513779107028</v>
      </c>
      <c r="AG453" s="72">
        <v>0.995989247770619</v>
      </c>
      <c r="AH453" s="74">
        <v>0.92</v>
      </c>
      <c r="AI453" s="72">
        <v>0.946557851783599</v>
      </c>
      <c r="AJ453" s="72">
        <v>0.96747311827957</v>
      </c>
      <c r="AK453" s="72">
        <v>0.973882850241546</v>
      </c>
      <c r="AL453" s="72">
        <v>0.961341533614082</v>
      </c>
      <c r="AM453" s="71">
        <v>0.99</v>
      </c>
      <c r="AN453" s="76">
        <v>1</v>
      </c>
      <c r="AO453" s="76">
        <v>1</v>
      </c>
      <c r="AP453" s="76">
        <v>1</v>
      </c>
      <c r="AQ453" s="76">
        <v>1</v>
      </c>
      <c r="AR453" s="96">
        <v>0.05</v>
      </c>
      <c r="AS453" s="80">
        <v>0.08</v>
      </c>
      <c r="AT453" s="80">
        <v>0</v>
      </c>
      <c r="AU453" s="80">
        <v>0.0344827586206897</v>
      </c>
      <c r="AV453" s="80">
        <v>0.0249110320284698</v>
      </c>
      <c r="AW453" s="36"/>
      <c r="AX453" s="34"/>
    </row>
    <row r="454" ht="14.5" spans="1:50">
      <c r="A454" s="32"/>
      <c r="B454" s="36"/>
      <c r="C454" s="91" t="s">
        <v>401</v>
      </c>
      <c r="D454" s="69" t="s">
        <v>19</v>
      </c>
      <c r="E454" s="92" t="s">
        <v>505</v>
      </c>
      <c r="F454" s="92" t="s">
        <v>505</v>
      </c>
      <c r="G454" s="92" t="s">
        <v>505</v>
      </c>
      <c r="H454" s="92" t="s">
        <v>505</v>
      </c>
      <c r="I454" s="71">
        <v>0.9</v>
      </c>
      <c r="J454" s="72">
        <v>0.977272727272727</v>
      </c>
      <c r="K454" s="72">
        <v>0.976744186046512</v>
      </c>
      <c r="L454" s="73">
        <v>0.902439024390244</v>
      </c>
      <c r="M454" s="72">
        <v>0.942065491183879</v>
      </c>
      <c r="N454" s="74">
        <v>0.9</v>
      </c>
      <c r="O454" s="72">
        <v>0.972466081404629</v>
      </c>
      <c r="P454" s="72">
        <v>0.971056120194432</v>
      </c>
      <c r="Q454" s="72">
        <v>0.983454665784249</v>
      </c>
      <c r="R454" s="72">
        <v>0.972580381916109</v>
      </c>
      <c r="S454" s="74">
        <v>0.9</v>
      </c>
      <c r="T454" s="72">
        <v>0.910415003990423</v>
      </c>
      <c r="U454" s="72">
        <v>0.876933274414494</v>
      </c>
      <c r="V454" s="72">
        <v>0.900286785793073</v>
      </c>
      <c r="W454" s="72">
        <v>0.928023502529786</v>
      </c>
      <c r="X454" s="74">
        <v>0.92</v>
      </c>
      <c r="Y454" s="74">
        <v>0</v>
      </c>
      <c r="Z454" s="74">
        <v>1</v>
      </c>
      <c r="AA454" s="74">
        <v>0</v>
      </c>
      <c r="AB454" s="74">
        <v>0.954545454545455</v>
      </c>
      <c r="AC454" s="74">
        <v>0.92</v>
      </c>
      <c r="AD454" s="72">
        <v>0.994688922610015</v>
      </c>
      <c r="AE454" s="72">
        <v>0.997661730319564</v>
      </c>
      <c r="AF454" s="72">
        <v>0.998634812286689</v>
      </c>
      <c r="AG454" s="72">
        <v>0.995357063895644</v>
      </c>
      <c r="AH454" s="74">
        <v>0.92</v>
      </c>
      <c r="AI454" s="72">
        <v>0.953312051077414</v>
      </c>
      <c r="AJ454" s="72">
        <v>0.982328252705986</v>
      </c>
      <c r="AK454" s="72">
        <v>0.964490516100573</v>
      </c>
      <c r="AL454" s="72">
        <v>0.979400181763102</v>
      </c>
      <c r="AM454" s="71">
        <v>0.99</v>
      </c>
      <c r="AN454" s="76">
        <v>1</v>
      </c>
      <c r="AO454" s="76">
        <v>1</v>
      </c>
      <c r="AP454" s="76">
        <v>1</v>
      </c>
      <c r="AQ454" s="76">
        <v>1</v>
      </c>
      <c r="AR454" s="96">
        <v>0.05</v>
      </c>
      <c r="AS454" s="80">
        <v>0.0526315789473684</v>
      </c>
      <c r="AT454" s="80">
        <v>0</v>
      </c>
      <c r="AU454" s="80">
        <v>0</v>
      </c>
      <c r="AV454" s="80">
        <v>0.0147058823529412</v>
      </c>
      <c r="AW454" s="36"/>
      <c r="AX454" s="34"/>
    </row>
    <row r="455" ht="14.5" spans="1:50">
      <c r="A455" s="32"/>
      <c r="B455" s="36"/>
      <c r="C455" s="91" t="s">
        <v>401</v>
      </c>
      <c r="D455" s="69" t="s">
        <v>19</v>
      </c>
      <c r="E455" s="92" t="s">
        <v>506</v>
      </c>
      <c r="F455" s="92" t="s">
        <v>506</v>
      </c>
      <c r="G455" s="92" t="s">
        <v>506</v>
      </c>
      <c r="H455" s="92" t="s">
        <v>506</v>
      </c>
      <c r="I455" s="71">
        <v>0.9</v>
      </c>
      <c r="J455" s="72">
        <v>0.976744186046512</v>
      </c>
      <c r="K455" s="72">
        <v>1</v>
      </c>
      <c r="L455" s="73">
        <v>0.975609756097561</v>
      </c>
      <c r="M455" s="72">
        <v>0.984732824427481</v>
      </c>
      <c r="N455" s="74">
        <v>0.9</v>
      </c>
      <c r="O455" s="72">
        <v>0.979873717442778</v>
      </c>
      <c r="P455" s="72">
        <v>0.992282696994314</v>
      </c>
      <c r="Q455" s="72">
        <v>0.985550572994519</v>
      </c>
      <c r="R455" s="72">
        <v>0.986080150591965</v>
      </c>
      <c r="S455" s="74">
        <v>0.9</v>
      </c>
      <c r="T455" s="72">
        <v>0.95698500394633</v>
      </c>
      <c r="U455" s="72">
        <v>0.945166531275386</v>
      </c>
      <c r="V455" s="72">
        <v>0.958644743398107</v>
      </c>
      <c r="W455" s="72">
        <v>0.958933967404765</v>
      </c>
      <c r="X455" s="74">
        <v>0.92</v>
      </c>
      <c r="Y455" s="74">
        <v>0.94012539184953</v>
      </c>
      <c r="Z455" s="74">
        <v>0.975649884830536</v>
      </c>
      <c r="AA455" s="74">
        <v>0.976608187134503</v>
      </c>
      <c r="AB455" s="74">
        <v>0.966104800293148</v>
      </c>
      <c r="AC455" s="74">
        <v>0.92</v>
      </c>
      <c r="AD455" s="72">
        <v>0.978927203065134</v>
      </c>
      <c r="AE455" s="72">
        <v>0.9971572962729</v>
      </c>
      <c r="AF455" s="72">
        <v>0.996392496392496</v>
      </c>
      <c r="AG455" s="72">
        <v>0.993805037886545</v>
      </c>
      <c r="AH455" s="74">
        <v>0.92</v>
      </c>
      <c r="AI455" s="72">
        <v>0.956582388840453</v>
      </c>
      <c r="AJ455" s="72">
        <v>0.983124659771366</v>
      </c>
      <c r="AK455" s="72">
        <v>0.983651226158038</v>
      </c>
      <c r="AL455" s="72">
        <v>0.977197669282063</v>
      </c>
      <c r="AM455" s="71">
        <v>0.99</v>
      </c>
      <c r="AN455" s="76">
        <v>1</v>
      </c>
      <c r="AO455" s="76">
        <v>1</v>
      </c>
      <c r="AP455" s="76">
        <v>1</v>
      </c>
      <c r="AQ455" s="76">
        <v>1</v>
      </c>
      <c r="AR455" s="96">
        <v>0.05</v>
      </c>
      <c r="AS455" s="80">
        <v>0.0909090909090909</v>
      </c>
      <c r="AT455" s="80">
        <v>0.0588235294117647</v>
      </c>
      <c r="AU455" s="80">
        <v>0.125</v>
      </c>
      <c r="AV455" s="80">
        <v>0.0416666666666667</v>
      </c>
      <c r="AW455" s="36"/>
      <c r="AX455" s="34"/>
    </row>
    <row r="456" ht="14.5" spans="1:50">
      <c r="A456" s="32"/>
      <c r="B456" s="36"/>
      <c r="C456" s="91" t="s">
        <v>401</v>
      </c>
      <c r="D456" s="69" t="s">
        <v>19</v>
      </c>
      <c r="E456" s="92" t="s">
        <v>507</v>
      </c>
      <c r="F456" s="92" t="s">
        <v>507</v>
      </c>
      <c r="G456" s="92" t="s">
        <v>507</v>
      </c>
      <c r="H456" s="92" t="s">
        <v>507</v>
      </c>
      <c r="I456" s="71">
        <v>0.9</v>
      </c>
      <c r="J456" s="72">
        <v>1</v>
      </c>
      <c r="K456" s="72">
        <v>1</v>
      </c>
      <c r="L456" s="73">
        <v>1</v>
      </c>
      <c r="M456" s="72">
        <v>0.99672131147541</v>
      </c>
      <c r="N456" s="74">
        <v>0.9</v>
      </c>
      <c r="O456" s="72">
        <v>0.993158243213419</v>
      </c>
      <c r="P456" s="72">
        <v>0.996377686549143</v>
      </c>
      <c r="Q456" s="72">
        <v>0.996977447105324</v>
      </c>
      <c r="R456" s="72">
        <v>0.995268387571631</v>
      </c>
      <c r="S456" s="74">
        <v>0.9</v>
      </c>
      <c r="T456" s="72">
        <v>0.96270139042154</v>
      </c>
      <c r="U456" s="72">
        <v>0.953392900265636</v>
      </c>
      <c r="V456" s="72">
        <v>0.960241804231574</v>
      </c>
      <c r="W456" s="72">
        <v>0.96887650491562</v>
      </c>
      <c r="X456" s="74">
        <v>0.92</v>
      </c>
      <c r="Y456" s="74">
        <v>0</v>
      </c>
      <c r="Z456" s="74">
        <v>0.75</v>
      </c>
      <c r="AA456" s="74">
        <v>1</v>
      </c>
      <c r="AB456" s="74">
        <v>0.727272727272727</v>
      </c>
      <c r="AC456" s="74">
        <v>0.92</v>
      </c>
      <c r="AD456" s="72">
        <v>0.998591549295775</v>
      </c>
      <c r="AE456" s="72">
        <v>0.99824355971897</v>
      </c>
      <c r="AF456" s="72">
        <v>0.998982964658022</v>
      </c>
      <c r="AG456" s="72">
        <v>0.974726934696723</v>
      </c>
      <c r="AH456" s="74">
        <v>0.92</v>
      </c>
      <c r="AI456" s="72">
        <v>0.993384785005513</v>
      </c>
      <c r="AJ456" s="72">
        <v>0.99541837472872</v>
      </c>
      <c r="AK456" s="72">
        <v>0.997211247966535</v>
      </c>
      <c r="AL456" s="72">
        <v>0.996768685143833</v>
      </c>
      <c r="AM456" s="71">
        <v>0.99</v>
      </c>
      <c r="AN456" s="76">
        <v>1</v>
      </c>
      <c r="AO456" s="76">
        <v>1</v>
      </c>
      <c r="AP456" s="76">
        <v>1</v>
      </c>
      <c r="AQ456" s="76">
        <v>1</v>
      </c>
      <c r="AR456" s="96">
        <v>0.05</v>
      </c>
      <c r="AS456" s="80">
        <v>0.0909090909090909</v>
      </c>
      <c r="AT456" s="80">
        <v>0</v>
      </c>
      <c r="AU456" s="80">
        <v>0</v>
      </c>
      <c r="AV456" s="80">
        <v>0.0102040816326531</v>
      </c>
      <c r="AW456" s="36"/>
      <c r="AX456" s="34"/>
    </row>
    <row r="457" ht="14.5" spans="1:50">
      <c r="A457" s="32"/>
      <c r="B457" s="36"/>
      <c r="C457" s="91" t="s">
        <v>401</v>
      </c>
      <c r="D457" s="69" t="s">
        <v>19</v>
      </c>
      <c r="E457" s="92" t="s">
        <v>508</v>
      </c>
      <c r="F457" s="92" t="s">
        <v>508</v>
      </c>
      <c r="G457" s="92" t="s">
        <v>508</v>
      </c>
      <c r="H457" s="92" t="s">
        <v>508</v>
      </c>
      <c r="I457" s="71">
        <v>0.9</v>
      </c>
      <c r="J457" s="72">
        <v>0.857142857142857</v>
      </c>
      <c r="K457" s="72">
        <v>0.875</v>
      </c>
      <c r="L457" s="73">
        <v>0.91025641025641</v>
      </c>
      <c r="M457" s="72">
        <v>0.910355486862442</v>
      </c>
      <c r="N457" s="74">
        <v>0.9</v>
      </c>
      <c r="O457" s="72">
        <v>0</v>
      </c>
      <c r="P457" s="72">
        <v>1</v>
      </c>
      <c r="Q457" s="72">
        <v>0</v>
      </c>
      <c r="R457" s="72">
        <v>0.64</v>
      </c>
      <c r="S457" s="74">
        <v>0.9</v>
      </c>
      <c r="T457" s="72">
        <v>0</v>
      </c>
      <c r="U457" s="72">
        <v>1</v>
      </c>
      <c r="V457" s="72">
        <v>0</v>
      </c>
      <c r="W457" s="72">
        <v>0.64</v>
      </c>
      <c r="X457" s="74">
        <v>0.92</v>
      </c>
      <c r="Y457" s="74">
        <v>0</v>
      </c>
      <c r="Z457" s="74">
        <v>0</v>
      </c>
      <c r="AA457" s="74">
        <v>0</v>
      </c>
      <c r="AB457" s="74">
        <v>0</v>
      </c>
      <c r="AC457" s="74">
        <v>0.92</v>
      </c>
      <c r="AD457" s="72">
        <v>0.981314432989691</v>
      </c>
      <c r="AE457" s="72">
        <v>0.998742928975487</v>
      </c>
      <c r="AF457" s="72">
        <v>0.98911465892598</v>
      </c>
      <c r="AG457" s="72">
        <v>0.993836240106465</v>
      </c>
      <c r="AH457" s="74">
        <v>0.92</v>
      </c>
      <c r="AI457" s="72">
        <v>0.957954545454546</v>
      </c>
      <c r="AJ457" s="72">
        <v>0.968754906578741</v>
      </c>
      <c r="AK457" s="72">
        <v>0.9773538079727</v>
      </c>
      <c r="AL457" s="72">
        <v>0.972230802998033</v>
      </c>
      <c r="AM457" s="71">
        <v>0.99</v>
      </c>
      <c r="AN457" s="76">
        <v>1</v>
      </c>
      <c r="AO457" s="76">
        <v>1</v>
      </c>
      <c r="AP457" s="76">
        <v>1</v>
      </c>
      <c r="AQ457" s="76">
        <v>1</v>
      </c>
      <c r="AR457" s="96">
        <v>0.05</v>
      </c>
      <c r="AS457" s="80">
        <v>0.125</v>
      </c>
      <c r="AT457" s="80">
        <v>0</v>
      </c>
      <c r="AU457" s="80">
        <v>0.0666666666666667</v>
      </c>
      <c r="AV457" s="80">
        <v>0.0491803278688525</v>
      </c>
      <c r="AW457" s="36"/>
      <c r="AX457" s="34"/>
    </row>
    <row r="458" ht="14.5" spans="1:50">
      <c r="A458" s="32"/>
      <c r="B458" s="36"/>
      <c r="C458" s="91" t="s">
        <v>401</v>
      </c>
      <c r="D458" s="69" t="s">
        <v>19</v>
      </c>
      <c r="E458" s="92" t="s">
        <v>509</v>
      </c>
      <c r="F458" s="92" t="s">
        <v>509</v>
      </c>
      <c r="G458" s="92" t="s">
        <v>509</v>
      </c>
      <c r="H458" s="92" t="s">
        <v>509</v>
      </c>
      <c r="I458" s="71">
        <v>0.9</v>
      </c>
      <c r="J458" s="72">
        <v>0.888888888888889</v>
      </c>
      <c r="K458" s="72">
        <v>0.907692307692308</v>
      </c>
      <c r="L458" s="73">
        <v>0.956521739130435</v>
      </c>
      <c r="M458" s="72">
        <v>0.897520661157025</v>
      </c>
      <c r="N458" s="74">
        <v>0.9</v>
      </c>
      <c r="O458" s="72">
        <v>0.950983186092904</v>
      </c>
      <c r="P458" s="72">
        <v>0.966636878165028</v>
      </c>
      <c r="Q458" s="72">
        <v>0.963757916959887</v>
      </c>
      <c r="R458" s="72">
        <v>0.964675395526459</v>
      </c>
      <c r="S458" s="74">
        <v>0.9</v>
      </c>
      <c r="T458" s="72">
        <v>0.897121687090339</v>
      </c>
      <c r="U458" s="72">
        <v>0.924039320822163</v>
      </c>
      <c r="V458" s="72">
        <v>0.94018296973962</v>
      </c>
      <c r="W458" s="72">
        <v>0.923042825968358</v>
      </c>
      <c r="X458" s="74">
        <v>0.92</v>
      </c>
      <c r="Y458" s="74">
        <v>0.875602277704774</v>
      </c>
      <c r="Z458" s="74">
        <v>0.915590200445434</v>
      </c>
      <c r="AA458" s="74">
        <v>0.929352172753932</v>
      </c>
      <c r="AB458" s="74">
        <v>0.916689662092667</v>
      </c>
      <c r="AC458" s="74">
        <v>0.92</v>
      </c>
      <c r="AD458" s="72">
        <v>0.998397633427832</v>
      </c>
      <c r="AE458" s="72">
        <v>0.969464936035111</v>
      </c>
      <c r="AF458" s="72">
        <v>0.991301709315263</v>
      </c>
      <c r="AG458" s="72">
        <v>0.987142422398052</v>
      </c>
      <c r="AH458" s="74">
        <v>0.92</v>
      </c>
      <c r="AI458" s="72">
        <v>0.904750123701138</v>
      </c>
      <c r="AJ458" s="72">
        <v>0.940914300267414</v>
      </c>
      <c r="AK458" s="72">
        <v>0.950561116166212</v>
      </c>
      <c r="AL458" s="72">
        <v>0.939984400277328</v>
      </c>
      <c r="AM458" s="71">
        <v>0.99</v>
      </c>
      <c r="AN458" s="76">
        <v>1</v>
      </c>
      <c r="AO458" s="76">
        <v>1</v>
      </c>
      <c r="AP458" s="76">
        <v>1</v>
      </c>
      <c r="AQ458" s="76">
        <v>1</v>
      </c>
      <c r="AR458" s="96">
        <v>0.05</v>
      </c>
      <c r="AS458" s="80">
        <v>0.0416666666666667</v>
      </c>
      <c r="AT458" s="80">
        <v>0.1</v>
      </c>
      <c r="AU458" s="80">
        <v>0.1</v>
      </c>
      <c r="AV458" s="80">
        <v>0.0423728813559322</v>
      </c>
      <c r="AW458" s="36"/>
      <c r="AX458" s="34"/>
    </row>
    <row r="459" ht="14.5" spans="1:50">
      <c r="A459" s="32"/>
      <c r="B459" s="36"/>
      <c r="C459" s="91" t="s">
        <v>401</v>
      </c>
      <c r="D459" s="69" t="s">
        <v>19</v>
      </c>
      <c r="E459" s="92" t="s">
        <v>510</v>
      </c>
      <c r="F459" s="92" t="s">
        <v>510</v>
      </c>
      <c r="G459" s="92" t="s">
        <v>510</v>
      </c>
      <c r="H459" s="92" t="s">
        <v>510</v>
      </c>
      <c r="I459" s="71">
        <v>0.9</v>
      </c>
      <c r="J459" s="72">
        <v>0.918367346938776</v>
      </c>
      <c r="K459" s="72">
        <v>0.963636363636364</v>
      </c>
      <c r="L459" s="73">
        <v>0.967213114754098</v>
      </c>
      <c r="M459" s="72">
        <v>0.93</v>
      </c>
      <c r="N459" s="74">
        <v>0.9</v>
      </c>
      <c r="O459" s="72">
        <v>0.94877079346386</v>
      </c>
      <c r="P459" s="72">
        <v>0.968128799080007</v>
      </c>
      <c r="Q459" s="72">
        <v>0.967865097041044</v>
      </c>
      <c r="R459" s="72">
        <v>0.963965354600806</v>
      </c>
      <c r="S459" s="74">
        <v>0.9</v>
      </c>
      <c r="T459" s="72">
        <v>0.898424849109377</v>
      </c>
      <c r="U459" s="72">
        <v>0.935600459996714</v>
      </c>
      <c r="V459" s="72">
        <v>0.949411390391346</v>
      </c>
      <c r="W459" s="72">
        <v>0.929868793413944</v>
      </c>
      <c r="X459" s="74">
        <v>0.92</v>
      </c>
      <c r="Y459" s="74">
        <v>0.5</v>
      </c>
      <c r="Z459" s="74">
        <v>0</v>
      </c>
      <c r="AA459" s="74">
        <v>0.666666666666667</v>
      </c>
      <c r="AB459" s="74">
        <v>0.4</v>
      </c>
      <c r="AC459" s="74">
        <v>0.92</v>
      </c>
      <c r="AD459" s="72">
        <v>0.991715399610136</v>
      </c>
      <c r="AE459" s="72">
        <v>0.99420227614344</v>
      </c>
      <c r="AF459" s="72">
        <v>0.991505968778696</v>
      </c>
      <c r="AG459" s="72">
        <v>0.987220680590039</v>
      </c>
      <c r="AH459" s="74">
        <v>0.92</v>
      </c>
      <c r="AI459" s="72">
        <v>0.932155997056659</v>
      </c>
      <c r="AJ459" s="72">
        <v>0.965675808835605</v>
      </c>
      <c r="AK459" s="72">
        <v>0.975512800127206</v>
      </c>
      <c r="AL459" s="72">
        <v>0.965550354099148</v>
      </c>
      <c r="AM459" s="71">
        <v>0.99</v>
      </c>
      <c r="AN459" s="76">
        <v>1</v>
      </c>
      <c r="AO459" s="76">
        <v>1</v>
      </c>
      <c r="AP459" s="76">
        <v>1</v>
      </c>
      <c r="AQ459" s="76">
        <v>1</v>
      </c>
      <c r="AR459" s="96">
        <v>0.05</v>
      </c>
      <c r="AS459" s="80">
        <v>0.130434782608696</v>
      </c>
      <c r="AT459" s="80">
        <v>0.0555555555555556</v>
      </c>
      <c r="AU459" s="80">
        <v>0.0666666666666667</v>
      </c>
      <c r="AV459" s="80">
        <v>0.0393013100436681</v>
      </c>
      <c r="AW459" s="36"/>
      <c r="AX459" s="34"/>
    </row>
    <row r="460" ht="14.5" spans="1:50">
      <c r="A460" s="32"/>
      <c r="B460" s="36"/>
      <c r="C460" s="91" t="s">
        <v>401</v>
      </c>
      <c r="D460" s="69" t="s">
        <v>19</v>
      </c>
      <c r="E460" s="92" t="s">
        <v>511</v>
      </c>
      <c r="F460" s="92" t="s">
        <v>511</v>
      </c>
      <c r="G460" s="92" t="s">
        <v>511</v>
      </c>
      <c r="H460" s="92" t="s">
        <v>511</v>
      </c>
      <c r="I460" s="71">
        <v>0.9</v>
      </c>
      <c r="J460" s="72">
        <v>0.96</v>
      </c>
      <c r="K460" s="72">
        <v>1</v>
      </c>
      <c r="L460" s="73">
        <v>1</v>
      </c>
      <c r="M460" s="72">
        <v>0.983122362869198</v>
      </c>
      <c r="N460" s="74">
        <v>0.9</v>
      </c>
      <c r="O460" s="72">
        <v>0.965976331360947</v>
      </c>
      <c r="P460" s="72">
        <v>0.984474241354975</v>
      </c>
      <c r="Q460" s="72">
        <v>0.984872611464968</v>
      </c>
      <c r="R460" s="72">
        <v>0.983416119211665</v>
      </c>
      <c r="S460" s="74">
        <v>0.9</v>
      </c>
      <c r="T460" s="72">
        <v>0.935650887573965</v>
      </c>
      <c r="U460" s="72">
        <v>0.966831333803811</v>
      </c>
      <c r="V460" s="72">
        <v>0.967356687898089</v>
      </c>
      <c r="W460" s="72">
        <v>0.967713507450729</v>
      </c>
      <c r="X460" s="74">
        <v>0.92</v>
      </c>
      <c r="Y460" s="74">
        <v>0.947368421052632</v>
      </c>
      <c r="Z460" s="74">
        <v>0.968884120171674</v>
      </c>
      <c r="AA460" s="74">
        <v>0.981805929919138</v>
      </c>
      <c r="AB460" s="74">
        <v>0.976066597294485</v>
      </c>
      <c r="AC460" s="74">
        <v>0.92</v>
      </c>
      <c r="AD460" s="72">
        <v>0.984149855907781</v>
      </c>
      <c r="AE460" s="72">
        <v>0.994545454545455</v>
      </c>
      <c r="AF460" s="72">
        <v>0.98330241187384</v>
      </c>
      <c r="AG460" s="72">
        <v>0.984428136746018</v>
      </c>
      <c r="AH460" s="74">
        <v>0.92</v>
      </c>
      <c r="AI460" s="72">
        <v>0.953758949880668</v>
      </c>
      <c r="AJ460" s="72">
        <v>0.977466504263094</v>
      </c>
      <c r="AK460" s="72">
        <v>0.986861313868613</v>
      </c>
      <c r="AL460" s="72">
        <v>0.981567569324794</v>
      </c>
      <c r="AM460" s="71">
        <v>0.99</v>
      </c>
      <c r="AN460" s="76">
        <v>1</v>
      </c>
      <c r="AO460" s="76">
        <v>1</v>
      </c>
      <c r="AP460" s="76">
        <v>1</v>
      </c>
      <c r="AQ460" s="76">
        <v>1</v>
      </c>
      <c r="AR460" s="96">
        <v>0.05</v>
      </c>
      <c r="AS460" s="80">
        <v>0</v>
      </c>
      <c r="AT460" s="80">
        <v>0</v>
      </c>
      <c r="AU460" s="80">
        <v>0.181818181818182</v>
      </c>
      <c r="AV460" s="80">
        <v>0.0184049079754601</v>
      </c>
      <c r="AW460" s="36"/>
      <c r="AX460" s="34"/>
    </row>
    <row r="461" ht="14.5" spans="1:50">
      <c r="A461" s="32"/>
      <c r="B461" s="36"/>
      <c r="C461" s="91" t="s">
        <v>401</v>
      </c>
      <c r="D461" s="69" t="s">
        <v>19</v>
      </c>
      <c r="E461" s="92" t="s">
        <v>512</v>
      </c>
      <c r="F461" s="92" t="s">
        <v>512</v>
      </c>
      <c r="G461" s="92" t="s">
        <v>512</v>
      </c>
      <c r="H461" s="92" t="s">
        <v>512</v>
      </c>
      <c r="I461" s="71">
        <v>0.9</v>
      </c>
      <c r="J461" s="72">
        <v>1</v>
      </c>
      <c r="K461" s="72">
        <v>1</v>
      </c>
      <c r="L461" s="73">
        <v>1</v>
      </c>
      <c r="M461" s="72">
        <v>1</v>
      </c>
      <c r="N461" s="74">
        <v>0.9</v>
      </c>
      <c r="O461" s="72">
        <v>0.98731165741475</v>
      </c>
      <c r="P461" s="72">
        <v>0.989648033126294</v>
      </c>
      <c r="Q461" s="72">
        <v>0.989893318360472</v>
      </c>
      <c r="R461" s="72">
        <v>0.989478869076938</v>
      </c>
      <c r="S461" s="74">
        <v>0.9</v>
      </c>
      <c r="T461" s="72">
        <v>0.913719270420301</v>
      </c>
      <c r="U461" s="72">
        <v>0.947863730472426</v>
      </c>
      <c r="V461" s="72">
        <v>0.954894254164327</v>
      </c>
      <c r="W461" s="72">
        <v>0.927435720618658</v>
      </c>
      <c r="X461" s="74">
        <v>0.92</v>
      </c>
      <c r="Y461" s="74">
        <v>0.897595725734639</v>
      </c>
      <c r="Z461" s="74">
        <v>0.900728597449909</v>
      </c>
      <c r="AA461" s="74">
        <v>0.90625</v>
      </c>
      <c r="AB461" s="74">
        <v>0.896859037061189</v>
      </c>
      <c r="AC461" s="74">
        <v>0.92</v>
      </c>
      <c r="AD461" s="72">
        <v>0.99722479185939</v>
      </c>
      <c r="AE461" s="72">
        <v>0.995378927911275</v>
      </c>
      <c r="AF461" s="72">
        <v>0.989316239316239</v>
      </c>
      <c r="AG461" s="72">
        <v>0.99197792324477</v>
      </c>
      <c r="AH461" s="74">
        <v>0.92</v>
      </c>
      <c r="AI461" s="72">
        <v>0.969179004037685</v>
      </c>
      <c r="AJ461" s="72">
        <v>0.969739510216815</v>
      </c>
      <c r="AK461" s="72">
        <v>0.97490134175217</v>
      </c>
      <c r="AL461" s="72">
        <v>0.972030421294906</v>
      </c>
      <c r="AM461" s="71">
        <v>0.99</v>
      </c>
      <c r="AN461" s="76">
        <v>1</v>
      </c>
      <c r="AO461" s="76">
        <v>1</v>
      </c>
      <c r="AP461" s="76">
        <v>1</v>
      </c>
      <c r="AQ461" s="76">
        <v>1</v>
      </c>
      <c r="AR461" s="96">
        <v>0.05</v>
      </c>
      <c r="AS461" s="80">
        <v>0.0526315789473684</v>
      </c>
      <c r="AT461" s="80">
        <v>0.0625</v>
      </c>
      <c r="AU461" s="80">
        <v>0.0952380952380952</v>
      </c>
      <c r="AV461" s="80">
        <v>0.0727272727272727</v>
      </c>
      <c r="AW461" s="36"/>
      <c r="AX461" s="34"/>
    </row>
    <row r="462" ht="14.5" spans="1:50">
      <c r="A462" s="32"/>
      <c r="B462" s="36"/>
      <c r="C462" s="91" t="s">
        <v>401</v>
      </c>
      <c r="D462" s="69" t="s">
        <v>19</v>
      </c>
      <c r="E462" s="92" t="s">
        <v>513</v>
      </c>
      <c r="F462" s="92" t="s">
        <v>513</v>
      </c>
      <c r="G462" s="92" t="s">
        <v>513</v>
      </c>
      <c r="H462" s="92" t="s">
        <v>513</v>
      </c>
      <c r="I462" s="71">
        <v>0.9</v>
      </c>
      <c r="J462" s="72">
        <v>1</v>
      </c>
      <c r="K462" s="72">
        <v>1</v>
      </c>
      <c r="L462" s="73">
        <v>1</v>
      </c>
      <c r="M462" s="72">
        <v>0.998366013071895</v>
      </c>
      <c r="N462" s="74">
        <v>0.9</v>
      </c>
      <c r="O462" s="72">
        <v>0.989307931570762</v>
      </c>
      <c r="P462" s="72">
        <v>0.991201055873295</v>
      </c>
      <c r="Q462" s="72">
        <v>0.996748319965315</v>
      </c>
      <c r="R462" s="72">
        <v>0.991092731032289</v>
      </c>
      <c r="S462" s="74">
        <v>0.9</v>
      </c>
      <c r="T462" s="72">
        <v>0.927682737169518</v>
      </c>
      <c r="U462" s="72">
        <v>0.938187417509899</v>
      </c>
      <c r="V462" s="72">
        <v>0.940169087361804</v>
      </c>
      <c r="W462" s="72">
        <v>0.936762934854234</v>
      </c>
      <c r="X462" s="74">
        <v>0.92</v>
      </c>
      <c r="Y462" s="74">
        <v>0.858585858585859</v>
      </c>
      <c r="Z462" s="74">
        <v>0.851851851851852</v>
      </c>
      <c r="AA462" s="74">
        <v>0.88135593220339</v>
      </c>
      <c r="AB462" s="74">
        <v>0.871669385535617</v>
      </c>
      <c r="AC462" s="74">
        <v>0.92</v>
      </c>
      <c r="AD462" s="72">
        <v>0.995381062355658</v>
      </c>
      <c r="AE462" s="72">
        <v>0.998698763825634</v>
      </c>
      <c r="AF462" s="72">
        <v>0.997076023391813</v>
      </c>
      <c r="AG462" s="72">
        <v>0.992130236864439</v>
      </c>
      <c r="AH462" s="74">
        <v>0.92</v>
      </c>
      <c r="AI462" s="72">
        <v>0.963877381938691</v>
      </c>
      <c r="AJ462" s="72">
        <v>0.965272591486184</v>
      </c>
      <c r="AK462" s="72">
        <v>0.969516728624535</v>
      </c>
      <c r="AL462" s="72">
        <v>0.96840445413487</v>
      </c>
      <c r="AM462" s="71">
        <v>0.99</v>
      </c>
      <c r="AN462" s="76">
        <v>1</v>
      </c>
      <c r="AO462" s="76">
        <v>1</v>
      </c>
      <c r="AP462" s="76">
        <v>1</v>
      </c>
      <c r="AQ462" s="76">
        <v>1</v>
      </c>
      <c r="AR462" s="96">
        <v>0.05</v>
      </c>
      <c r="AS462" s="80">
        <v>0.166666666666667</v>
      </c>
      <c r="AT462" s="80">
        <v>0</v>
      </c>
      <c r="AU462" s="80">
        <v>0</v>
      </c>
      <c r="AV462" s="80">
        <v>0.0758620689655172</v>
      </c>
      <c r="AW462" s="36"/>
      <c r="AX462" s="34"/>
    </row>
    <row r="463" ht="14.5" spans="1:50">
      <c r="A463" s="32"/>
      <c r="B463" s="36"/>
      <c r="C463" s="91" t="s">
        <v>401</v>
      </c>
      <c r="D463" s="69" t="s">
        <v>19</v>
      </c>
      <c r="E463" s="92" t="s">
        <v>514</v>
      </c>
      <c r="F463" s="92" t="s">
        <v>514</v>
      </c>
      <c r="G463" s="92" t="s">
        <v>514</v>
      </c>
      <c r="H463" s="92" t="s">
        <v>514</v>
      </c>
      <c r="I463" s="71">
        <v>0.9</v>
      </c>
      <c r="J463" s="72">
        <v>1</v>
      </c>
      <c r="K463" s="72">
        <v>0.98</v>
      </c>
      <c r="L463" s="73">
        <v>1</v>
      </c>
      <c r="M463" s="72">
        <v>0.993670886075949</v>
      </c>
      <c r="N463" s="74">
        <v>0.9</v>
      </c>
      <c r="O463" s="72">
        <v>0.987989761764127</v>
      </c>
      <c r="P463" s="72">
        <v>0.988426441130648</v>
      </c>
      <c r="Q463" s="72">
        <v>0.989766407119021</v>
      </c>
      <c r="R463" s="72">
        <v>0.979050115868074</v>
      </c>
      <c r="S463" s="74">
        <v>0.9</v>
      </c>
      <c r="T463" s="72">
        <v>0.924985233313644</v>
      </c>
      <c r="U463" s="72">
        <v>0.946361006009348</v>
      </c>
      <c r="V463" s="72">
        <v>0.963070077864294</v>
      </c>
      <c r="W463" s="72">
        <v>0.950118208843426</v>
      </c>
      <c r="X463" s="74">
        <v>0.92</v>
      </c>
      <c r="Y463" s="74">
        <v>0.874193548387097</v>
      </c>
      <c r="Z463" s="74">
        <v>0.872670807453416</v>
      </c>
      <c r="AA463" s="74">
        <v>0.86984126984127</v>
      </c>
      <c r="AB463" s="74">
        <v>0.876191640185774</v>
      </c>
      <c r="AC463" s="74">
        <v>0.92</v>
      </c>
      <c r="AD463" s="72">
        <v>0.998663994655979</v>
      </c>
      <c r="AE463" s="72">
        <v>0.994318181818182</v>
      </c>
      <c r="AF463" s="72">
        <v>0.996122152205526</v>
      </c>
      <c r="AG463" s="72">
        <v>0.987687728318225</v>
      </c>
      <c r="AH463" s="74">
        <v>0.92</v>
      </c>
      <c r="AI463" s="72">
        <v>0.964392678868552</v>
      </c>
      <c r="AJ463" s="72">
        <v>0.964828723209379</v>
      </c>
      <c r="AK463" s="72">
        <v>0.969485294117647</v>
      </c>
      <c r="AL463" s="72">
        <v>0.970199391022493</v>
      </c>
      <c r="AM463" s="71">
        <v>0.99</v>
      </c>
      <c r="AN463" s="76">
        <v>1</v>
      </c>
      <c r="AO463" s="76">
        <v>1</v>
      </c>
      <c r="AP463" s="76">
        <v>1</v>
      </c>
      <c r="AQ463" s="76">
        <v>1</v>
      </c>
      <c r="AR463" s="96">
        <v>0.05</v>
      </c>
      <c r="AS463" s="80">
        <v>0.04</v>
      </c>
      <c r="AT463" s="80">
        <v>0</v>
      </c>
      <c r="AU463" s="80">
        <v>0</v>
      </c>
      <c r="AV463" s="80">
        <v>0.0489130434782609</v>
      </c>
      <c r="AW463" s="36"/>
      <c r="AX463" s="34"/>
    </row>
    <row r="464" ht="14.5" spans="1:50">
      <c r="A464" s="32"/>
      <c r="B464" s="36"/>
      <c r="C464" s="91" t="s">
        <v>401</v>
      </c>
      <c r="D464" s="69" t="s">
        <v>19</v>
      </c>
      <c r="E464" s="92" t="s">
        <v>515</v>
      </c>
      <c r="F464" s="92" t="s">
        <v>515</v>
      </c>
      <c r="G464" s="92" t="s">
        <v>515</v>
      </c>
      <c r="H464" s="92" t="s">
        <v>515</v>
      </c>
      <c r="I464" s="71">
        <v>0.9</v>
      </c>
      <c r="J464" s="72">
        <v>1</v>
      </c>
      <c r="K464" s="72">
        <v>1</v>
      </c>
      <c r="L464" s="73">
        <v>1</v>
      </c>
      <c r="M464" s="72">
        <v>0.991869918699187</v>
      </c>
      <c r="N464" s="74">
        <v>0.9</v>
      </c>
      <c r="O464" s="72">
        <v>0.977884414771542</v>
      </c>
      <c r="P464" s="72">
        <v>0.984343090537781</v>
      </c>
      <c r="Q464" s="72">
        <v>0.982025427444103</v>
      </c>
      <c r="R464" s="72">
        <v>0.979236420570878</v>
      </c>
      <c r="S464" s="74">
        <v>0.9</v>
      </c>
      <c r="T464" s="72">
        <v>0.941790110577926</v>
      </c>
      <c r="U464" s="72">
        <v>0.95121397776265</v>
      </c>
      <c r="V464" s="72">
        <v>0.919552827707146</v>
      </c>
      <c r="W464" s="72">
        <v>0.93607129953029</v>
      </c>
      <c r="X464" s="74">
        <v>0.92</v>
      </c>
      <c r="Y464" s="74">
        <v>0.884241245136187</v>
      </c>
      <c r="Z464" s="74">
        <v>0.878640776699029</v>
      </c>
      <c r="AA464" s="74">
        <v>0.850174216027875</v>
      </c>
      <c r="AB464" s="74">
        <v>0.879895561357702</v>
      </c>
      <c r="AC464" s="74">
        <v>0.92</v>
      </c>
      <c r="AD464" s="72">
        <v>0.99833748960931</v>
      </c>
      <c r="AE464" s="72">
        <v>0.988482384823848</v>
      </c>
      <c r="AF464" s="72">
        <v>0.992114695340502</v>
      </c>
      <c r="AG464" s="72">
        <v>0.986878950316025</v>
      </c>
      <c r="AH464" s="74">
        <v>0.92</v>
      </c>
      <c r="AI464" s="72">
        <v>0.963414634146341</v>
      </c>
      <c r="AJ464" s="72">
        <v>0.965589753393233</v>
      </c>
      <c r="AK464" s="72">
        <v>0.962559940981188</v>
      </c>
      <c r="AL464" s="72">
        <v>0.9681598062954</v>
      </c>
      <c r="AM464" s="71">
        <v>0.99</v>
      </c>
      <c r="AN464" s="76">
        <v>1</v>
      </c>
      <c r="AO464" s="76">
        <v>1</v>
      </c>
      <c r="AP464" s="76">
        <v>1</v>
      </c>
      <c r="AQ464" s="76">
        <v>1</v>
      </c>
      <c r="AR464" s="96">
        <v>0.05</v>
      </c>
      <c r="AS464" s="80">
        <v>0.05</v>
      </c>
      <c r="AT464" s="80">
        <v>0.0476190476190476</v>
      </c>
      <c r="AU464" s="80">
        <v>0.125</v>
      </c>
      <c r="AV464" s="80">
        <v>0.0621761658031088</v>
      </c>
      <c r="AW464" s="36"/>
      <c r="AX464" s="34"/>
    </row>
    <row r="465" ht="14.5" spans="1:50">
      <c r="A465" s="32"/>
      <c r="B465" s="36"/>
      <c r="C465" s="91" t="s">
        <v>401</v>
      </c>
      <c r="D465" s="69" t="s">
        <v>19</v>
      </c>
      <c r="E465" s="92" t="s">
        <v>516</v>
      </c>
      <c r="F465" s="92" t="s">
        <v>516</v>
      </c>
      <c r="G465" s="92" t="s">
        <v>516</v>
      </c>
      <c r="H465" s="92" t="s">
        <v>516</v>
      </c>
      <c r="I465" s="71">
        <v>0.9</v>
      </c>
      <c r="J465" s="72">
        <v>1</v>
      </c>
      <c r="K465" s="72">
        <v>0.978260869565217</v>
      </c>
      <c r="L465" s="73">
        <v>1</v>
      </c>
      <c r="M465" s="72">
        <v>0.990632318501171</v>
      </c>
      <c r="N465" s="74">
        <v>0.9</v>
      </c>
      <c r="O465" s="72">
        <v>0.977747413624829</v>
      </c>
      <c r="P465" s="72">
        <v>0.984622144112478</v>
      </c>
      <c r="Q465" s="72">
        <v>0.986399108138239</v>
      </c>
      <c r="R465" s="72">
        <v>0.984082723364703</v>
      </c>
      <c r="S465" s="74">
        <v>0.9</v>
      </c>
      <c r="T465" s="72">
        <v>0.891469841889518</v>
      </c>
      <c r="U465" s="72">
        <v>0.941783831282953</v>
      </c>
      <c r="V465" s="72">
        <v>0.959197324414716</v>
      </c>
      <c r="W465" s="72">
        <v>0.929731613802719</v>
      </c>
      <c r="X465" s="74">
        <v>0.92</v>
      </c>
      <c r="Y465" s="74">
        <v>0.935077519379845</v>
      </c>
      <c r="Z465" s="74">
        <v>0.944874274661509</v>
      </c>
      <c r="AA465" s="74">
        <v>0.967505241090147</v>
      </c>
      <c r="AB465" s="74">
        <v>0.958480565371025</v>
      </c>
      <c r="AC465" s="74">
        <v>0.92</v>
      </c>
      <c r="AD465" s="72">
        <v>0.996811478676764</v>
      </c>
      <c r="AE465" s="72">
        <v>0.996108949416342</v>
      </c>
      <c r="AF465" s="72">
        <v>0.993551160791058</v>
      </c>
      <c r="AG465" s="72">
        <v>0.996702143606656</v>
      </c>
      <c r="AH465" s="74">
        <v>0.92</v>
      </c>
      <c r="AI465" s="72">
        <v>0.960357432981316</v>
      </c>
      <c r="AJ465" s="72">
        <v>0.976011457214465</v>
      </c>
      <c r="AK465" s="72">
        <v>0.985475271189557</v>
      </c>
      <c r="AL465" s="72">
        <v>0.979269041769042</v>
      </c>
      <c r="AM465" s="71">
        <v>0.99</v>
      </c>
      <c r="AN465" s="76">
        <v>1</v>
      </c>
      <c r="AO465" s="76">
        <v>1</v>
      </c>
      <c r="AP465" s="76">
        <v>1</v>
      </c>
      <c r="AQ465" s="76">
        <v>1</v>
      </c>
      <c r="AR465" s="96">
        <v>0.05</v>
      </c>
      <c r="AS465" s="80">
        <v>0</v>
      </c>
      <c r="AT465" s="80">
        <v>0.0454545454545455</v>
      </c>
      <c r="AU465" s="80">
        <v>0.0666666666666667</v>
      </c>
      <c r="AV465" s="80">
        <v>0.0504587155963303</v>
      </c>
      <c r="AW465" s="36"/>
      <c r="AX465" s="34"/>
    </row>
    <row r="466" ht="14.5" spans="1:50">
      <c r="A466" s="32"/>
      <c r="B466" s="36"/>
      <c r="C466" s="91" t="s">
        <v>401</v>
      </c>
      <c r="D466" s="69" t="s">
        <v>19</v>
      </c>
      <c r="E466" s="92" t="s">
        <v>517</v>
      </c>
      <c r="F466" s="92" t="s">
        <v>517</v>
      </c>
      <c r="G466" s="92" t="s">
        <v>517</v>
      </c>
      <c r="H466" s="92" t="s">
        <v>517</v>
      </c>
      <c r="I466" s="71">
        <v>0.9</v>
      </c>
      <c r="J466" s="72">
        <v>1</v>
      </c>
      <c r="K466" s="72">
        <v>1</v>
      </c>
      <c r="L466" s="73">
        <v>1</v>
      </c>
      <c r="M466" s="72">
        <v>0.980544747081712</v>
      </c>
      <c r="N466" s="74">
        <v>0.9</v>
      </c>
      <c r="O466" s="72">
        <v>0.987397820163488</v>
      </c>
      <c r="P466" s="72">
        <v>0.995033112582781</v>
      </c>
      <c r="Q466" s="72">
        <v>0.986022364217252</v>
      </c>
      <c r="R466" s="72">
        <v>0.993622288423614</v>
      </c>
      <c r="S466" s="74">
        <v>0.9</v>
      </c>
      <c r="T466" s="72">
        <v>0.927792915531335</v>
      </c>
      <c r="U466" s="72">
        <v>0.952400662251656</v>
      </c>
      <c r="V466" s="72">
        <v>0.962060702875399</v>
      </c>
      <c r="W466" s="72">
        <v>0.956321067427516</v>
      </c>
      <c r="X466" s="74">
        <v>0.92</v>
      </c>
      <c r="Y466" s="74">
        <v>0.941353383458647</v>
      </c>
      <c r="Z466" s="74">
        <v>0.953900709219858</v>
      </c>
      <c r="AA466" s="74">
        <v>0.965454545454545</v>
      </c>
      <c r="AB466" s="74">
        <v>0.9634836945909</v>
      </c>
      <c r="AC466" s="74">
        <v>0.92</v>
      </c>
      <c r="AD466" s="72">
        <v>0.996209249431387</v>
      </c>
      <c r="AE466" s="72">
        <v>0.994989262705798</v>
      </c>
      <c r="AF466" s="72">
        <v>0.999261174732176</v>
      </c>
      <c r="AG466" s="72">
        <v>0.996639895099164</v>
      </c>
      <c r="AH466" s="74">
        <v>0.92</v>
      </c>
      <c r="AI466" s="72">
        <v>0.970841432935296</v>
      </c>
      <c r="AJ466" s="72">
        <v>0.977188862797719</v>
      </c>
      <c r="AK466" s="72">
        <v>0.985592665356909</v>
      </c>
      <c r="AL466" s="72">
        <v>0.98349276513451</v>
      </c>
      <c r="AM466" s="71">
        <v>0.99</v>
      </c>
      <c r="AN466" s="76">
        <v>1</v>
      </c>
      <c r="AO466" s="76">
        <v>1</v>
      </c>
      <c r="AP466" s="76">
        <v>1</v>
      </c>
      <c r="AQ466" s="76">
        <v>1</v>
      </c>
      <c r="AR466" s="96">
        <v>0.05</v>
      </c>
      <c r="AS466" s="80">
        <v>0</v>
      </c>
      <c r="AT466" s="80">
        <v>0</v>
      </c>
      <c r="AU466" s="80">
        <v>0</v>
      </c>
      <c r="AV466" s="80">
        <v>0.0208333333333333</v>
      </c>
      <c r="AW466" s="36"/>
      <c r="AX466" s="34"/>
    </row>
    <row r="467" ht="14.5" spans="1:50">
      <c r="A467" s="32"/>
      <c r="B467" s="36"/>
      <c r="C467" s="91" t="s">
        <v>401</v>
      </c>
      <c r="D467" s="69" t="s">
        <v>19</v>
      </c>
      <c r="E467" s="92" t="s">
        <v>518</v>
      </c>
      <c r="F467" s="92" t="s">
        <v>518</v>
      </c>
      <c r="G467" s="92" t="s">
        <v>518</v>
      </c>
      <c r="H467" s="92" t="s">
        <v>518</v>
      </c>
      <c r="I467" s="71">
        <v>0.9</v>
      </c>
      <c r="J467" s="72">
        <v>1</v>
      </c>
      <c r="K467" s="72">
        <v>1</v>
      </c>
      <c r="L467" s="73">
        <v>1</v>
      </c>
      <c r="M467" s="72">
        <v>0.992788461538462</v>
      </c>
      <c r="N467" s="74">
        <v>0.9</v>
      </c>
      <c r="O467" s="72">
        <v>0.981345002303086</v>
      </c>
      <c r="P467" s="72">
        <v>0.985143442622951</v>
      </c>
      <c r="Q467" s="72">
        <v>0.988071065989848</v>
      </c>
      <c r="R467" s="72">
        <v>0.982841808522173</v>
      </c>
      <c r="S467" s="74">
        <v>0.9</v>
      </c>
      <c r="T467" s="72">
        <v>0.850299401197605</v>
      </c>
      <c r="U467" s="72">
        <v>0.901895491803279</v>
      </c>
      <c r="V467" s="72">
        <v>0.896446700507614</v>
      </c>
      <c r="W467" s="72">
        <v>0.885313889190068</v>
      </c>
      <c r="X467" s="74">
        <v>0.92</v>
      </c>
      <c r="Y467" s="74">
        <v>0.828165374677003</v>
      </c>
      <c r="Z467" s="74">
        <v>0.833333333333333</v>
      </c>
      <c r="AA467" s="74">
        <v>0.819918144611187</v>
      </c>
      <c r="AB467" s="74">
        <v>0.815564552406658</v>
      </c>
      <c r="AC467" s="74">
        <v>0.92</v>
      </c>
      <c r="AD467" s="72">
        <v>0.995145631067961</v>
      </c>
      <c r="AE467" s="72">
        <v>0.99698568198945</v>
      </c>
      <c r="AF467" s="72">
        <v>0.993281075027996</v>
      </c>
      <c r="AG467" s="72">
        <v>0.995791688584955</v>
      </c>
      <c r="AH467" s="74">
        <v>0.92</v>
      </c>
      <c r="AI467" s="72">
        <v>0.94546520719312</v>
      </c>
      <c r="AJ467" s="72">
        <v>0.950583244962884</v>
      </c>
      <c r="AK467" s="72">
        <v>0.959768885084528</v>
      </c>
      <c r="AL467" s="72">
        <v>0.949892117706468</v>
      </c>
      <c r="AM467" s="71">
        <v>0.99</v>
      </c>
      <c r="AN467" s="76">
        <v>1</v>
      </c>
      <c r="AO467" s="76">
        <v>1</v>
      </c>
      <c r="AP467" s="76">
        <v>1</v>
      </c>
      <c r="AQ467" s="76">
        <v>1</v>
      </c>
      <c r="AR467" s="96">
        <v>0.05</v>
      </c>
      <c r="AS467" s="80">
        <v>0</v>
      </c>
      <c r="AT467" s="80">
        <v>0</v>
      </c>
      <c r="AU467" s="80">
        <v>0</v>
      </c>
      <c r="AV467" s="80">
        <v>0.0307692307692308</v>
      </c>
      <c r="AW467" s="36"/>
      <c r="AX467" s="34"/>
    </row>
    <row r="468" ht="14.5" spans="1:50">
      <c r="A468" s="32"/>
      <c r="B468" s="36"/>
      <c r="C468" s="91" t="s">
        <v>401</v>
      </c>
      <c r="D468" s="69" t="s">
        <v>19</v>
      </c>
      <c r="E468" s="92" t="s">
        <v>519</v>
      </c>
      <c r="F468" s="92" t="s">
        <v>519</v>
      </c>
      <c r="G468" s="92" t="s">
        <v>519</v>
      </c>
      <c r="H468" s="92" t="s">
        <v>519</v>
      </c>
      <c r="I468" s="71">
        <v>0.9</v>
      </c>
      <c r="J468" s="72">
        <v>1</v>
      </c>
      <c r="K468" s="72">
        <v>0.98</v>
      </c>
      <c r="L468" s="73">
        <v>0.981481481481482</v>
      </c>
      <c r="M468" s="72">
        <v>0.988913525498891</v>
      </c>
      <c r="N468" s="74">
        <v>0.9</v>
      </c>
      <c r="O468" s="72">
        <v>0.98030303030303</v>
      </c>
      <c r="P468" s="72">
        <v>0.989952553725928</v>
      </c>
      <c r="Q468" s="72">
        <v>0.991430101767542</v>
      </c>
      <c r="R468" s="72">
        <v>0.987022991230149</v>
      </c>
      <c r="S468" s="74">
        <v>0.9</v>
      </c>
      <c r="T468" s="72">
        <v>0.904545454545455</v>
      </c>
      <c r="U468" s="72">
        <v>0.945297236952275</v>
      </c>
      <c r="V468" s="72">
        <v>0.953936797000536</v>
      </c>
      <c r="W468" s="72">
        <v>0.931470727660583</v>
      </c>
      <c r="X468" s="74">
        <v>0.92</v>
      </c>
      <c r="Y468" s="74">
        <v>0.901937046004843</v>
      </c>
      <c r="Z468" s="74">
        <v>0.945222929936306</v>
      </c>
      <c r="AA468" s="74">
        <v>0.929159802306425</v>
      </c>
      <c r="AB468" s="74">
        <v>0.898359088736658</v>
      </c>
      <c r="AC468" s="74">
        <v>0.92</v>
      </c>
      <c r="AD468" s="72">
        <v>0.995867768595041</v>
      </c>
      <c r="AE468" s="72">
        <v>0.990514228657014</v>
      </c>
      <c r="AF468" s="72">
        <v>0.995696400625978</v>
      </c>
      <c r="AG468" s="72">
        <v>0.989801242825293</v>
      </c>
      <c r="AH468" s="74">
        <v>0.92</v>
      </c>
      <c r="AI468" s="72">
        <v>0.966576143722582</v>
      </c>
      <c r="AJ468" s="72">
        <v>0.980086976424811</v>
      </c>
      <c r="AK468" s="72">
        <v>0.983183598249251</v>
      </c>
      <c r="AL468" s="72">
        <v>0.972249281878356</v>
      </c>
      <c r="AM468" s="71">
        <v>0.99</v>
      </c>
      <c r="AN468" s="76">
        <v>1</v>
      </c>
      <c r="AO468" s="76">
        <v>1</v>
      </c>
      <c r="AP468" s="76">
        <v>1</v>
      </c>
      <c r="AQ468" s="76">
        <v>1</v>
      </c>
      <c r="AR468" s="96">
        <v>0.05</v>
      </c>
      <c r="AS468" s="80">
        <v>0</v>
      </c>
      <c r="AT468" s="80">
        <v>0</v>
      </c>
      <c r="AU468" s="80">
        <v>0</v>
      </c>
      <c r="AV468" s="80">
        <v>0.015625</v>
      </c>
      <c r="AW468" s="36"/>
      <c r="AX468" s="34"/>
    </row>
    <row r="469" ht="14.5" spans="1:50">
      <c r="A469" s="32"/>
      <c r="B469" s="36"/>
      <c r="C469" s="91" t="s">
        <v>401</v>
      </c>
      <c r="D469" s="69" t="s">
        <v>19</v>
      </c>
      <c r="E469" s="92" t="s">
        <v>520</v>
      </c>
      <c r="F469" s="92" t="s">
        <v>520</v>
      </c>
      <c r="G469" s="92" t="s">
        <v>520</v>
      </c>
      <c r="H469" s="92" t="s">
        <v>520</v>
      </c>
      <c r="I469" s="71">
        <v>0.9</v>
      </c>
      <c r="J469" s="72">
        <v>1</v>
      </c>
      <c r="K469" s="72">
        <v>0.980769230769231</v>
      </c>
      <c r="L469" s="73">
        <v>0.96551724137931</v>
      </c>
      <c r="M469" s="72">
        <v>0.985887096774194</v>
      </c>
      <c r="N469" s="74">
        <v>0.9</v>
      </c>
      <c r="O469" s="72">
        <v>0.98488870737186</v>
      </c>
      <c r="P469" s="72">
        <v>0.990412272291467</v>
      </c>
      <c r="Q469" s="72">
        <v>0.983534322820037</v>
      </c>
      <c r="R469" s="72">
        <v>0.988235294117647</v>
      </c>
      <c r="S469" s="74">
        <v>0.9</v>
      </c>
      <c r="T469" s="72">
        <v>0.903206044517051</v>
      </c>
      <c r="U469" s="72">
        <v>0.944151486097795</v>
      </c>
      <c r="V469" s="72">
        <v>0.945964749536178</v>
      </c>
      <c r="W469" s="72">
        <v>0.937145736238821</v>
      </c>
      <c r="X469" s="74">
        <v>0.92</v>
      </c>
      <c r="Y469" s="74">
        <v>0.898066783831283</v>
      </c>
      <c r="Z469" s="74">
        <v>0.916256157635468</v>
      </c>
      <c r="AA469" s="74">
        <v>0.910880829015544</v>
      </c>
      <c r="AB469" s="74">
        <v>0.924818944706288</v>
      </c>
      <c r="AC469" s="74">
        <v>0.92</v>
      </c>
      <c r="AD469" s="72">
        <v>0.997646135739506</v>
      </c>
      <c r="AE469" s="72">
        <v>0.998972461981093</v>
      </c>
      <c r="AF469" s="72">
        <v>0.994097616345062</v>
      </c>
      <c r="AG469" s="72">
        <v>0.995349845797995</v>
      </c>
      <c r="AH469" s="74">
        <v>0.92</v>
      </c>
      <c r="AI469" s="72">
        <v>0.96072908036454</v>
      </c>
      <c r="AJ469" s="72">
        <v>0.968960863697706</v>
      </c>
      <c r="AK469" s="72">
        <v>0.972522266439265</v>
      </c>
      <c r="AL469" s="72">
        <v>0.974295396313745</v>
      </c>
      <c r="AM469" s="71">
        <v>0.99</v>
      </c>
      <c r="AN469" s="76">
        <v>1</v>
      </c>
      <c r="AO469" s="76">
        <v>1</v>
      </c>
      <c r="AP469" s="76">
        <v>1</v>
      </c>
      <c r="AQ469" s="76">
        <v>1</v>
      </c>
      <c r="AR469" s="96">
        <v>0.05</v>
      </c>
      <c r="AS469" s="80">
        <v>0</v>
      </c>
      <c r="AT469" s="80">
        <v>0</v>
      </c>
      <c r="AU469" s="80">
        <v>0</v>
      </c>
      <c r="AV469" s="80">
        <v>0.0406091370558376</v>
      </c>
      <c r="AW469" s="36"/>
      <c r="AX469" s="34"/>
    </row>
    <row r="470" ht="14.5" spans="1:50">
      <c r="A470" s="32"/>
      <c r="B470" s="36"/>
      <c r="C470" s="91" t="s">
        <v>401</v>
      </c>
      <c r="D470" s="69" t="s">
        <v>19</v>
      </c>
      <c r="E470" s="92" t="s">
        <v>521</v>
      </c>
      <c r="F470" s="92" t="s">
        <v>521</v>
      </c>
      <c r="G470" s="92" t="s">
        <v>521</v>
      </c>
      <c r="H470" s="92" t="s">
        <v>521</v>
      </c>
      <c r="I470" s="71">
        <v>0.9</v>
      </c>
      <c r="J470" s="72">
        <v>0.953125</v>
      </c>
      <c r="K470" s="72">
        <v>0.96969696969697</v>
      </c>
      <c r="L470" s="73">
        <v>0.954545454545455</v>
      </c>
      <c r="M470" s="72">
        <v>0.969230769230769</v>
      </c>
      <c r="N470" s="74">
        <v>0.9</v>
      </c>
      <c r="O470" s="72">
        <v>0.989059080962801</v>
      </c>
      <c r="P470" s="72">
        <v>0.989671163575042</v>
      </c>
      <c r="Q470" s="72">
        <v>0.989753694581281</v>
      </c>
      <c r="R470" s="72">
        <v>0.989155559395995</v>
      </c>
      <c r="S470" s="74">
        <v>0.9</v>
      </c>
      <c r="T470" s="72">
        <v>0.925784099197666</v>
      </c>
      <c r="U470" s="72">
        <v>0.940134907251265</v>
      </c>
      <c r="V470" s="72">
        <v>0.950541871921182</v>
      </c>
      <c r="W470" s="72">
        <v>0.926789224687304</v>
      </c>
      <c r="X470" s="74">
        <v>0.92</v>
      </c>
      <c r="Y470" s="74">
        <v>0.89532293986637</v>
      </c>
      <c r="Z470" s="74">
        <v>0.901883052527255</v>
      </c>
      <c r="AA470" s="74">
        <v>0.91889007470651</v>
      </c>
      <c r="AB470" s="74">
        <v>0.909641415340774</v>
      </c>
      <c r="AC470" s="74">
        <v>0.92</v>
      </c>
      <c r="AD470" s="72">
        <v>0.997203579418344</v>
      </c>
      <c r="AE470" s="72">
        <v>0.996168582375479</v>
      </c>
      <c r="AF470" s="72">
        <v>0.998881014546811</v>
      </c>
      <c r="AG470" s="72">
        <v>0.955736979294743</v>
      </c>
      <c r="AH470" s="74">
        <v>0.92</v>
      </c>
      <c r="AI470" s="72">
        <v>0.960670636164212</v>
      </c>
      <c r="AJ470" s="72">
        <v>0.967147575178168</v>
      </c>
      <c r="AK470" s="72">
        <v>0.975382568196939</v>
      </c>
      <c r="AL470" s="72">
        <v>0.972585715330068</v>
      </c>
      <c r="AM470" s="71">
        <v>0.99</v>
      </c>
      <c r="AN470" s="76">
        <v>1</v>
      </c>
      <c r="AO470" s="76">
        <v>1</v>
      </c>
      <c r="AP470" s="76">
        <v>1</v>
      </c>
      <c r="AQ470" s="76">
        <v>1</v>
      </c>
      <c r="AR470" s="96">
        <v>0.05</v>
      </c>
      <c r="AS470" s="80">
        <v>0</v>
      </c>
      <c r="AT470" s="80">
        <v>0</v>
      </c>
      <c r="AU470" s="80">
        <v>0</v>
      </c>
      <c r="AV470" s="80">
        <v>0.0204081632653061</v>
      </c>
      <c r="AW470" s="36"/>
      <c r="AX470" s="34"/>
    </row>
    <row r="471" ht="14.5" spans="1:50">
      <c r="A471" s="32"/>
      <c r="B471" s="36"/>
      <c r="C471" s="91" t="s">
        <v>401</v>
      </c>
      <c r="D471" s="69" t="s">
        <v>19</v>
      </c>
      <c r="E471" s="92" t="s">
        <v>522</v>
      </c>
      <c r="F471" s="92" t="s">
        <v>522</v>
      </c>
      <c r="G471" s="92" t="s">
        <v>522</v>
      </c>
      <c r="H471" s="92" t="s">
        <v>522</v>
      </c>
      <c r="I471" s="71">
        <v>0.9</v>
      </c>
      <c r="J471" s="72">
        <v>1</v>
      </c>
      <c r="K471" s="72">
        <v>1</v>
      </c>
      <c r="L471" s="73">
        <v>1</v>
      </c>
      <c r="M471" s="72">
        <v>0.985815602836879</v>
      </c>
      <c r="N471" s="74">
        <v>0.9</v>
      </c>
      <c r="O471" s="72">
        <v>0.995904436860068</v>
      </c>
      <c r="P471" s="72">
        <v>0.987951807228916</v>
      </c>
      <c r="Q471" s="72">
        <v>0.998435054773083</v>
      </c>
      <c r="R471" s="72">
        <v>0.996238716148445</v>
      </c>
      <c r="S471" s="74">
        <v>0.9</v>
      </c>
      <c r="T471" s="72">
        <v>0.938566552901024</v>
      </c>
      <c r="U471" s="72">
        <v>0.963855421686747</v>
      </c>
      <c r="V471" s="72">
        <v>0.95226917057903</v>
      </c>
      <c r="W471" s="72">
        <v>0.952942159812772</v>
      </c>
      <c r="X471" s="74">
        <v>0.92</v>
      </c>
      <c r="Y471" s="74">
        <v>0.884462151394422</v>
      </c>
      <c r="Z471" s="74">
        <v>0.937238493723849</v>
      </c>
      <c r="AA471" s="74">
        <v>0.952380952380952</v>
      </c>
      <c r="AB471" s="74">
        <v>0.922065727699531</v>
      </c>
      <c r="AC471" s="74">
        <v>0.92</v>
      </c>
      <c r="AD471" s="72">
        <v>0.993788819875776</v>
      </c>
      <c r="AE471" s="72">
        <v>1</v>
      </c>
      <c r="AF471" s="72">
        <v>1</v>
      </c>
      <c r="AG471" s="72">
        <v>0.993943472409152</v>
      </c>
      <c r="AH471" s="74">
        <v>0.92</v>
      </c>
      <c r="AI471" s="72">
        <v>0.972027972027972</v>
      </c>
      <c r="AJ471" s="72">
        <v>0.983827493261456</v>
      </c>
      <c r="AK471" s="72">
        <v>0.985420808482439</v>
      </c>
      <c r="AL471" s="72">
        <v>0.98254576415496</v>
      </c>
      <c r="AM471" s="71">
        <v>0.99</v>
      </c>
      <c r="AN471" s="76">
        <v>1</v>
      </c>
      <c r="AO471" s="76">
        <v>1</v>
      </c>
      <c r="AP471" s="76">
        <v>1</v>
      </c>
      <c r="AQ471" s="76">
        <v>1</v>
      </c>
      <c r="AR471" s="96">
        <v>0.05</v>
      </c>
      <c r="AS471" s="80">
        <v>0</v>
      </c>
      <c r="AT471" s="80">
        <v>0</v>
      </c>
      <c r="AU471" s="80">
        <v>0</v>
      </c>
      <c r="AV471" s="80">
        <v>0.0212765957446809</v>
      </c>
      <c r="AW471" s="36"/>
      <c r="AX471" s="34"/>
    </row>
    <row r="472" ht="14.5" spans="1:50">
      <c r="A472" s="32"/>
      <c r="B472" s="36"/>
      <c r="C472" s="91" t="s">
        <v>401</v>
      </c>
      <c r="D472" s="69" t="s">
        <v>19</v>
      </c>
      <c r="E472" s="92" t="s">
        <v>523</v>
      </c>
      <c r="F472" s="92" t="s">
        <v>523</v>
      </c>
      <c r="G472" s="92" t="s">
        <v>523</v>
      </c>
      <c r="H472" s="92" t="s">
        <v>523</v>
      </c>
      <c r="I472" s="71">
        <v>0.9</v>
      </c>
      <c r="J472" s="72">
        <v>0.968253968253968</v>
      </c>
      <c r="K472" s="72">
        <v>1</v>
      </c>
      <c r="L472" s="73">
        <v>1</v>
      </c>
      <c r="M472" s="72">
        <v>0.980922098569157</v>
      </c>
      <c r="N472" s="74">
        <v>0.9</v>
      </c>
      <c r="O472" s="72">
        <v>0.985786254048219</v>
      </c>
      <c r="P472" s="72">
        <v>0.981675931645048</v>
      </c>
      <c r="Q472" s="72">
        <v>0.985963505113295</v>
      </c>
      <c r="R472" s="72">
        <v>0.983551720464472</v>
      </c>
      <c r="S472" s="74">
        <v>0.9</v>
      </c>
      <c r="T472" s="72">
        <v>0.863979848866499</v>
      </c>
      <c r="U472" s="72">
        <v>0.943380687667284</v>
      </c>
      <c r="V472" s="72">
        <v>0.95127331060758</v>
      </c>
      <c r="W472" s="72">
        <v>0.928006817939704</v>
      </c>
      <c r="X472" s="74">
        <v>0.92</v>
      </c>
      <c r="Y472" s="74">
        <v>0.81437125748503</v>
      </c>
      <c r="Z472" s="74">
        <v>0.790060851926978</v>
      </c>
      <c r="AA472" s="74">
        <v>0.85901309164149</v>
      </c>
      <c r="AB472" s="74">
        <v>0.831371635007575</v>
      </c>
      <c r="AC472" s="74">
        <v>0.92</v>
      </c>
      <c r="AD472" s="72">
        <v>0.950870406189555</v>
      </c>
      <c r="AE472" s="72">
        <v>0.996017522899243</v>
      </c>
      <c r="AF472" s="72">
        <v>0.994472956968022</v>
      </c>
      <c r="AG472" s="72">
        <v>0.986973990272785</v>
      </c>
      <c r="AH472" s="74">
        <v>0.92</v>
      </c>
      <c r="AI472" s="72">
        <v>0.926981707317073</v>
      </c>
      <c r="AJ472" s="72">
        <v>0.945594525235244</v>
      </c>
      <c r="AK472" s="72">
        <v>0.960902255639098</v>
      </c>
      <c r="AL472" s="72">
        <v>0.951769473210266</v>
      </c>
      <c r="AM472" s="71">
        <v>0.99</v>
      </c>
      <c r="AN472" s="76">
        <v>1</v>
      </c>
      <c r="AO472" s="76">
        <v>1</v>
      </c>
      <c r="AP472" s="76">
        <v>1</v>
      </c>
      <c r="AQ472" s="76">
        <v>1</v>
      </c>
      <c r="AR472" s="96">
        <v>0.05</v>
      </c>
      <c r="AS472" s="80">
        <v>0</v>
      </c>
      <c r="AT472" s="80">
        <v>0.0333333333333333</v>
      </c>
      <c r="AU472" s="80">
        <v>0.0434782608695652</v>
      </c>
      <c r="AV472" s="80">
        <v>0.0386473429951691</v>
      </c>
      <c r="AW472" s="36"/>
      <c r="AX472" s="34"/>
    </row>
    <row r="473" ht="14.5" spans="1:50">
      <c r="A473" s="32"/>
      <c r="B473" s="36"/>
      <c r="C473" s="91" t="s">
        <v>401</v>
      </c>
      <c r="D473" s="69" t="s">
        <v>19</v>
      </c>
      <c r="E473" s="92" t="s">
        <v>524</v>
      </c>
      <c r="F473" s="92" t="s">
        <v>524</v>
      </c>
      <c r="G473" s="92" t="s">
        <v>524</v>
      </c>
      <c r="H473" s="92" t="s">
        <v>524</v>
      </c>
      <c r="I473" s="71">
        <v>0.9</v>
      </c>
      <c r="J473" s="72">
        <v>1</v>
      </c>
      <c r="K473" s="72">
        <v>1</v>
      </c>
      <c r="L473" s="73">
        <v>1</v>
      </c>
      <c r="M473" s="72">
        <v>0.993562231759657</v>
      </c>
      <c r="N473" s="74">
        <v>0.9</v>
      </c>
      <c r="O473" s="72">
        <v>0.984130298600961</v>
      </c>
      <c r="P473" s="72">
        <v>0.989478397134542</v>
      </c>
      <c r="Q473" s="72">
        <v>0.990969581749049</v>
      </c>
      <c r="R473" s="72">
        <v>0.985366478728857</v>
      </c>
      <c r="S473" s="74">
        <v>0.9</v>
      </c>
      <c r="T473" s="72">
        <v>0.925454165796617</v>
      </c>
      <c r="U473" s="72">
        <v>0.957241996865905</v>
      </c>
      <c r="V473" s="72">
        <v>0.965304182509506</v>
      </c>
      <c r="W473" s="72">
        <v>0.93257303946694</v>
      </c>
      <c r="X473" s="74">
        <v>0.92</v>
      </c>
      <c r="Y473" s="74">
        <v>0.866498740554156</v>
      </c>
      <c r="Z473" s="74">
        <v>0.933862433862434</v>
      </c>
      <c r="AA473" s="74">
        <v>0.93172119487909</v>
      </c>
      <c r="AB473" s="74">
        <v>0.905211071594248</v>
      </c>
      <c r="AC473" s="74">
        <v>0.92</v>
      </c>
      <c r="AD473" s="72">
        <v>0.993478260869565</v>
      </c>
      <c r="AE473" s="72">
        <v>0.990794979079498</v>
      </c>
      <c r="AF473" s="72">
        <v>0.983967935871743</v>
      </c>
      <c r="AG473" s="72">
        <v>0.990844886215014</v>
      </c>
      <c r="AH473" s="74">
        <v>0.92</v>
      </c>
      <c r="AI473" s="72">
        <v>0.962956335003579</v>
      </c>
      <c r="AJ473" s="72">
        <v>0.98123683706682</v>
      </c>
      <c r="AK473" s="72">
        <v>0.981266544491957</v>
      </c>
      <c r="AL473" s="72">
        <v>0.975753978721533</v>
      </c>
      <c r="AM473" s="71">
        <v>0.99</v>
      </c>
      <c r="AN473" s="76">
        <v>1</v>
      </c>
      <c r="AO473" s="76">
        <v>1</v>
      </c>
      <c r="AP473" s="76">
        <v>1</v>
      </c>
      <c r="AQ473" s="76">
        <v>1</v>
      </c>
      <c r="AR473" s="96">
        <v>0.05</v>
      </c>
      <c r="AS473" s="80">
        <v>0</v>
      </c>
      <c r="AT473" s="80">
        <v>0.0909090909090909</v>
      </c>
      <c r="AU473" s="80">
        <v>0.2</v>
      </c>
      <c r="AV473" s="80">
        <v>0.0656934306569343</v>
      </c>
      <c r="AW473" s="36"/>
      <c r="AX473" s="34"/>
    </row>
    <row r="474" ht="14.5" spans="1:50">
      <c r="A474" s="32"/>
      <c r="B474" s="36"/>
      <c r="C474" s="91" t="s">
        <v>401</v>
      </c>
      <c r="D474" s="69" t="s">
        <v>19</v>
      </c>
      <c r="E474" s="92" t="s">
        <v>525</v>
      </c>
      <c r="F474" s="92" t="s">
        <v>525</v>
      </c>
      <c r="G474" s="92" t="s">
        <v>525</v>
      </c>
      <c r="H474" s="92" t="s">
        <v>525</v>
      </c>
      <c r="I474" s="71">
        <v>0.9</v>
      </c>
      <c r="J474" s="72">
        <v>0.941176470588235</v>
      </c>
      <c r="K474" s="72">
        <v>0.974358974358974</v>
      </c>
      <c r="L474" s="73">
        <v>0.921052631578947</v>
      </c>
      <c r="M474" s="72">
        <v>0.949101796407186</v>
      </c>
      <c r="N474" s="74">
        <v>0.9</v>
      </c>
      <c r="O474" s="72">
        <v>0.977771010962241</v>
      </c>
      <c r="P474" s="72">
        <v>0.987921847246892</v>
      </c>
      <c r="Q474" s="72">
        <v>0.982306907111262</v>
      </c>
      <c r="R474" s="72">
        <v>0.983095986683928</v>
      </c>
      <c r="S474" s="74">
        <v>0.9</v>
      </c>
      <c r="T474" s="72">
        <v>0.890986601705237</v>
      </c>
      <c r="U474" s="72">
        <v>0.907282415630551</v>
      </c>
      <c r="V474" s="72">
        <v>0.936032664171487</v>
      </c>
      <c r="W474" s="72">
        <v>0.916885518771962</v>
      </c>
      <c r="X474" s="74">
        <v>0.92</v>
      </c>
      <c r="Y474" s="74">
        <v>0.65166908563135</v>
      </c>
      <c r="Z474" s="74">
        <v>0.791946308724832</v>
      </c>
      <c r="AA474" s="74">
        <v>0.73305954825462</v>
      </c>
      <c r="AB474" s="74">
        <v>0.713329395550305</v>
      </c>
      <c r="AC474" s="74">
        <v>0.92</v>
      </c>
      <c r="AD474" s="72">
        <v>0.998908296943231</v>
      </c>
      <c r="AE474" s="72">
        <v>0.916981132075472</v>
      </c>
      <c r="AF474" s="72">
        <v>0.816666666666667</v>
      </c>
      <c r="AG474" s="72">
        <v>0.945167652859961</v>
      </c>
      <c r="AH474" s="74">
        <v>0.92</v>
      </c>
      <c r="AI474" s="72">
        <v>0.909891769443745</v>
      </c>
      <c r="AJ474" s="72">
        <v>0.938727645851656</v>
      </c>
      <c r="AK474" s="72">
        <v>0.941622883829539</v>
      </c>
      <c r="AL474" s="72">
        <v>0.93495251440137</v>
      </c>
      <c r="AM474" s="71">
        <v>0.99</v>
      </c>
      <c r="AN474" s="76">
        <v>1</v>
      </c>
      <c r="AO474" s="76">
        <v>1</v>
      </c>
      <c r="AP474" s="76">
        <v>1</v>
      </c>
      <c r="AQ474" s="76">
        <v>1</v>
      </c>
      <c r="AR474" s="96">
        <v>0.05</v>
      </c>
      <c r="AS474" s="80">
        <v>0.0625</v>
      </c>
      <c r="AT474" s="80">
        <v>0</v>
      </c>
      <c r="AU474" s="80">
        <v>0.0588235294117647</v>
      </c>
      <c r="AV474" s="80">
        <v>0.0416666666666667</v>
      </c>
      <c r="AW474" s="36"/>
      <c r="AX474" s="34"/>
    </row>
    <row r="475" ht="14.5" spans="1:50">
      <c r="A475" s="32"/>
      <c r="B475" s="36"/>
      <c r="C475" s="91" t="s">
        <v>401</v>
      </c>
      <c r="D475" s="69" t="s">
        <v>19</v>
      </c>
      <c r="E475" s="92" t="s">
        <v>526</v>
      </c>
      <c r="F475" s="92" t="s">
        <v>526</v>
      </c>
      <c r="G475" s="92" t="s">
        <v>526</v>
      </c>
      <c r="H475" s="92" t="s">
        <v>526</v>
      </c>
      <c r="I475" s="71">
        <v>0.9</v>
      </c>
      <c r="J475" s="72">
        <v>0.962962962962963</v>
      </c>
      <c r="K475" s="72">
        <v>1</v>
      </c>
      <c r="L475" s="73">
        <v>0.92</v>
      </c>
      <c r="M475" s="72">
        <v>0.982532751091703</v>
      </c>
      <c r="N475" s="74">
        <v>0.9</v>
      </c>
      <c r="O475" s="72">
        <v>0.988348530901722</v>
      </c>
      <c r="P475" s="72">
        <v>0.986175115207373</v>
      </c>
      <c r="Q475" s="72">
        <v>0.985393258426966</v>
      </c>
      <c r="R475" s="72">
        <v>0.979098168154063</v>
      </c>
      <c r="S475" s="74">
        <v>0.9</v>
      </c>
      <c r="T475" s="72">
        <v>0.842451874366768</v>
      </c>
      <c r="U475" s="72">
        <v>0.903225806451613</v>
      </c>
      <c r="V475" s="72">
        <v>0.887640449438202</v>
      </c>
      <c r="W475" s="72">
        <v>0.857503522780648</v>
      </c>
      <c r="X475" s="74">
        <v>0.92</v>
      </c>
      <c r="Y475" s="74">
        <v>0</v>
      </c>
      <c r="Z475" s="74">
        <v>0</v>
      </c>
      <c r="AA475" s="74">
        <v>0</v>
      </c>
      <c r="AB475" s="74">
        <v>0.666666666666667</v>
      </c>
      <c r="AC475" s="74">
        <v>0.92</v>
      </c>
      <c r="AD475" s="72">
        <v>0.992537313432836</v>
      </c>
      <c r="AE475" s="72">
        <v>0.983743967487935</v>
      </c>
      <c r="AF475" s="72">
        <v>0.982648725212465</v>
      </c>
      <c r="AG475" s="72">
        <v>0.985204791475788</v>
      </c>
      <c r="AH475" s="74">
        <v>0.92</v>
      </c>
      <c r="AI475" s="72">
        <v>0.967088607594937</v>
      </c>
      <c r="AJ475" s="72">
        <v>0.958549222797927</v>
      </c>
      <c r="AK475" s="72">
        <v>0.967415730337079</v>
      </c>
      <c r="AL475" s="72">
        <v>0.961030576911791</v>
      </c>
      <c r="AM475" s="71">
        <v>0.99</v>
      </c>
      <c r="AN475" s="76">
        <v>1</v>
      </c>
      <c r="AO475" s="76">
        <v>1</v>
      </c>
      <c r="AP475" s="76">
        <v>1</v>
      </c>
      <c r="AQ475" s="76">
        <v>1</v>
      </c>
      <c r="AR475" s="96">
        <v>0.05</v>
      </c>
      <c r="AS475" s="80">
        <v>0</v>
      </c>
      <c r="AT475" s="80">
        <v>0.125</v>
      </c>
      <c r="AU475" s="80">
        <v>0.0769230769230769</v>
      </c>
      <c r="AV475" s="80">
        <v>0.079646017699115</v>
      </c>
      <c r="AW475" s="36"/>
      <c r="AX475" s="34"/>
    </row>
    <row r="476" ht="14.5" spans="1:50">
      <c r="A476" s="32"/>
      <c r="B476" s="36"/>
      <c r="C476" s="91" t="s">
        <v>401</v>
      </c>
      <c r="D476" s="69" t="s">
        <v>19</v>
      </c>
      <c r="E476" s="92" t="s">
        <v>527</v>
      </c>
      <c r="F476" s="92" t="s">
        <v>527</v>
      </c>
      <c r="G476" s="92" t="s">
        <v>527</v>
      </c>
      <c r="H476" s="92" t="s">
        <v>527</v>
      </c>
      <c r="I476" s="71">
        <v>0.9</v>
      </c>
      <c r="J476" s="72">
        <v>1</v>
      </c>
      <c r="K476" s="72">
        <v>1</v>
      </c>
      <c r="L476" s="73">
        <v>1</v>
      </c>
      <c r="M476" s="72">
        <v>1</v>
      </c>
      <c r="N476" s="74">
        <v>0.9</v>
      </c>
      <c r="O476" s="72">
        <v>0.988698505286183</v>
      </c>
      <c r="P476" s="72">
        <v>0.997810858143608</v>
      </c>
      <c r="Q476" s="72">
        <v>0.997302158273381</v>
      </c>
      <c r="R476" s="72">
        <v>0.994705027880605</v>
      </c>
      <c r="S476" s="74">
        <v>0.9</v>
      </c>
      <c r="T476" s="72">
        <v>0.946044476850164</v>
      </c>
      <c r="U476" s="72">
        <v>0.955779334500876</v>
      </c>
      <c r="V476" s="72">
        <v>0.966276978417266</v>
      </c>
      <c r="W476" s="72">
        <v>0.952485825406495</v>
      </c>
      <c r="X476" s="74">
        <v>0.92</v>
      </c>
      <c r="Y476" s="74">
        <v>0.950266429840142</v>
      </c>
      <c r="Z476" s="74">
        <v>0.969754253308129</v>
      </c>
      <c r="AA476" s="74">
        <v>0.958015267175573</v>
      </c>
      <c r="AB476" s="74">
        <v>0.958876404494382</v>
      </c>
      <c r="AC476" s="74">
        <v>0.92</v>
      </c>
      <c r="AD476" s="72">
        <v>0.999748237663646</v>
      </c>
      <c r="AE476" s="72">
        <v>0.995157685622051</v>
      </c>
      <c r="AF476" s="72">
        <v>0.996991978609626</v>
      </c>
      <c r="AG476" s="72">
        <v>0.995811387399778</v>
      </c>
      <c r="AH476" s="74">
        <v>0.92</v>
      </c>
      <c r="AI476" s="72">
        <v>0.96945872391896</v>
      </c>
      <c r="AJ476" s="72">
        <v>0.977959473871312</v>
      </c>
      <c r="AK476" s="72">
        <v>0.983988355167394</v>
      </c>
      <c r="AL476" s="72">
        <v>0.98340763713898</v>
      </c>
      <c r="AM476" s="71">
        <v>0.99</v>
      </c>
      <c r="AN476" s="76">
        <v>1</v>
      </c>
      <c r="AO476" s="76">
        <v>1</v>
      </c>
      <c r="AP476" s="76">
        <v>1</v>
      </c>
      <c r="AQ476" s="76">
        <v>1</v>
      </c>
      <c r="AR476" s="96">
        <v>0.05</v>
      </c>
      <c r="AS476" s="80">
        <v>0.0625</v>
      </c>
      <c r="AT476" s="80">
        <v>0.166666666666667</v>
      </c>
      <c r="AU476" s="80">
        <v>0</v>
      </c>
      <c r="AV476" s="80">
        <v>0.0458015267175573</v>
      </c>
      <c r="AW476" s="36"/>
      <c r="AX476" s="34"/>
    </row>
    <row r="477" ht="14.5" spans="1:50">
      <c r="A477" s="32"/>
      <c r="B477" s="36"/>
      <c r="C477" s="91" t="s">
        <v>401</v>
      </c>
      <c r="D477" s="69" t="s">
        <v>19</v>
      </c>
      <c r="E477" s="92" t="s">
        <v>528</v>
      </c>
      <c r="F477" s="92" t="s">
        <v>528</v>
      </c>
      <c r="G477" s="92" t="s">
        <v>528</v>
      </c>
      <c r="H477" s="92" t="s">
        <v>528</v>
      </c>
      <c r="I477" s="71">
        <v>0.9</v>
      </c>
      <c r="J477" s="72">
        <v>0.846153846153846</v>
      </c>
      <c r="K477" s="72">
        <v>0.85</v>
      </c>
      <c r="L477" s="73">
        <v>0.86046511627907</v>
      </c>
      <c r="M477" s="72">
        <v>0.898305084745763</v>
      </c>
      <c r="N477" s="74">
        <v>0.9</v>
      </c>
      <c r="O477" s="72">
        <v>0.981622590766472</v>
      </c>
      <c r="P477" s="72">
        <v>0.98909541511772</v>
      </c>
      <c r="Q477" s="72">
        <v>0.985693501454898</v>
      </c>
      <c r="R477" s="72">
        <v>0.984667578371555</v>
      </c>
      <c r="S477" s="74">
        <v>0.9</v>
      </c>
      <c r="T477" s="72">
        <v>0.847153742716271</v>
      </c>
      <c r="U477" s="72">
        <v>0.899628252788104</v>
      </c>
      <c r="V477" s="72">
        <v>0.915130940834142</v>
      </c>
      <c r="W477" s="72">
        <v>0.87434252051336</v>
      </c>
      <c r="X477" s="74">
        <v>0.92</v>
      </c>
      <c r="Y477" s="74">
        <v>0</v>
      </c>
      <c r="Z477" s="74">
        <v>0</v>
      </c>
      <c r="AA477" s="74">
        <v>0</v>
      </c>
      <c r="AB477" s="74">
        <v>0</v>
      </c>
      <c r="AC477" s="74">
        <v>0.92</v>
      </c>
      <c r="AD477" s="72">
        <v>0.989778534923339</v>
      </c>
      <c r="AE477" s="72">
        <v>0.998575498575499</v>
      </c>
      <c r="AF477" s="72">
        <v>0.991537376586742</v>
      </c>
      <c r="AG477" s="72">
        <v>0.991825184719384</v>
      </c>
      <c r="AH477" s="74">
        <v>0.92</v>
      </c>
      <c r="AI477" s="72">
        <v>0.962133094331167</v>
      </c>
      <c r="AJ477" s="72">
        <v>0.978934324659232</v>
      </c>
      <c r="AK477" s="72">
        <v>0.975994180407372</v>
      </c>
      <c r="AL477" s="72">
        <v>0.975910585141354</v>
      </c>
      <c r="AM477" s="71">
        <v>0.99</v>
      </c>
      <c r="AN477" s="76">
        <v>1</v>
      </c>
      <c r="AO477" s="76">
        <v>1</v>
      </c>
      <c r="AP477" s="76">
        <v>1</v>
      </c>
      <c r="AQ477" s="76">
        <v>1</v>
      </c>
      <c r="AR477" s="96">
        <v>0.05</v>
      </c>
      <c r="AS477" s="80">
        <v>0</v>
      </c>
      <c r="AT477" s="80">
        <v>0.0625</v>
      </c>
      <c r="AU477" s="80">
        <v>0.117647058823529</v>
      </c>
      <c r="AV477" s="80">
        <v>0.0408163265306122</v>
      </c>
      <c r="AW477" s="36"/>
      <c r="AX477" s="34"/>
    </row>
    <row r="478" ht="14.5" spans="1:50">
      <c r="A478" s="32"/>
      <c r="B478" s="36"/>
      <c r="C478" s="91" t="s">
        <v>401</v>
      </c>
      <c r="D478" s="69" t="s">
        <v>19</v>
      </c>
      <c r="E478" s="92" t="s">
        <v>529</v>
      </c>
      <c r="F478" s="92" t="s">
        <v>529</v>
      </c>
      <c r="G478" s="92" t="s">
        <v>529</v>
      </c>
      <c r="H478" s="92" t="s">
        <v>529</v>
      </c>
      <c r="I478" s="71">
        <v>0.9</v>
      </c>
      <c r="J478" s="72">
        <v>0.961538461538462</v>
      </c>
      <c r="K478" s="72">
        <v>1</v>
      </c>
      <c r="L478" s="73">
        <v>0.931034482758621</v>
      </c>
      <c r="M478" s="72">
        <v>0.956</v>
      </c>
      <c r="N478" s="74">
        <v>0.9</v>
      </c>
      <c r="O478" s="72">
        <v>0.986565420560748</v>
      </c>
      <c r="P478" s="72">
        <v>0.988334413480233</v>
      </c>
      <c r="Q478" s="72">
        <v>0.977735368956743</v>
      </c>
      <c r="R478" s="72">
        <v>0.989327495382089</v>
      </c>
      <c r="S478" s="74">
        <v>0.9</v>
      </c>
      <c r="T478" s="72">
        <v>0.882593457943925</v>
      </c>
      <c r="U478" s="72">
        <v>0.903434867141931</v>
      </c>
      <c r="V478" s="72">
        <v>0.892493638676845</v>
      </c>
      <c r="W478" s="72">
        <v>0.861873161387426</v>
      </c>
      <c r="X478" s="74">
        <v>0.92</v>
      </c>
      <c r="Y478" s="74">
        <v>0.860691670725767</v>
      </c>
      <c r="Z478" s="74">
        <v>0.915557830092119</v>
      </c>
      <c r="AA478" s="74">
        <v>0.860751694393099</v>
      </c>
      <c r="AB478" s="74">
        <v>0.896467870387258</v>
      </c>
      <c r="AC478" s="74">
        <v>0.92</v>
      </c>
      <c r="AD478" s="72">
        <v>1</v>
      </c>
      <c r="AE478" s="72">
        <v>1</v>
      </c>
      <c r="AF478" s="72">
        <v>0.995594713656388</v>
      </c>
      <c r="AG478" s="72">
        <v>0.997955010224949</v>
      </c>
      <c r="AH478" s="74">
        <v>0.92</v>
      </c>
      <c r="AI478" s="72">
        <v>0.911022576361222</v>
      </c>
      <c r="AJ478" s="72">
        <v>0.941697627893684</v>
      </c>
      <c r="AK478" s="72">
        <v>0.91924882629108</v>
      </c>
      <c r="AL478" s="72">
        <v>0.934442584963955</v>
      </c>
      <c r="AM478" s="71">
        <v>0.99</v>
      </c>
      <c r="AN478" s="76">
        <v>1</v>
      </c>
      <c r="AO478" s="76">
        <v>1</v>
      </c>
      <c r="AP478" s="76">
        <v>1</v>
      </c>
      <c r="AQ478" s="76">
        <v>1</v>
      </c>
      <c r="AR478" s="96">
        <v>0.05</v>
      </c>
      <c r="AS478" s="80">
        <v>0</v>
      </c>
      <c r="AT478" s="80">
        <v>0</v>
      </c>
      <c r="AU478" s="80">
        <v>0</v>
      </c>
      <c r="AV478" s="80">
        <v>0.0112359550561798</v>
      </c>
      <c r="AW478" s="36"/>
      <c r="AX478" s="34"/>
    </row>
    <row r="479" ht="14.5" spans="1:50">
      <c r="A479" s="32"/>
      <c r="B479" s="36"/>
      <c r="C479" s="91" t="s">
        <v>401</v>
      </c>
      <c r="D479" s="69" t="s">
        <v>19</v>
      </c>
      <c r="E479" s="92" t="s">
        <v>530</v>
      </c>
      <c r="F479" s="92" t="s">
        <v>530</v>
      </c>
      <c r="G479" s="92" t="s">
        <v>530</v>
      </c>
      <c r="H479" s="92" t="s">
        <v>530</v>
      </c>
      <c r="I479" s="71">
        <v>0.9</v>
      </c>
      <c r="J479" s="72">
        <v>0.92</v>
      </c>
      <c r="K479" s="72">
        <v>0.96551724137931</v>
      </c>
      <c r="L479" s="73">
        <v>0.88</v>
      </c>
      <c r="M479" s="72">
        <v>0.865853658536585</v>
      </c>
      <c r="N479" s="74">
        <v>0.9</v>
      </c>
      <c r="O479" s="72">
        <v>0.985566514313207</v>
      </c>
      <c r="P479" s="72">
        <v>0.99490538573508</v>
      </c>
      <c r="Q479" s="72">
        <v>0.994326777609682</v>
      </c>
      <c r="R479" s="72">
        <v>0.992583779496332</v>
      </c>
      <c r="S479" s="74">
        <v>0.9</v>
      </c>
      <c r="T479" s="72">
        <v>0.933365407745971</v>
      </c>
      <c r="U479" s="72">
        <v>0.962154294032023</v>
      </c>
      <c r="V479" s="72">
        <v>0.91338880484115</v>
      </c>
      <c r="W479" s="72">
        <v>0.919611342454888</v>
      </c>
      <c r="X479" s="74">
        <v>0.92</v>
      </c>
      <c r="Y479" s="74">
        <v>0</v>
      </c>
      <c r="Z479" s="74">
        <v>0</v>
      </c>
      <c r="AA479" s="74">
        <v>0</v>
      </c>
      <c r="AB479" s="74">
        <v>0</v>
      </c>
      <c r="AC479" s="74">
        <v>0.92</v>
      </c>
      <c r="AD479" s="72">
        <v>1</v>
      </c>
      <c r="AE479" s="72">
        <v>1</v>
      </c>
      <c r="AF479" s="72">
        <v>1</v>
      </c>
      <c r="AG479" s="72">
        <v>0.989957716701903</v>
      </c>
      <c r="AH479" s="74">
        <v>0.92</v>
      </c>
      <c r="AI479" s="72">
        <v>0.975709475709476</v>
      </c>
      <c r="AJ479" s="72">
        <v>0.991994177583697</v>
      </c>
      <c r="AK479" s="72">
        <v>0.985627836611195</v>
      </c>
      <c r="AL479" s="72">
        <v>0.98802442699659</v>
      </c>
      <c r="AM479" s="71">
        <v>0.99</v>
      </c>
      <c r="AN479" s="76">
        <v>1</v>
      </c>
      <c r="AO479" s="76">
        <v>1</v>
      </c>
      <c r="AP479" s="76">
        <v>1</v>
      </c>
      <c r="AQ479" s="76">
        <v>1</v>
      </c>
      <c r="AR479" s="96">
        <v>0.05</v>
      </c>
      <c r="AS479" s="80">
        <v>0</v>
      </c>
      <c r="AT479" s="80">
        <v>0</v>
      </c>
      <c r="AU479" s="80">
        <v>0.1</v>
      </c>
      <c r="AV479" s="80">
        <v>0.038961038961039</v>
      </c>
      <c r="AW479" s="36"/>
      <c r="AX479" s="34"/>
    </row>
    <row r="480" ht="14.5" spans="1:50">
      <c r="A480" s="32"/>
      <c r="B480" s="36"/>
      <c r="C480" s="91" t="s">
        <v>401</v>
      </c>
      <c r="D480" s="69" t="s">
        <v>19</v>
      </c>
      <c r="E480" s="92" t="s">
        <v>531</v>
      </c>
      <c r="F480" s="92" t="s">
        <v>531</v>
      </c>
      <c r="G480" s="92" t="s">
        <v>531</v>
      </c>
      <c r="H480" s="92" t="s">
        <v>531</v>
      </c>
      <c r="I480" s="71">
        <v>0.9</v>
      </c>
      <c r="J480" s="72">
        <v>0.826086956521739</v>
      </c>
      <c r="K480" s="72">
        <v>0.733333333333333</v>
      </c>
      <c r="L480" s="73">
        <v>0.653061224489796</v>
      </c>
      <c r="M480" s="72">
        <v>0.772946859903382</v>
      </c>
      <c r="N480" s="74">
        <v>0.9</v>
      </c>
      <c r="O480" s="72">
        <v>0.978065802592223</v>
      </c>
      <c r="P480" s="72">
        <v>0.989613387189844</v>
      </c>
      <c r="Q480" s="72">
        <v>0.987078651685393</v>
      </c>
      <c r="R480" s="72">
        <v>0.9874319699265</v>
      </c>
      <c r="S480" s="74">
        <v>0.9</v>
      </c>
      <c r="T480" s="72">
        <v>0.889332003988036</v>
      </c>
      <c r="U480" s="72">
        <v>0.881708020773226</v>
      </c>
      <c r="V480" s="72">
        <v>0.890449438202247</v>
      </c>
      <c r="W480" s="72">
        <v>0.891320204230489</v>
      </c>
      <c r="X480" s="74">
        <v>0.92</v>
      </c>
      <c r="Y480" s="74">
        <v>0.835406301824212</v>
      </c>
      <c r="Z480" s="74">
        <v>0.81974069427018</v>
      </c>
      <c r="AA480" s="74">
        <v>0.850597609561753</v>
      </c>
      <c r="AB480" s="74">
        <v>0.843641559501939</v>
      </c>
      <c r="AC480" s="74">
        <v>0.92</v>
      </c>
      <c r="AD480" s="72">
        <v>0.990066225165563</v>
      </c>
      <c r="AE480" s="72">
        <v>0.986111111111111</v>
      </c>
      <c r="AF480" s="72">
        <v>0.994011976047904</v>
      </c>
      <c r="AG480" s="72">
        <v>0.993540255238695</v>
      </c>
      <c r="AH480" s="74">
        <v>0.92</v>
      </c>
      <c r="AI480" s="72">
        <v>0.897012222725215</v>
      </c>
      <c r="AJ480" s="72">
        <v>0.88360814742968</v>
      </c>
      <c r="AK480" s="72">
        <v>0.912377936130905</v>
      </c>
      <c r="AL480" s="72">
        <v>0.907227788911156</v>
      </c>
      <c r="AM480" s="71">
        <v>0.99</v>
      </c>
      <c r="AN480" s="76">
        <v>1</v>
      </c>
      <c r="AO480" s="76">
        <v>1</v>
      </c>
      <c r="AP480" s="76">
        <v>1</v>
      </c>
      <c r="AQ480" s="76">
        <v>1</v>
      </c>
      <c r="AR480" s="96">
        <v>0.05</v>
      </c>
      <c r="AS480" s="80">
        <v>0</v>
      </c>
      <c r="AT480" s="80">
        <v>0</v>
      </c>
      <c r="AU480" s="80">
        <v>0</v>
      </c>
      <c r="AV480" s="80">
        <v>0.0204081632653061</v>
      </c>
      <c r="AW480" s="36"/>
      <c r="AX480" s="34"/>
    </row>
    <row r="481" ht="14.5" spans="1:50">
      <c r="A481" s="32"/>
      <c r="B481" s="36"/>
      <c r="C481" s="91" t="s">
        <v>401</v>
      </c>
      <c r="D481" s="69" t="s">
        <v>19</v>
      </c>
      <c r="E481" s="92" t="s">
        <v>532</v>
      </c>
      <c r="F481" s="92" t="s">
        <v>532</v>
      </c>
      <c r="G481" s="92" t="s">
        <v>532</v>
      </c>
      <c r="H481" s="92" t="s">
        <v>532</v>
      </c>
      <c r="I481" s="71">
        <v>0.9</v>
      </c>
      <c r="J481" s="72">
        <v>1</v>
      </c>
      <c r="K481" s="72">
        <v>1</v>
      </c>
      <c r="L481" s="73">
        <v>0.971428571428571</v>
      </c>
      <c r="M481" s="72">
        <v>0.980891719745223</v>
      </c>
      <c r="N481" s="74">
        <v>0.9</v>
      </c>
      <c r="O481" s="72">
        <v>0.996316758747698</v>
      </c>
      <c r="P481" s="72">
        <v>0.99737532808399</v>
      </c>
      <c r="Q481" s="72">
        <v>0.9958071278826</v>
      </c>
      <c r="R481" s="72">
        <v>0.997184288328875</v>
      </c>
      <c r="S481" s="74">
        <v>0.9</v>
      </c>
      <c r="T481" s="72">
        <v>0.910988336402701</v>
      </c>
      <c r="U481" s="72">
        <v>0.930446194225722</v>
      </c>
      <c r="V481" s="72">
        <v>0.921733053808526</v>
      </c>
      <c r="W481" s="72">
        <v>0.9227791074194</v>
      </c>
      <c r="X481" s="74">
        <v>0.92</v>
      </c>
      <c r="Y481" s="74">
        <v>0.927774515560775</v>
      </c>
      <c r="Z481" s="74">
        <v>0.947909967845659</v>
      </c>
      <c r="AA481" s="74">
        <v>0.958798882681564</v>
      </c>
      <c r="AB481" s="74">
        <v>0.947859262399322</v>
      </c>
      <c r="AC481" s="74">
        <v>0.92</v>
      </c>
      <c r="AD481" s="72">
        <v>0.998375304630382</v>
      </c>
      <c r="AE481" s="72">
        <v>0.993710691823899</v>
      </c>
      <c r="AF481" s="72">
        <v>0.965909090909091</v>
      </c>
      <c r="AG481" s="72">
        <v>0.992384843982169</v>
      </c>
      <c r="AH481" s="74">
        <v>0.92</v>
      </c>
      <c r="AI481" s="72">
        <v>0.943877551020408</v>
      </c>
      <c r="AJ481" s="72">
        <v>0.962325430334524</v>
      </c>
      <c r="AK481" s="72">
        <v>0.971358714634998</v>
      </c>
      <c r="AL481" s="72">
        <v>0.964036386714618</v>
      </c>
      <c r="AM481" s="71">
        <v>0.99</v>
      </c>
      <c r="AN481" s="76">
        <v>1</v>
      </c>
      <c r="AO481" s="76">
        <v>1</v>
      </c>
      <c r="AP481" s="76">
        <v>1</v>
      </c>
      <c r="AQ481" s="76">
        <v>1</v>
      </c>
      <c r="AR481" s="96">
        <v>0.05</v>
      </c>
      <c r="AS481" s="80">
        <v>0</v>
      </c>
      <c r="AT481" s="80">
        <v>0.0555555555555556</v>
      </c>
      <c r="AU481" s="80">
        <v>0</v>
      </c>
      <c r="AV481" s="80">
        <v>0.025</v>
      </c>
      <c r="AW481" s="36"/>
      <c r="AX481" s="34"/>
    </row>
    <row r="482" ht="14.5" spans="1:50">
      <c r="A482" s="32"/>
      <c r="B482" s="36"/>
      <c r="C482" s="91" t="s">
        <v>401</v>
      </c>
      <c r="D482" s="69" t="s">
        <v>19</v>
      </c>
      <c r="E482" s="92" t="s">
        <v>533</v>
      </c>
      <c r="F482" s="92" t="s">
        <v>533</v>
      </c>
      <c r="G482" s="92" t="s">
        <v>533</v>
      </c>
      <c r="H482" s="92" t="s">
        <v>533</v>
      </c>
      <c r="I482" s="71">
        <v>0.9</v>
      </c>
      <c r="J482" s="72">
        <v>0.909090909090909</v>
      </c>
      <c r="K482" s="72">
        <v>0.9</v>
      </c>
      <c r="L482" s="73">
        <v>0.9</v>
      </c>
      <c r="M482" s="72">
        <v>0.941860465116279</v>
      </c>
      <c r="N482" s="74">
        <v>0.9</v>
      </c>
      <c r="O482" s="72">
        <v>0.99109131403118</v>
      </c>
      <c r="P482" s="72">
        <v>0.997490589711418</v>
      </c>
      <c r="Q482" s="72">
        <v>0.994068801897983</v>
      </c>
      <c r="R482" s="72">
        <v>0.994481845270941</v>
      </c>
      <c r="S482" s="74">
        <v>0.9</v>
      </c>
      <c r="T482" s="72">
        <v>0.93652561247216</v>
      </c>
      <c r="U482" s="72">
        <v>0.951066499372647</v>
      </c>
      <c r="V482" s="72">
        <v>0.930011862396204</v>
      </c>
      <c r="W482" s="72">
        <v>0.927381083765589</v>
      </c>
      <c r="X482" s="74">
        <v>0.92</v>
      </c>
      <c r="Y482" s="74">
        <v>0.955056179775281</v>
      </c>
      <c r="Z482" s="74">
        <v>0.969872537659328</v>
      </c>
      <c r="AA482" s="74">
        <v>0.968434343434343</v>
      </c>
      <c r="AB482" s="74">
        <v>0.961100687929956</v>
      </c>
      <c r="AC482" s="74">
        <v>0.92</v>
      </c>
      <c r="AD482" s="72">
        <v>1</v>
      </c>
      <c r="AE482" s="72">
        <v>0.995283018867924</v>
      </c>
      <c r="AF482" s="72">
        <v>1</v>
      </c>
      <c r="AG482" s="72">
        <v>0.985552115583075</v>
      </c>
      <c r="AH482" s="74">
        <v>0.92</v>
      </c>
      <c r="AI482" s="72">
        <v>0.966968566862014</v>
      </c>
      <c r="AJ482" s="72">
        <v>0.980722891566265</v>
      </c>
      <c r="AK482" s="72">
        <v>0.981651376146789</v>
      </c>
      <c r="AL482" s="72">
        <v>0.97655059209755</v>
      </c>
      <c r="AM482" s="71">
        <v>0.99</v>
      </c>
      <c r="AN482" s="76">
        <v>1</v>
      </c>
      <c r="AO482" s="76">
        <v>1</v>
      </c>
      <c r="AP482" s="76">
        <v>1</v>
      </c>
      <c r="AQ482" s="76">
        <v>1</v>
      </c>
      <c r="AR482" s="96">
        <v>0.05</v>
      </c>
      <c r="AS482" s="80">
        <v>0</v>
      </c>
      <c r="AT482" s="80">
        <v>0</v>
      </c>
      <c r="AU482" s="80">
        <v>0</v>
      </c>
      <c r="AV482" s="80">
        <v>0.0576923076923077</v>
      </c>
      <c r="AW482" s="36"/>
      <c r="AX482" s="34"/>
    </row>
    <row r="483" ht="14.5" spans="1:50">
      <c r="A483" s="32"/>
      <c r="B483" s="36"/>
      <c r="C483" s="91" t="s">
        <v>401</v>
      </c>
      <c r="D483" s="69" t="s">
        <v>19</v>
      </c>
      <c r="E483" s="92" t="s">
        <v>534</v>
      </c>
      <c r="F483" s="92" t="s">
        <v>534</v>
      </c>
      <c r="G483" s="92" t="s">
        <v>534</v>
      </c>
      <c r="H483" s="92" t="s">
        <v>534</v>
      </c>
      <c r="I483" s="71">
        <v>0.9</v>
      </c>
      <c r="J483" s="72">
        <v>0.891304347826087</v>
      </c>
      <c r="K483" s="72">
        <v>0.875</v>
      </c>
      <c r="L483" s="73">
        <v>0.862745098039216</v>
      </c>
      <c r="M483" s="72">
        <v>0.848758465011287</v>
      </c>
      <c r="N483" s="74">
        <v>0.9</v>
      </c>
      <c r="O483" s="72">
        <v>0.964418087472202</v>
      </c>
      <c r="P483" s="72">
        <v>0.963788300835655</v>
      </c>
      <c r="Q483" s="72">
        <v>0.952560873215785</v>
      </c>
      <c r="R483" s="72">
        <v>0.939529098940687</v>
      </c>
      <c r="S483" s="74">
        <v>0.9</v>
      </c>
      <c r="T483" s="72">
        <v>0.862120088954781</v>
      </c>
      <c r="U483" s="72">
        <v>0.886191802626343</v>
      </c>
      <c r="V483" s="72">
        <v>0.885390428211587</v>
      </c>
      <c r="W483" s="72">
        <v>0.851524638675644</v>
      </c>
      <c r="X483" s="74">
        <v>0.92</v>
      </c>
      <c r="Y483" s="74">
        <v>0.84648963259367</v>
      </c>
      <c r="Z483" s="74">
        <v>0.905345211581292</v>
      </c>
      <c r="AA483" s="74">
        <v>0.909674829385789</v>
      </c>
      <c r="AB483" s="74">
        <v>0.876652884103656</v>
      </c>
      <c r="AC483" s="74">
        <v>0.92</v>
      </c>
      <c r="AD483" s="72">
        <v>0.997258270882837</v>
      </c>
      <c r="AE483" s="72">
        <v>0.991835095703386</v>
      </c>
      <c r="AF483" s="72">
        <v>0.98841952888538</v>
      </c>
      <c r="AG483" s="72">
        <v>0.935945537065053</v>
      </c>
      <c r="AH483" s="74">
        <v>0.92</v>
      </c>
      <c r="AI483" s="72">
        <v>0.901964384064623</v>
      </c>
      <c r="AJ483" s="72">
        <v>0.938928365661609</v>
      </c>
      <c r="AK483" s="72">
        <v>0.941514467473835</v>
      </c>
      <c r="AL483" s="72">
        <v>0.921357962637179</v>
      </c>
      <c r="AM483" s="71">
        <v>0.99</v>
      </c>
      <c r="AN483" s="76">
        <v>1</v>
      </c>
      <c r="AO483" s="76">
        <v>1</v>
      </c>
      <c r="AP483" s="76">
        <v>1</v>
      </c>
      <c r="AQ483" s="76">
        <v>1</v>
      </c>
      <c r="AR483" s="96">
        <v>0.05</v>
      </c>
      <c r="AS483" s="80">
        <v>0</v>
      </c>
      <c r="AT483" s="80">
        <v>0.037037037037037</v>
      </c>
      <c r="AU483" s="80">
        <v>0.117647058823529</v>
      </c>
      <c r="AV483" s="80">
        <v>0.03886925795053</v>
      </c>
      <c r="AW483" s="36"/>
      <c r="AX483" s="34"/>
    </row>
    <row r="484" ht="14.5" spans="1:50">
      <c r="A484" s="32"/>
      <c r="B484" s="36"/>
      <c r="C484" s="91" t="s">
        <v>401</v>
      </c>
      <c r="D484" s="69" t="s">
        <v>19</v>
      </c>
      <c r="E484" s="92" t="s">
        <v>535</v>
      </c>
      <c r="F484" s="92" t="s">
        <v>535</v>
      </c>
      <c r="G484" s="92" t="s">
        <v>535</v>
      </c>
      <c r="H484" s="92" t="s">
        <v>535</v>
      </c>
      <c r="I484" s="71">
        <v>0.9</v>
      </c>
      <c r="J484" s="72">
        <v>0.837837837837838</v>
      </c>
      <c r="K484" s="72">
        <v>0.823529411764706</v>
      </c>
      <c r="L484" s="73">
        <v>0.72972972972973</v>
      </c>
      <c r="M484" s="72">
        <v>0.8375</v>
      </c>
      <c r="N484" s="74">
        <v>0.9</v>
      </c>
      <c r="O484" s="72">
        <v>0.929585462805224</v>
      </c>
      <c r="P484" s="72">
        <v>0.893341553637485</v>
      </c>
      <c r="Q484" s="72">
        <v>0.916717697489284</v>
      </c>
      <c r="R484" s="72">
        <v>0.930654388167992</v>
      </c>
      <c r="S484" s="74">
        <v>0.9</v>
      </c>
      <c r="T484" s="72">
        <v>0.897217490062465</v>
      </c>
      <c r="U484" s="72">
        <v>0.881011097410604</v>
      </c>
      <c r="V484" s="72">
        <v>0.883037354562156</v>
      </c>
      <c r="W484" s="72">
        <v>0.888307520580438</v>
      </c>
      <c r="X484" s="74">
        <v>0.92</v>
      </c>
      <c r="Y484" s="74">
        <v>0.879081632653061</v>
      </c>
      <c r="Z484" s="74">
        <v>0.890547263681592</v>
      </c>
      <c r="AA484" s="74">
        <v>0.896914446002805</v>
      </c>
      <c r="AB484" s="74">
        <v>0.876803172215765</v>
      </c>
      <c r="AC484" s="74">
        <v>0.92</v>
      </c>
      <c r="AD484" s="72">
        <v>0.994927076727965</v>
      </c>
      <c r="AE484" s="72">
        <v>0.998860268976522</v>
      </c>
      <c r="AF484" s="72">
        <v>0.992655367231638</v>
      </c>
      <c r="AG484" s="72">
        <v>0.996875195300294</v>
      </c>
      <c r="AH484" s="74">
        <v>0.92</v>
      </c>
      <c r="AI484" s="72">
        <v>0.912657887664606</v>
      </c>
      <c r="AJ484" s="72">
        <v>0.925386996904025</v>
      </c>
      <c r="AK484" s="72">
        <v>0.927754168028768</v>
      </c>
      <c r="AL484" s="72">
        <v>0.918352551267003</v>
      </c>
      <c r="AM484" s="71">
        <v>0.99</v>
      </c>
      <c r="AN484" s="76">
        <v>1</v>
      </c>
      <c r="AO484" s="76">
        <v>1</v>
      </c>
      <c r="AP484" s="76">
        <v>1</v>
      </c>
      <c r="AQ484" s="76">
        <v>1</v>
      </c>
      <c r="AR484" s="96">
        <v>0.05</v>
      </c>
      <c r="AS484" s="80">
        <v>0</v>
      </c>
      <c r="AT484" s="80">
        <v>0.166666666666667</v>
      </c>
      <c r="AU484" s="80">
        <v>0</v>
      </c>
      <c r="AV484" s="80">
        <v>0.0546875</v>
      </c>
      <c r="AW484" s="36"/>
      <c r="AX484" s="34"/>
    </row>
    <row r="485" ht="14.5" spans="1:50">
      <c r="A485" s="32"/>
      <c r="B485" s="36"/>
      <c r="C485" s="91" t="s">
        <v>401</v>
      </c>
      <c r="D485" s="69" t="s">
        <v>19</v>
      </c>
      <c r="E485" s="92" t="s">
        <v>536</v>
      </c>
      <c r="F485" s="92" t="s">
        <v>536</v>
      </c>
      <c r="G485" s="92" t="s">
        <v>536</v>
      </c>
      <c r="H485" s="92" t="s">
        <v>536</v>
      </c>
      <c r="I485" s="71">
        <v>0.9</v>
      </c>
      <c r="J485" s="72">
        <v>0.725</v>
      </c>
      <c r="K485" s="72">
        <v>0.682926829268293</v>
      </c>
      <c r="L485" s="73">
        <v>0.731707317073171</v>
      </c>
      <c r="M485" s="72">
        <v>0.727272727272727</v>
      </c>
      <c r="N485" s="74">
        <v>0.9</v>
      </c>
      <c r="O485" s="72">
        <v>0.957001522070015</v>
      </c>
      <c r="P485" s="72">
        <v>0.930131004366812</v>
      </c>
      <c r="Q485" s="72">
        <v>0.93705035971223</v>
      </c>
      <c r="R485" s="72">
        <v>0.938195358975523</v>
      </c>
      <c r="S485" s="74">
        <v>0.9</v>
      </c>
      <c r="T485" s="72">
        <v>0.79261796042618</v>
      </c>
      <c r="U485" s="72">
        <v>0.836046050019849</v>
      </c>
      <c r="V485" s="72">
        <v>0.85521582733813</v>
      </c>
      <c r="W485" s="72">
        <v>0.812769628990509</v>
      </c>
      <c r="X485" s="74">
        <v>0.92</v>
      </c>
      <c r="Y485" s="74">
        <v>0.785073670723895</v>
      </c>
      <c r="Z485" s="74">
        <v>0.874912403644008</v>
      </c>
      <c r="AA485" s="74">
        <v>0.872022607993541</v>
      </c>
      <c r="AB485" s="74">
        <v>0.838250538234591</v>
      </c>
      <c r="AC485" s="74">
        <v>0.92</v>
      </c>
      <c r="AD485" s="72">
        <v>0.968946151304922</v>
      </c>
      <c r="AE485" s="72">
        <v>0.991064590247638</v>
      </c>
      <c r="AF485" s="72">
        <v>0.972989754734555</v>
      </c>
      <c r="AG485" s="72">
        <v>0.98203553482873</v>
      </c>
      <c r="AH485" s="74">
        <v>0.92</v>
      </c>
      <c r="AI485" s="72">
        <v>0.847826086956522</v>
      </c>
      <c r="AJ485" s="72">
        <v>0.912169705991812</v>
      </c>
      <c r="AK485" s="72">
        <v>0.907060825180774</v>
      </c>
      <c r="AL485" s="72">
        <v>0.891011355194736</v>
      </c>
      <c r="AM485" s="71">
        <v>0.99</v>
      </c>
      <c r="AN485" s="76">
        <v>1</v>
      </c>
      <c r="AO485" s="76">
        <v>1</v>
      </c>
      <c r="AP485" s="76">
        <v>1</v>
      </c>
      <c r="AQ485" s="76">
        <v>1</v>
      </c>
      <c r="AR485" s="96">
        <v>0.05</v>
      </c>
      <c r="AS485" s="80">
        <v>0.00628930817610063</v>
      </c>
      <c r="AT485" s="80">
        <v>0</v>
      </c>
      <c r="AU485" s="80">
        <v>0.0127118644067797</v>
      </c>
      <c r="AV485" s="80">
        <v>0.00572183098591549</v>
      </c>
      <c r="AW485" s="36"/>
      <c r="AX485" s="34"/>
    </row>
    <row r="486" ht="14.5" spans="1:50">
      <c r="A486" s="32"/>
      <c r="B486" s="36"/>
      <c r="C486" s="91" t="s">
        <v>401</v>
      </c>
      <c r="D486" s="69" t="s">
        <v>19</v>
      </c>
      <c r="E486" s="92" t="s">
        <v>537</v>
      </c>
      <c r="F486" s="92" t="s">
        <v>537</v>
      </c>
      <c r="G486" s="92" t="s">
        <v>537</v>
      </c>
      <c r="H486" s="92" t="s">
        <v>537</v>
      </c>
      <c r="I486" s="71">
        <v>0.9</v>
      </c>
      <c r="J486" s="72">
        <v>1</v>
      </c>
      <c r="K486" s="72">
        <v>1</v>
      </c>
      <c r="L486" s="73">
        <v>1</v>
      </c>
      <c r="M486" s="72">
        <v>0.987538940809969</v>
      </c>
      <c r="N486" s="74">
        <v>0.9</v>
      </c>
      <c r="O486" s="72">
        <v>0.992566897918731</v>
      </c>
      <c r="P486" s="72">
        <v>0.999465240641711</v>
      </c>
      <c r="Q486" s="72">
        <v>0.997300215982721</v>
      </c>
      <c r="R486" s="72">
        <v>0.993054359680845</v>
      </c>
      <c r="S486" s="74">
        <v>0.9</v>
      </c>
      <c r="T486" s="72">
        <v>0.932606541129832</v>
      </c>
      <c r="U486" s="72">
        <v>0.929411764705882</v>
      </c>
      <c r="V486" s="72">
        <v>0.940064794816415</v>
      </c>
      <c r="W486" s="72">
        <v>0.929108547155732</v>
      </c>
      <c r="X486" s="74">
        <v>0.92</v>
      </c>
      <c r="Y486" s="74">
        <v>0.910315985130111</v>
      </c>
      <c r="Z486" s="74">
        <v>0.941544885177453</v>
      </c>
      <c r="AA486" s="74">
        <v>0.956009913258984</v>
      </c>
      <c r="AB486" s="74">
        <v>0.93436138500344</v>
      </c>
      <c r="AC486" s="74">
        <v>0.92</v>
      </c>
      <c r="AD486" s="72">
        <v>0.993640699523052</v>
      </c>
      <c r="AE486" s="72">
        <v>0.996930161166539</v>
      </c>
      <c r="AF486" s="72">
        <v>0.999246420497362</v>
      </c>
      <c r="AG486" s="72">
        <v>0.997376162836925</v>
      </c>
      <c r="AH486" s="74">
        <v>0.92</v>
      </c>
      <c r="AI486" s="72">
        <v>0.944364508393285</v>
      </c>
      <c r="AJ486" s="72">
        <v>0.963285789751717</v>
      </c>
      <c r="AK486" s="72">
        <v>0.973167916907097</v>
      </c>
      <c r="AL486" s="72">
        <v>0.960764068146619</v>
      </c>
      <c r="AM486" s="71">
        <v>0.99</v>
      </c>
      <c r="AN486" s="76">
        <v>1</v>
      </c>
      <c r="AO486" s="76">
        <v>1</v>
      </c>
      <c r="AP486" s="76">
        <v>1</v>
      </c>
      <c r="AQ486" s="76">
        <v>1</v>
      </c>
      <c r="AR486" s="96">
        <v>0.05</v>
      </c>
      <c r="AS486" s="80">
        <v>0.15</v>
      </c>
      <c r="AT486" s="80">
        <v>0</v>
      </c>
      <c r="AU486" s="80">
        <v>0.157894736842105</v>
      </c>
      <c r="AV486" s="80">
        <v>0.0584415584415584</v>
      </c>
      <c r="AW486" s="36"/>
      <c r="AX486" s="34"/>
    </row>
    <row r="487" ht="14.5" spans="1:50">
      <c r="A487" s="32"/>
      <c r="B487" s="36"/>
      <c r="C487" s="91" t="s">
        <v>401</v>
      </c>
      <c r="D487" s="69" t="s">
        <v>19</v>
      </c>
      <c r="E487" s="92" t="s">
        <v>538</v>
      </c>
      <c r="F487" s="92" t="s">
        <v>538</v>
      </c>
      <c r="G487" s="92" t="s">
        <v>538</v>
      </c>
      <c r="H487" s="92" t="s">
        <v>538</v>
      </c>
      <c r="I487" s="71">
        <v>0.9</v>
      </c>
      <c r="J487" s="72">
        <v>0.954545454545455</v>
      </c>
      <c r="K487" s="72">
        <v>1</v>
      </c>
      <c r="L487" s="73">
        <v>0.956521739130435</v>
      </c>
      <c r="M487" s="72">
        <v>0.95260663507109</v>
      </c>
      <c r="N487" s="74">
        <v>0.9</v>
      </c>
      <c r="O487" s="72">
        <v>0.929519918283963</v>
      </c>
      <c r="P487" s="72">
        <v>0.928494041170097</v>
      </c>
      <c r="Q487" s="72">
        <v>0.956386292834891</v>
      </c>
      <c r="R487" s="72">
        <v>0.930022333297884</v>
      </c>
      <c r="S487" s="74">
        <v>0.9</v>
      </c>
      <c r="T487" s="72">
        <v>0.821246169560776</v>
      </c>
      <c r="U487" s="72">
        <v>0.821235102925244</v>
      </c>
      <c r="V487" s="72">
        <v>0.892004153686397</v>
      </c>
      <c r="W487" s="72">
        <v>0.859087525257896</v>
      </c>
      <c r="X487" s="74">
        <v>0.92</v>
      </c>
      <c r="Y487" s="74">
        <v>0.838793103448276</v>
      </c>
      <c r="Z487" s="74">
        <v>0.879528985507246</v>
      </c>
      <c r="AA487" s="74">
        <v>0.869268292682927</v>
      </c>
      <c r="AB487" s="74">
        <v>0.880647263249348</v>
      </c>
      <c r="AC487" s="74">
        <v>0.92</v>
      </c>
      <c r="AD487" s="72">
        <v>1</v>
      </c>
      <c r="AE487" s="72">
        <v>0.980582524271845</v>
      </c>
      <c r="AF487" s="72">
        <v>0.994535519125683</v>
      </c>
      <c r="AG487" s="72">
        <v>0.991443240159726</v>
      </c>
      <c r="AH487" s="74">
        <v>0.92</v>
      </c>
      <c r="AI487" s="72">
        <v>0.885928003740065</v>
      </c>
      <c r="AJ487" s="72">
        <v>0.915638875185002</v>
      </c>
      <c r="AK487" s="72">
        <v>0.911010558069382</v>
      </c>
      <c r="AL487" s="72">
        <v>0.922804190169218</v>
      </c>
      <c r="AM487" s="71">
        <v>0.99</v>
      </c>
      <c r="AN487" s="76">
        <v>1</v>
      </c>
      <c r="AO487" s="76">
        <v>1</v>
      </c>
      <c r="AP487" s="76">
        <v>1</v>
      </c>
      <c r="AQ487" s="76">
        <v>1</v>
      </c>
      <c r="AR487" s="96">
        <v>0.05</v>
      </c>
      <c r="AS487" s="80">
        <v>0.0078740157480315</v>
      </c>
      <c r="AT487" s="80">
        <v>0</v>
      </c>
      <c r="AU487" s="80">
        <v>0</v>
      </c>
      <c r="AV487" s="80">
        <v>0.00245398773006135</v>
      </c>
      <c r="AW487" s="36"/>
      <c r="AX487" s="34"/>
    </row>
    <row r="488" ht="14.5" spans="1:50">
      <c r="A488" s="32"/>
      <c r="B488" s="36"/>
      <c r="C488" s="91" t="s">
        <v>401</v>
      </c>
      <c r="D488" s="69" t="s">
        <v>19</v>
      </c>
      <c r="E488" s="92" t="s">
        <v>539</v>
      </c>
      <c r="F488" s="92" t="s">
        <v>539</v>
      </c>
      <c r="G488" s="92" t="s">
        <v>539</v>
      </c>
      <c r="H488" s="92" t="s">
        <v>539</v>
      </c>
      <c r="I488" s="71">
        <v>0.9</v>
      </c>
      <c r="J488" s="72">
        <v>0.40625</v>
      </c>
      <c r="K488" s="72">
        <v>0.545454545454545</v>
      </c>
      <c r="L488" s="73">
        <v>0.594594594594595</v>
      </c>
      <c r="M488" s="72">
        <v>0.725165562913907</v>
      </c>
      <c r="N488" s="74">
        <v>0.9</v>
      </c>
      <c r="O488" s="72">
        <v>0.947756607252612</v>
      </c>
      <c r="P488" s="72">
        <v>0.937665782493369</v>
      </c>
      <c r="Q488" s="72">
        <v>0.997202797202797</v>
      </c>
      <c r="R488" s="72">
        <v>0.951202843083652</v>
      </c>
      <c r="S488" s="74">
        <v>0.9</v>
      </c>
      <c r="T488" s="72">
        <v>0.814382298709281</v>
      </c>
      <c r="U488" s="72">
        <v>0.868037135278515</v>
      </c>
      <c r="V488" s="72">
        <v>0.914685314685315</v>
      </c>
      <c r="W488" s="72">
        <v>0.808911973756151</v>
      </c>
      <c r="X488" s="74">
        <v>0.92</v>
      </c>
      <c r="Y488" s="74">
        <v>0.830026809651475</v>
      </c>
      <c r="Z488" s="74">
        <v>0.854483925549915</v>
      </c>
      <c r="AA488" s="74">
        <v>0.907702523240372</v>
      </c>
      <c r="AB488" s="74">
        <v>0.850982148569966</v>
      </c>
      <c r="AC488" s="74">
        <v>0.92</v>
      </c>
      <c r="AD488" s="72">
        <v>0.993827160493827</v>
      </c>
      <c r="AE488" s="72">
        <v>0.994805194805195</v>
      </c>
      <c r="AF488" s="72">
        <v>0.988571428571429</v>
      </c>
      <c r="AG488" s="72">
        <v>0.982996811902232</v>
      </c>
      <c r="AH488" s="74">
        <v>0.92</v>
      </c>
      <c r="AI488" s="72">
        <v>0.889175257731959</v>
      </c>
      <c r="AJ488" s="72">
        <v>0.905878769418215</v>
      </c>
      <c r="AK488" s="72">
        <v>0.939393939393939</v>
      </c>
      <c r="AL488" s="72">
        <v>0.904813823636304</v>
      </c>
      <c r="AM488" s="71">
        <v>0.99</v>
      </c>
      <c r="AN488" s="76">
        <v>1</v>
      </c>
      <c r="AO488" s="76">
        <v>1</v>
      </c>
      <c r="AP488" s="76">
        <v>1</v>
      </c>
      <c r="AQ488" s="76">
        <v>1</v>
      </c>
      <c r="AR488" s="96">
        <v>0.05</v>
      </c>
      <c r="AS488" s="80">
        <v>0.2</v>
      </c>
      <c r="AT488" s="80">
        <v>0</v>
      </c>
      <c r="AU488" s="80">
        <v>0</v>
      </c>
      <c r="AV488" s="80">
        <v>0.0675675675675676</v>
      </c>
      <c r="AW488" s="36"/>
      <c r="AX488" s="34"/>
    </row>
    <row r="489" ht="14.5" spans="1:50">
      <c r="A489" s="32"/>
      <c r="B489" s="36"/>
      <c r="C489" s="91" t="s">
        <v>401</v>
      </c>
      <c r="D489" s="69" t="s">
        <v>19</v>
      </c>
      <c r="E489" s="92" t="s">
        <v>540</v>
      </c>
      <c r="F489" s="92" t="s">
        <v>540</v>
      </c>
      <c r="G489" s="92" t="s">
        <v>540</v>
      </c>
      <c r="H489" s="92" t="s">
        <v>540</v>
      </c>
      <c r="I489" s="71">
        <v>0.9</v>
      </c>
      <c r="J489" s="72">
        <v>1</v>
      </c>
      <c r="K489" s="72">
        <v>0.972222222222222</v>
      </c>
      <c r="L489" s="73">
        <v>0.975609756097561</v>
      </c>
      <c r="M489" s="72">
        <v>0.959420289855072</v>
      </c>
      <c r="N489" s="74">
        <v>0.9</v>
      </c>
      <c r="O489" s="72">
        <v>0.975550122249389</v>
      </c>
      <c r="P489" s="72">
        <v>0.987733333333333</v>
      </c>
      <c r="Q489" s="72">
        <v>0.971078976640712</v>
      </c>
      <c r="R489" s="72">
        <v>0.978616352201258</v>
      </c>
      <c r="S489" s="74">
        <v>0.9</v>
      </c>
      <c r="T489" s="72">
        <v>0.898777506112469</v>
      </c>
      <c r="U489" s="72">
        <v>0.9312</v>
      </c>
      <c r="V489" s="72">
        <v>0.936040044493882</v>
      </c>
      <c r="W489" s="72">
        <v>0.913950829045169</v>
      </c>
      <c r="X489" s="74">
        <v>0.92</v>
      </c>
      <c r="Y489" s="74">
        <v>0.853392768697375</v>
      </c>
      <c r="Z489" s="74">
        <v>0.909700722394221</v>
      </c>
      <c r="AA489" s="74">
        <v>0.935323383084577</v>
      </c>
      <c r="AB489" s="74">
        <v>0.909765492239719</v>
      </c>
      <c r="AC489" s="74">
        <v>0.92</v>
      </c>
      <c r="AD489" s="72">
        <v>0.970852371198992</v>
      </c>
      <c r="AE489" s="72">
        <v>0.993324989570296</v>
      </c>
      <c r="AF489" s="72">
        <v>0.993444576877235</v>
      </c>
      <c r="AG489" s="72">
        <v>0.98588722870542</v>
      </c>
      <c r="AH489" s="74">
        <v>0.92</v>
      </c>
      <c r="AI489" s="72">
        <v>0.904281496062992</v>
      </c>
      <c r="AJ489" s="72">
        <v>0.944400734329924</v>
      </c>
      <c r="AK489" s="72">
        <v>0.956196285001386</v>
      </c>
      <c r="AL489" s="72">
        <v>0.943238398725354</v>
      </c>
      <c r="AM489" s="71">
        <v>0.99</v>
      </c>
      <c r="AN489" s="76">
        <v>1</v>
      </c>
      <c r="AO489" s="76">
        <v>1</v>
      </c>
      <c r="AP489" s="76">
        <v>1</v>
      </c>
      <c r="AQ489" s="76">
        <v>1</v>
      </c>
      <c r="AR489" s="96">
        <v>0.05</v>
      </c>
      <c r="AS489" s="80">
        <v>0</v>
      </c>
      <c r="AT489" s="80">
        <v>0.0769230769230769</v>
      </c>
      <c r="AU489" s="80">
        <v>0.0588235294117647</v>
      </c>
      <c r="AV489" s="80">
        <v>0.0359281437125748</v>
      </c>
      <c r="AW489" s="36"/>
      <c r="AX489" s="34"/>
    </row>
    <row r="490" ht="14.5" spans="1:50">
      <c r="A490" s="32"/>
      <c r="B490" s="36"/>
      <c r="C490" s="91" t="s">
        <v>401</v>
      </c>
      <c r="D490" s="69" t="s">
        <v>19</v>
      </c>
      <c r="E490" s="92" t="s">
        <v>541</v>
      </c>
      <c r="F490" s="92" t="s">
        <v>541</v>
      </c>
      <c r="G490" s="92" t="s">
        <v>541</v>
      </c>
      <c r="H490" s="92" t="s">
        <v>541</v>
      </c>
      <c r="I490" s="71">
        <v>0.9</v>
      </c>
      <c r="J490" s="72">
        <v>0.872340425531915</v>
      </c>
      <c r="K490" s="72">
        <v>0.865384615384615</v>
      </c>
      <c r="L490" s="73">
        <v>0.92</v>
      </c>
      <c r="M490" s="72">
        <v>0.908045977011494</v>
      </c>
      <c r="N490" s="74">
        <v>0.9</v>
      </c>
      <c r="O490" s="72">
        <v>0.977883096366509</v>
      </c>
      <c r="P490" s="72">
        <v>0.962800234329233</v>
      </c>
      <c r="Q490" s="72">
        <v>0.969830295411691</v>
      </c>
      <c r="R490" s="72">
        <v>0.95554562003002</v>
      </c>
      <c r="S490" s="74">
        <v>0.9</v>
      </c>
      <c r="T490" s="72">
        <v>0.950500263296472</v>
      </c>
      <c r="U490" s="72">
        <v>0.952255418863503</v>
      </c>
      <c r="V490" s="72">
        <v>0.942803268384664</v>
      </c>
      <c r="W490" s="72">
        <v>0.929773576469837</v>
      </c>
      <c r="X490" s="74">
        <v>0.92</v>
      </c>
      <c r="Y490" s="74">
        <v>0.938210227272727</v>
      </c>
      <c r="Z490" s="74">
        <v>0.953156822810591</v>
      </c>
      <c r="AA490" s="74">
        <v>0.942630185348632</v>
      </c>
      <c r="AB490" s="74">
        <v>0.945366849086356</v>
      </c>
      <c r="AC490" s="74">
        <v>0.92</v>
      </c>
      <c r="AD490" s="72">
        <v>0.998161764705882</v>
      </c>
      <c r="AE490" s="72">
        <v>0.99774011299435</v>
      </c>
      <c r="AF490" s="72">
        <v>0.99359795134443</v>
      </c>
      <c r="AG490" s="72">
        <v>0.994246861924686</v>
      </c>
      <c r="AH490" s="74">
        <v>0.92</v>
      </c>
      <c r="AI490" s="72">
        <v>0.96971439524631</v>
      </c>
      <c r="AJ490" s="72">
        <v>0.975482406356413</v>
      </c>
      <c r="AK490" s="72">
        <v>0.978447276940904</v>
      </c>
      <c r="AL490" s="72">
        <v>0.977634265634646</v>
      </c>
      <c r="AM490" s="71">
        <v>0.99</v>
      </c>
      <c r="AN490" s="76">
        <v>1</v>
      </c>
      <c r="AO490" s="76">
        <v>1</v>
      </c>
      <c r="AP490" s="76">
        <v>1</v>
      </c>
      <c r="AQ490" s="76">
        <v>1</v>
      </c>
      <c r="AR490" s="96">
        <v>0.05</v>
      </c>
      <c r="AS490" s="80">
        <v>0</v>
      </c>
      <c r="AT490" s="80">
        <v>0</v>
      </c>
      <c r="AU490" s="80">
        <v>0.0666666666666667</v>
      </c>
      <c r="AV490" s="80">
        <v>0.0838709677419355</v>
      </c>
      <c r="AW490" s="36"/>
      <c r="AX490" s="34"/>
    </row>
    <row r="491" ht="14.5" spans="1:50">
      <c r="A491" s="32"/>
      <c r="B491" s="36"/>
      <c r="C491" s="91" t="s">
        <v>401</v>
      </c>
      <c r="D491" s="69" t="s">
        <v>19</v>
      </c>
      <c r="E491" s="92" t="s">
        <v>542</v>
      </c>
      <c r="F491" s="92" t="s">
        <v>542</v>
      </c>
      <c r="G491" s="92" t="s">
        <v>542</v>
      </c>
      <c r="H491" s="92" t="s">
        <v>542</v>
      </c>
      <c r="I491" s="71">
        <v>0.9</v>
      </c>
      <c r="J491" s="72">
        <v>0.857142857142857</v>
      </c>
      <c r="K491" s="72">
        <v>0.878787878787879</v>
      </c>
      <c r="L491" s="73">
        <v>0.882352941176471</v>
      </c>
      <c r="M491" s="72">
        <v>0.895238095238095</v>
      </c>
      <c r="N491" s="74">
        <v>0.9</v>
      </c>
      <c r="O491" s="72">
        <v>0.960556844547564</v>
      </c>
      <c r="P491" s="72">
        <v>0.919431279620853</v>
      </c>
      <c r="Q491" s="72">
        <v>0.925754884547069</v>
      </c>
      <c r="R491" s="72">
        <v>0.951466765688823</v>
      </c>
      <c r="S491" s="74">
        <v>0.9</v>
      </c>
      <c r="T491" s="72">
        <v>0.90288365926417</v>
      </c>
      <c r="U491" s="72">
        <v>0.904536222071767</v>
      </c>
      <c r="V491" s="72">
        <v>0.898401420959147</v>
      </c>
      <c r="W491" s="72">
        <v>0.88889714073524</v>
      </c>
      <c r="X491" s="74">
        <v>0.92</v>
      </c>
      <c r="Y491" s="74">
        <v>0.910953506698188</v>
      </c>
      <c r="Z491" s="74">
        <v>0.906716417910448</v>
      </c>
      <c r="AA491" s="74">
        <v>0.878587196467991</v>
      </c>
      <c r="AB491" s="74">
        <v>0.908875338753388</v>
      </c>
      <c r="AC491" s="74">
        <v>0.92</v>
      </c>
      <c r="AD491" s="72">
        <v>0.998559077809798</v>
      </c>
      <c r="AE491" s="72">
        <v>0.997828918801563</v>
      </c>
      <c r="AF491" s="72">
        <v>0.998337028824834</v>
      </c>
      <c r="AG491" s="72">
        <v>0.998343058857431</v>
      </c>
      <c r="AH491" s="74">
        <v>0.92</v>
      </c>
      <c r="AI491" s="72">
        <v>0.939160839160839</v>
      </c>
      <c r="AJ491" s="72">
        <v>0.952114924181963</v>
      </c>
      <c r="AK491" s="72">
        <v>0.927209239860328</v>
      </c>
      <c r="AL491" s="72">
        <v>0.952424851938764</v>
      </c>
      <c r="AM491" s="71">
        <v>0.99</v>
      </c>
      <c r="AN491" s="76">
        <v>1</v>
      </c>
      <c r="AO491" s="76">
        <v>1</v>
      </c>
      <c r="AP491" s="76">
        <v>1</v>
      </c>
      <c r="AQ491" s="76">
        <v>1</v>
      </c>
      <c r="AR491" s="96">
        <v>0.05</v>
      </c>
      <c r="AS491" s="80">
        <v>0</v>
      </c>
      <c r="AT491" s="80">
        <v>0.130434782608696</v>
      </c>
      <c r="AU491" s="80">
        <v>0.0625</v>
      </c>
      <c r="AV491" s="80">
        <v>0.04</v>
      </c>
      <c r="AW491" s="36"/>
      <c r="AX491" s="34"/>
    </row>
    <row r="492" ht="14.5" spans="1:50">
      <c r="A492" s="32"/>
      <c r="B492" s="36"/>
      <c r="C492" s="91" t="s">
        <v>401</v>
      </c>
      <c r="D492" s="69" t="s">
        <v>19</v>
      </c>
      <c r="E492" s="92" t="s">
        <v>543</v>
      </c>
      <c r="F492" s="92" t="s">
        <v>543</v>
      </c>
      <c r="G492" s="92" t="s">
        <v>543</v>
      </c>
      <c r="H492" s="92" t="s">
        <v>543</v>
      </c>
      <c r="I492" s="71">
        <v>0.9</v>
      </c>
      <c r="J492" s="72">
        <v>0.951219512195122</v>
      </c>
      <c r="K492" s="72">
        <v>0.976744186046512</v>
      </c>
      <c r="L492" s="73">
        <v>0.959183673469388</v>
      </c>
      <c r="M492" s="72">
        <v>0.965432098765432</v>
      </c>
      <c r="N492" s="74">
        <v>0.9</v>
      </c>
      <c r="O492" s="72">
        <v>0.75</v>
      </c>
      <c r="P492" s="72">
        <v>0</v>
      </c>
      <c r="Q492" s="72">
        <v>0</v>
      </c>
      <c r="R492" s="72">
        <v>0.75</v>
      </c>
      <c r="S492" s="74">
        <v>0.9</v>
      </c>
      <c r="T492" s="72">
        <v>0</v>
      </c>
      <c r="U492" s="72">
        <v>0</v>
      </c>
      <c r="V492" s="72">
        <v>0</v>
      </c>
      <c r="W492" s="72">
        <v>0.25</v>
      </c>
      <c r="X492" s="74">
        <v>0.92</v>
      </c>
      <c r="Y492" s="74">
        <v>0</v>
      </c>
      <c r="Z492" s="74">
        <v>0</v>
      </c>
      <c r="AA492" s="74">
        <v>0</v>
      </c>
      <c r="AB492" s="74">
        <v>0</v>
      </c>
      <c r="AC492" s="74">
        <v>0.92</v>
      </c>
      <c r="AD492" s="72">
        <v>0.995983935742972</v>
      </c>
      <c r="AE492" s="72">
        <v>0.992248062015504</v>
      </c>
      <c r="AF492" s="72">
        <v>0.995664739884393</v>
      </c>
      <c r="AG492" s="72">
        <v>0.987785448751991</v>
      </c>
      <c r="AH492" s="74">
        <v>0.92</v>
      </c>
      <c r="AI492" s="72">
        <v>0.94978028876334</v>
      </c>
      <c r="AJ492" s="72">
        <v>0.969072164948454</v>
      </c>
      <c r="AK492" s="72">
        <v>0.984294368409244</v>
      </c>
      <c r="AL492" s="72">
        <v>0.97020202020202</v>
      </c>
      <c r="AM492" s="71">
        <v>0.99</v>
      </c>
      <c r="AN492" s="76">
        <v>1</v>
      </c>
      <c r="AO492" s="76">
        <v>1</v>
      </c>
      <c r="AP492" s="76">
        <v>1</v>
      </c>
      <c r="AQ492" s="76">
        <v>1</v>
      </c>
      <c r="AR492" s="96">
        <v>0.05</v>
      </c>
      <c r="AS492" s="80">
        <v>0.130434782608696</v>
      </c>
      <c r="AT492" s="80">
        <v>0.176470588235294</v>
      </c>
      <c r="AU492" s="80">
        <v>0.0476190476190476</v>
      </c>
      <c r="AV492" s="80">
        <v>0.0833333333333333</v>
      </c>
      <c r="AW492" s="36"/>
      <c r="AX492" s="34"/>
    </row>
    <row r="493" ht="14.5" spans="1:50">
      <c r="A493" s="32"/>
      <c r="B493" s="36"/>
      <c r="C493" s="91" t="s">
        <v>401</v>
      </c>
      <c r="D493" s="69" t="s">
        <v>19</v>
      </c>
      <c r="E493" s="92" t="s">
        <v>544</v>
      </c>
      <c r="F493" s="92" t="s">
        <v>544</v>
      </c>
      <c r="G493" s="92" t="s">
        <v>544</v>
      </c>
      <c r="H493" s="92" t="s">
        <v>544</v>
      </c>
      <c r="I493" s="71">
        <v>0.9</v>
      </c>
      <c r="J493" s="72">
        <v>0.941176470588235</v>
      </c>
      <c r="K493" s="72">
        <v>0.87037037037037</v>
      </c>
      <c r="L493" s="73">
        <v>0.882352941176471</v>
      </c>
      <c r="M493" s="72">
        <v>0.882352941176471</v>
      </c>
      <c r="N493" s="74">
        <v>0.9</v>
      </c>
      <c r="O493" s="72">
        <v>0</v>
      </c>
      <c r="P493" s="72">
        <v>0</v>
      </c>
      <c r="Q493" s="72">
        <v>0</v>
      </c>
      <c r="R493" s="72">
        <v>0</v>
      </c>
      <c r="S493" s="74">
        <v>0.9</v>
      </c>
      <c r="T493" s="72">
        <v>0</v>
      </c>
      <c r="U493" s="72">
        <v>0</v>
      </c>
      <c r="V493" s="72">
        <v>0.75</v>
      </c>
      <c r="W493" s="72">
        <v>0.7</v>
      </c>
      <c r="X493" s="74">
        <v>0.92</v>
      </c>
      <c r="Y493" s="74">
        <v>0</v>
      </c>
      <c r="Z493" s="74">
        <v>0.5</v>
      </c>
      <c r="AA493" s="74">
        <v>0</v>
      </c>
      <c r="AB493" s="74">
        <v>0.4</v>
      </c>
      <c r="AC493" s="74">
        <v>0.92</v>
      </c>
      <c r="AD493" s="72">
        <v>0.995872033023736</v>
      </c>
      <c r="AE493" s="72">
        <v>0.994100294985251</v>
      </c>
      <c r="AF493" s="72">
        <v>0.987220447284345</v>
      </c>
      <c r="AG493" s="72">
        <v>0.991473684210526</v>
      </c>
      <c r="AH493" s="74">
        <v>0.92</v>
      </c>
      <c r="AI493" s="72">
        <v>0.897608222968966</v>
      </c>
      <c r="AJ493" s="72">
        <v>0.916131887585749</v>
      </c>
      <c r="AK493" s="72">
        <v>0.930375576542939</v>
      </c>
      <c r="AL493" s="72">
        <v>0.920055364642994</v>
      </c>
      <c r="AM493" s="71">
        <v>0.99</v>
      </c>
      <c r="AN493" s="76">
        <v>1</v>
      </c>
      <c r="AO493" s="76">
        <v>1</v>
      </c>
      <c r="AP493" s="76">
        <v>1</v>
      </c>
      <c r="AQ493" s="76">
        <v>1</v>
      </c>
      <c r="AR493" s="96">
        <v>0.05</v>
      </c>
      <c r="AS493" s="80">
        <v>0.230769230769231</v>
      </c>
      <c r="AT493" s="80">
        <v>0</v>
      </c>
      <c r="AU493" s="80">
        <v>0.0714285714285714</v>
      </c>
      <c r="AV493" s="80">
        <v>0.0601503759398496</v>
      </c>
      <c r="AW493" s="36"/>
      <c r="AX493" s="34"/>
    </row>
    <row r="494" ht="14.5" spans="1:50">
      <c r="A494" s="32"/>
      <c r="B494" s="36"/>
      <c r="C494" s="91" t="s">
        <v>401</v>
      </c>
      <c r="D494" s="69" t="s">
        <v>19</v>
      </c>
      <c r="E494" s="92" t="s">
        <v>545</v>
      </c>
      <c r="F494" s="92" t="s">
        <v>545</v>
      </c>
      <c r="G494" s="92" t="s">
        <v>545</v>
      </c>
      <c r="H494" s="92" t="s">
        <v>545</v>
      </c>
      <c r="I494" s="71">
        <v>0.9</v>
      </c>
      <c r="J494" s="72">
        <v>0.966666666666667</v>
      </c>
      <c r="K494" s="72">
        <v>0.918918918918919</v>
      </c>
      <c r="L494" s="73">
        <v>0.942857142857143</v>
      </c>
      <c r="M494" s="72">
        <v>0.904290429042904</v>
      </c>
      <c r="N494" s="74">
        <v>0.9</v>
      </c>
      <c r="O494" s="72">
        <v>0.902353966870096</v>
      </c>
      <c r="P494" s="72">
        <v>0.906092964824121</v>
      </c>
      <c r="Q494" s="72">
        <v>0.934600515463918</v>
      </c>
      <c r="R494" s="72">
        <v>0.925206164661349</v>
      </c>
      <c r="S494" s="74">
        <v>0.9</v>
      </c>
      <c r="T494" s="72">
        <v>0.863702412089509</v>
      </c>
      <c r="U494" s="72">
        <v>0.896356783919598</v>
      </c>
      <c r="V494" s="72">
        <v>0.892396907216495</v>
      </c>
      <c r="W494" s="72">
        <v>0.871975125050696</v>
      </c>
      <c r="X494" s="74">
        <v>0.92</v>
      </c>
      <c r="Y494" s="74">
        <v>1</v>
      </c>
      <c r="Z494" s="74">
        <v>0</v>
      </c>
      <c r="AA494" s="74">
        <v>1</v>
      </c>
      <c r="AB494" s="74">
        <v>0.666666666666667</v>
      </c>
      <c r="AC494" s="74">
        <v>0.92</v>
      </c>
      <c r="AD494" s="72">
        <v>0.998914223669924</v>
      </c>
      <c r="AE494" s="72">
        <v>0.997360316761989</v>
      </c>
      <c r="AF494" s="72">
        <v>0.997194950911641</v>
      </c>
      <c r="AG494" s="72">
        <v>0.99687631405058</v>
      </c>
      <c r="AH494" s="74">
        <v>0.92</v>
      </c>
      <c r="AI494" s="72">
        <v>0.937554458321232</v>
      </c>
      <c r="AJ494" s="72">
        <v>0.971742543171115</v>
      </c>
      <c r="AK494" s="72">
        <v>0.97133655394525</v>
      </c>
      <c r="AL494" s="72">
        <v>0.962832815245303</v>
      </c>
      <c r="AM494" s="71">
        <v>0.99</v>
      </c>
      <c r="AN494" s="76">
        <v>1</v>
      </c>
      <c r="AO494" s="76">
        <v>1</v>
      </c>
      <c r="AP494" s="76">
        <v>1</v>
      </c>
      <c r="AQ494" s="76">
        <v>1</v>
      </c>
      <c r="AR494" s="96">
        <v>0.05</v>
      </c>
      <c r="AS494" s="80">
        <v>0</v>
      </c>
      <c r="AT494" s="80">
        <v>0</v>
      </c>
      <c r="AU494" s="80">
        <v>0.0714285714285714</v>
      </c>
      <c r="AV494" s="80">
        <v>0.05</v>
      </c>
      <c r="AW494" s="36"/>
      <c r="AX494" s="34"/>
    </row>
    <row r="495" ht="14.5" spans="1:50">
      <c r="A495" s="32"/>
      <c r="B495" s="36"/>
      <c r="C495" s="91" t="s">
        <v>401</v>
      </c>
      <c r="D495" s="69" t="s">
        <v>19</v>
      </c>
      <c r="E495" s="92" t="s">
        <v>546</v>
      </c>
      <c r="F495" s="92" t="s">
        <v>546</v>
      </c>
      <c r="G495" s="92" t="s">
        <v>546</v>
      </c>
      <c r="H495" s="92" t="s">
        <v>546</v>
      </c>
      <c r="I495" s="71">
        <v>0.9</v>
      </c>
      <c r="J495" s="72">
        <v>1</v>
      </c>
      <c r="K495" s="72">
        <v>0.975609756097561</v>
      </c>
      <c r="L495" s="73">
        <v>0.976744186046512</v>
      </c>
      <c r="M495" s="72">
        <v>0.976127320954907</v>
      </c>
      <c r="N495" s="74">
        <v>0.9</v>
      </c>
      <c r="O495" s="72">
        <v>0.956580005360493</v>
      </c>
      <c r="P495" s="72">
        <v>0.980060924951537</v>
      </c>
      <c r="Q495" s="72">
        <v>0.957754010695187</v>
      </c>
      <c r="R495" s="72">
        <v>0.961445340034938</v>
      </c>
      <c r="S495" s="74">
        <v>0.9</v>
      </c>
      <c r="T495" s="72">
        <v>0.898150629857947</v>
      </c>
      <c r="U495" s="72">
        <v>0.923566878980892</v>
      </c>
      <c r="V495" s="72">
        <v>0.917112299465241</v>
      </c>
      <c r="W495" s="72">
        <v>0.909834809525269</v>
      </c>
      <c r="X495" s="74">
        <v>0.92</v>
      </c>
      <c r="Y495" s="74">
        <v>0.881728045325779</v>
      </c>
      <c r="Z495" s="74">
        <v>0.899521531100478</v>
      </c>
      <c r="AA495" s="74">
        <v>0.915824915824916</v>
      </c>
      <c r="AB495" s="74">
        <v>0.895977932016373</v>
      </c>
      <c r="AC495" s="74">
        <v>0.92</v>
      </c>
      <c r="AD495" s="72">
        <v>0.99734395750332</v>
      </c>
      <c r="AE495" s="72">
        <v>0.99500748876685</v>
      </c>
      <c r="AF495" s="72">
        <v>0.996085011185682</v>
      </c>
      <c r="AG495" s="72">
        <v>0.993590131220899</v>
      </c>
      <c r="AH495" s="74">
        <v>0.92</v>
      </c>
      <c r="AI495" s="72">
        <v>0.927989130434783</v>
      </c>
      <c r="AJ495" s="72">
        <v>0.949108868370195</v>
      </c>
      <c r="AK495" s="72">
        <v>0.952139525451227</v>
      </c>
      <c r="AL495" s="72">
        <v>0.94895284975274</v>
      </c>
      <c r="AM495" s="71">
        <v>0.99</v>
      </c>
      <c r="AN495" s="76">
        <v>1</v>
      </c>
      <c r="AO495" s="76">
        <v>1</v>
      </c>
      <c r="AP495" s="76">
        <v>1</v>
      </c>
      <c r="AQ495" s="76">
        <v>1</v>
      </c>
      <c r="AR495" s="96">
        <v>0.05</v>
      </c>
      <c r="AS495" s="80">
        <v>0</v>
      </c>
      <c r="AT495" s="80">
        <v>0.037037037037037</v>
      </c>
      <c r="AU495" s="80">
        <v>0</v>
      </c>
      <c r="AV495" s="80">
        <v>0.0271493212669683</v>
      </c>
      <c r="AW495" s="36"/>
      <c r="AX495" s="34"/>
    </row>
    <row r="496" ht="14.5" spans="1:50">
      <c r="A496" s="32"/>
      <c r="B496" s="36"/>
      <c r="C496" s="91" t="s">
        <v>401</v>
      </c>
      <c r="D496" s="69" t="s">
        <v>19</v>
      </c>
      <c r="E496" s="92" t="s">
        <v>547</v>
      </c>
      <c r="F496" s="92" t="s">
        <v>547</v>
      </c>
      <c r="G496" s="92" t="s">
        <v>547</v>
      </c>
      <c r="H496" s="92" t="s">
        <v>547</v>
      </c>
      <c r="I496" s="71">
        <v>0.9</v>
      </c>
      <c r="J496" s="72">
        <v>1</v>
      </c>
      <c r="K496" s="72">
        <v>1</v>
      </c>
      <c r="L496" s="73">
        <v>0.977272727272727</v>
      </c>
      <c r="M496" s="72">
        <v>0.976683937823834</v>
      </c>
      <c r="N496" s="74">
        <v>0.9</v>
      </c>
      <c r="O496" s="72">
        <v>0.960190136660725</v>
      </c>
      <c r="P496" s="72">
        <v>0.979669193659545</v>
      </c>
      <c r="Q496" s="72">
        <v>0.982810920121335</v>
      </c>
      <c r="R496" s="72">
        <v>0.977298891926896</v>
      </c>
      <c r="S496" s="74">
        <v>0.9</v>
      </c>
      <c r="T496" s="72">
        <v>0.920083184789067</v>
      </c>
      <c r="U496" s="72">
        <v>0.899035148173673</v>
      </c>
      <c r="V496" s="72">
        <v>0.921469497809235</v>
      </c>
      <c r="W496" s="72">
        <v>0.927363649445964</v>
      </c>
      <c r="X496" s="74">
        <v>0.92</v>
      </c>
      <c r="Y496" s="74">
        <v>0.913987836663771</v>
      </c>
      <c r="Z496" s="74">
        <v>0.936410256410256</v>
      </c>
      <c r="AA496" s="74">
        <v>0.922091782283885</v>
      </c>
      <c r="AB496" s="74">
        <v>0.932793084819017</v>
      </c>
      <c r="AC496" s="74">
        <v>0.92</v>
      </c>
      <c r="AD496" s="72">
        <v>0.999056603773585</v>
      </c>
      <c r="AE496" s="72">
        <v>0.996569468267582</v>
      </c>
      <c r="AF496" s="72">
        <v>0.999390986601705</v>
      </c>
      <c r="AG496" s="72">
        <v>0.998468499825966</v>
      </c>
      <c r="AH496" s="74">
        <v>0.92</v>
      </c>
      <c r="AI496" s="72">
        <v>0.961495906173932</v>
      </c>
      <c r="AJ496" s="72">
        <v>0.969329896907216</v>
      </c>
      <c r="AK496" s="72">
        <v>0.970286885245902</v>
      </c>
      <c r="AL496" s="72">
        <v>0.971774737580615</v>
      </c>
      <c r="AM496" s="71">
        <v>0.99</v>
      </c>
      <c r="AN496" s="76">
        <v>1</v>
      </c>
      <c r="AO496" s="76">
        <v>1</v>
      </c>
      <c r="AP496" s="76">
        <v>1</v>
      </c>
      <c r="AQ496" s="76">
        <v>1</v>
      </c>
      <c r="AR496" s="96">
        <v>0.05</v>
      </c>
      <c r="AS496" s="80">
        <v>0.117647058823529</v>
      </c>
      <c r="AT496" s="80">
        <v>0.0434782608695652</v>
      </c>
      <c r="AU496" s="80">
        <v>0.117647058823529</v>
      </c>
      <c r="AV496" s="80">
        <v>0.0425531914893617</v>
      </c>
      <c r="AW496" s="36"/>
      <c r="AX496" s="34"/>
    </row>
    <row r="497" ht="14.5" spans="1:50">
      <c r="A497" s="32"/>
      <c r="B497" s="36"/>
      <c r="C497" s="91" t="s">
        <v>401</v>
      </c>
      <c r="D497" s="69" t="s">
        <v>19</v>
      </c>
      <c r="E497" s="92" t="s">
        <v>548</v>
      </c>
      <c r="F497" s="92" t="s">
        <v>548</v>
      </c>
      <c r="G497" s="92" t="s">
        <v>548</v>
      </c>
      <c r="H497" s="92" t="s">
        <v>548</v>
      </c>
      <c r="I497" s="71">
        <v>0.9</v>
      </c>
      <c r="J497" s="72">
        <v>0.966292134831461</v>
      </c>
      <c r="K497" s="72">
        <v>0.964705882352941</v>
      </c>
      <c r="L497" s="73">
        <v>1</v>
      </c>
      <c r="M497" s="72">
        <v>0.981935483870968</v>
      </c>
      <c r="N497" s="74">
        <v>0.9</v>
      </c>
      <c r="O497" s="72">
        <v>0.981676927587218</v>
      </c>
      <c r="P497" s="72">
        <v>0.983471074380165</v>
      </c>
      <c r="Q497" s="72">
        <v>0.983118001722653</v>
      </c>
      <c r="R497" s="72">
        <v>0.981314178938165</v>
      </c>
      <c r="S497" s="74">
        <v>0.9</v>
      </c>
      <c r="T497" s="72">
        <v>0.947962474347699</v>
      </c>
      <c r="U497" s="72">
        <v>0.961432506887052</v>
      </c>
      <c r="V497" s="72">
        <v>0.950387596899225</v>
      </c>
      <c r="W497" s="72">
        <v>0.946359693483963</v>
      </c>
      <c r="X497" s="74">
        <v>0.92</v>
      </c>
      <c r="Y497" s="74">
        <v>0.91411603471905</v>
      </c>
      <c r="Z497" s="74">
        <v>0.943173943173943</v>
      </c>
      <c r="AA497" s="74">
        <v>0.931297709923664</v>
      </c>
      <c r="AB497" s="74">
        <v>0.944525257868289</v>
      </c>
      <c r="AC497" s="74">
        <v>0.92</v>
      </c>
      <c r="AD497" s="72">
        <v>0.988200589970501</v>
      </c>
      <c r="AE497" s="72">
        <v>0.987603305785124</v>
      </c>
      <c r="AF497" s="72">
        <v>0.994152046783626</v>
      </c>
      <c r="AG497" s="72">
        <v>0.978318674575578</v>
      </c>
      <c r="AH497" s="74">
        <v>0.92</v>
      </c>
      <c r="AI497" s="72">
        <v>0.967502218278616</v>
      </c>
      <c r="AJ497" s="72">
        <v>0.981251723187207</v>
      </c>
      <c r="AK497" s="72">
        <v>0.979127134724858</v>
      </c>
      <c r="AL497" s="72">
        <v>0.982266076896904</v>
      </c>
      <c r="AM497" s="71">
        <v>0.99</v>
      </c>
      <c r="AN497" s="76">
        <v>1</v>
      </c>
      <c r="AO497" s="76">
        <v>1</v>
      </c>
      <c r="AP497" s="76">
        <v>1</v>
      </c>
      <c r="AQ497" s="76">
        <v>1</v>
      </c>
      <c r="AR497" s="96">
        <v>0.05</v>
      </c>
      <c r="AS497" s="80">
        <v>0.0384615384615385</v>
      </c>
      <c r="AT497" s="80">
        <v>0.0833333333333333</v>
      </c>
      <c r="AU497" s="80">
        <v>0.04</v>
      </c>
      <c r="AV497" s="80">
        <v>0.0642570281124498</v>
      </c>
      <c r="AW497" s="36"/>
      <c r="AX497" s="34"/>
    </row>
    <row r="498" ht="14.5" spans="1:50">
      <c r="A498" s="32"/>
      <c r="B498" s="36"/>
      <c r="C498" s="91" t="s">
        <v>401</v>
      </c>
      <c r="D498" s="69" t="s">
        <v>19</v>
      </c>
      <c r="E498" s="92" t="s">
        <v>549</v>
      </c>
      <c r="F498" s="92" t="s">
        <v>549</v>
      </c>
      <c r="G498" s="92" t="s">
        <v>549</v>
      </c>
      <c r="H498" s="92" t="s">
        <v>549</v>
      </c>
      <c r="I498" s="71">
        <v>0.9</v>
      </c>
      <c r="J498" s="72">
        <v>0.9375</v>
      </c>
      <c r="K498" s="72">
        <v>0.967741935483871</v>
      </c>
      <c r="L498" s="73">
        <v>0.935483870967742</v>
      </c>
      <c r="M498" s="72">
        <v>0.978181818181818</v>
      </c>
      <c r="N498" s="74">
        <v>0.9</v>
      </c>
      <c r="O498" s="72">
        <v>1</v>
      </c>
      <c r="P498" s="72">
        <v>0</v>
      </c>
      <c r="Q498" s="72">
        <v>0</v>
      </c>
      <c r="R498" s="72">
        <v>0.333333333333333</v>
      </c>
      <c r="S498" s="74">
        <v>0.9</v>
      </c>
      <c r="T498" s="72">
        <v>0</v>
      </c>
      <c r="U498" s="72">
        <v>0</v>
      </c>
      <c r="V498" s="72">
        <v>0</v>
      </c>
      <c r="W498" s="72">
        <v>0.333333333333333</v>
      </c>
      <c r="X498" s="74">
        <v>0.92</v>
      </c>
      <c r="Y498" s="74">
        <v>0</v>
      </c>
      <c r="Z498" s="74">
        <v>0</v>
      </c>
      <c r="AA498" s="74">
        <v>0</v>
      </c>
      <c r="AB498" s="74">
        <v>0</v>
      </c>
      <c r="AC498" s="74">
        <v>0.92</v>
      </c>
      <c r="AD498" s="72">
        <v>1</v>
      </c>
      <c r="AE498" s="72">
        <v>0.987341772151899</v>
      </c>
      <c r="AF498" s="72">
        <v>0.934210526315789</v>
      </c>
      <c r="AG498" s="72">
        <v>0.96656050955414</v>
      </c>
      <c r="AH498" s="74">
        <v>0.92</v>
      </c>
      <c r="AI498" s="72">
        <v>0.974074074074074</v>
      </c>
      <c r="AJ498" s="72">
        <v>0.978120184899846</v>
      </c>
      <c r="AK498" s="72">
        <v>0.992315402606081</v>
      </c>
      <c r="AL498" s="72">
        <v>0.984773334258264</v>
      </c>
      <c r="AM498" s="71">
        <v>0.99</v>
      </c>
      <c r="AN498" s="76">
        <v>1</v>
      </c>
      <c r="AO498" s="76">
        <v>1</v>
      </c>
      <c r="AP498" s="76">
        <v>1</v>
      </c>
      <c r="AQ498" s="76">
        <v>1</v>
      </c>
      <c r="AR498" s="96">
        <v>0.05</v>
      </c>
      <c r="AS498" s="80">
        <v>0</v>
      </c>
      <c r="AT498" s="80">
        <v>0</v>
      </c>
      <c r="AU498" s="80">
        <v>0</v>
      </c>
      <c r="AV498" s="80">
        <v>0.0158730158730159</v>
      </c>
      <c r="AW498" s="36"/>
      <c r="AX498" s="34"/>
    </row>
    <row r="499" ht="14.5" spans="1:50">
      <c r="A499" s="32"/>
      <c r="B499" s="36"/>
      <c r="C499" s="91" t="s">
        <v>401</v>
      </c>
      <c r="D499" s="69" t="s">
        <v>19</v>
      </c>
      <c r="E499" s="92" t="s">
        <v>550</v>
      </c>
      <c r="F499" s="92" t="s">
        <v>550</v>
      </c>
      <c r="G499" s="92" t="s">
        <v>550</v>
      </c>
      <c r="H499" s="92" t="s">
        <v>550</v>
      </c>
      <c r="I499" s="71">
        <v>0.9</v>
      </c>
      <c r="J499" s="72">
        <v>0.9</v>
      </c>
      <c r="K499" s="72">
        <v>0.96551724137931</v>
      </c>
      <c r="L499" s="73">
        <v>0.928571428571429</v>
      </c>
      <c r="M499" s="72">
        <v>0.926380368098159</v>
      </c>
      <c r="N499" s="74">
        <v>0.9</v>
      </c>
      <c r="O499" s="72">
        <v>0.5</v>
      </c>
      <c r="P499" s="72">
        <v>0</v>
      </c>
      <c r="Q499" s="72">
        <v>0</v>
      </c>
      <c r="R499" s="72">
        <v>0.5</v>
      </c>
      <c r="S499" s="74">
        <v>0.9</v>
      </c>
      <c r="T499" s="72">
        <v>0</v>
      </c>
      <c r="U499" s="72">
        <v>0</v>
      </c>
      <c r="V499" s="72">
        <v>0</v>
      </c>
      <c r="W499" s="72">
        <v>0.125</v>
      </c>
      <c r="X499" s="74">
        <v>0.92</v>
      </c>
      <c r="Y499" s="74">
        <v>0</v>
      </c>
      <c r="Z499" s="74">
        <v>0</v>
      </c>
      <c r="AA499" s="74">
        <v>0</v>
      </c>
      <c r="AB499" s="74">
        <v>0</v>
      </c>
      <c r="AC499" s="74">
        <v>0.92</v>
      </c>
      <c r="AD499" s="72">
        <v>0.982857142857143</v>
      </c>
      <c r="AE499" s="72">
        <v>0.99016393442623</v>
      </c>
      <c r="AF499" s="72">
        <v>0.991266375545852</v>
      </c>
      <c r="AG499" s="72">
        <v>0.989974937343358</v>
      </c>
      <c r="AH499" s="74">
        <v>0.92</v>
      </c>
      <c r="AI499" s="72">
        <v>0.934041249744742</v>
      </c>
      <c r="AJ499" s="72">
        <v>0.979910714285714</v>
      </c>
      <c r="AK499" s="72">
        <v>0.943730293475625</v>
      </c>
      <c r="AL499" s="72">
        <v>0.965528138414136</v>
      </c>
      <c r="AM499" s="71">
        <v>0.99</v>
      </c>
      <c r="AN499" s="76">
        <v>1</v>
      </c>
      <c r="AO499" s="76">
        <v>1</v>
      </c>
      <c r="AP499" s="76">
        <v>1</v>
      </c>
      <c r="AQ499" s="76">
        <v>1</v>
      </c>
      <c r="AR499" s="96">
        <v>0.05</v>
      </c>
      <c r="AS499" s="80">
        <v>0</v>
      </c>
      <c r="AT499" s="80">
        <v>0.0526315789473684</v>
      </c>
      <c r="AU499" s="80">
        <v>0</v>
      </c>
      <c r="AV499" s="80">
        <v>0.023121387283237</v>
      </c>
      <c r="AW499" s="36"/>
      <c r="AX499" s="34"/>
    </row>
    <row r="500" ht="14.5" spans="1:50">
      <c r="A500" s="32"/>
      <c r="B500" s="36"/>
      <c r="C500" s="91" t="s">
        <v>401</v>
      </c>
      <c r="D500" s="69" t="s">
        <v>19</v>
      </c>
      <c r="E500" s="92" t="s">
        <v>551</v>
      </c>
      <c r="F500" s="92" t="s">
        <v>551</v>
      </c>
      <c r="G500" s="92" t="s">
        <v>551</v>
      </c>
      <c r="H500" s="92" t="s">
        <v>551</v>
      </c>
      <c r="I500" s="71">
        <v>0.9</v>
      </c>
      <c r="J500" s="72">
        <v>1</v>
      </c>
      <c r="K500" s="72">
        <v>1</v>
      </c>
      <c r="L500" s="73">
        <v>0.875</v>
      </c>
      <c r="M500" s="72">
        <v>0.925742574257426</v>
      </c>
      <c r="N500" s="74">
        <v>0.9</v>
      </c>
      <c r="O500" s="72">
        <v>0.428571428571429</v>
      </c>
      <c r="P500" s="72">
        <v>0</v>
      </c>
      <c r="Q500" s="72">
        <v>0</v>
      </c>
      <c r="R500" s="72">
        <v>0.5</v>
      </c>
      <c r="S500" s="74">
        <v>0.9</v>
      </c>
      <c r="T500" s="72">
        <v>0</v>
      </c>
      <c r="U500" s="72">
        <v>0</v>
      </c>
      <c r="V500" s="72">
        <v>0</v>
      </c>
      <c r="W500" s="72">
        <v>0.125</v>
      </c>
      <c r="X500" s="74">
        <v>0.92</v>
      </c>
      <c r="Y500" s="74">
        <v>0</v>
      </c>
      <c r="Z500" s="74">
        <v>0</v>
      </c>
      <c r="AA500" s="74">
        <v>0</v>
      </c>
      <c r="AB500" s="74">
        <v>0.4</v>
      </c>
      <c r="AC500" s="74">
        <v>0.92</v>
      </c>
      <c r="AD500" s="72">
        <v>0.925</v>
      </c>
      <c r="AE500" s="72">
        <v>0.911111111111111</v>
      </c>
      <c r="AF500" s="72">
        <v>0.888888888888889</v>
      </c>
      <c r="AG500" s="72">
        <v>0.880626223091976</v>
      </c>
      <c r="AH500" s="74">
        <v>0.92</v>
      </c>
      <c r="AI500" s="72">
        <v>0.965894736842105</v>
      </c>
      <c r="AJ500" s="72">
        <v>0.973744818056195</v>
      </c>
      <c r="AK500" s="72">
        <v>0.973732718894009</v>
      </c>
      <c r="AL500" s="72">
        <v>0.968109110966254</v>
      </c>
      <c r="AM500" s="71">
        <v>0.99</v>
      </c>
      <c r="AN500" s="76">
        <v>1</v>
      </c>
      <c r="AO500" s="76">
        <v>1</v>
      </c>
      <c r="AP500" s="76">
        <v>1</v>
      </c>
      <c r="AQ500" s="76">
        <v>1</v>
      </c>
      <c r="AR500" s="96">
        <v>0.05</v>
      </c>
      <c r="AS500" s="80">
        <v>0.5</v>
      </c>
      <c r="AT500" s="80">
        <v>0.333333333333333</v>
      </c>
      <c r="AU500" s="80">
        <v>0.2</v>
      </c>
      <c r="AV500" s="80">
        <v>0.0491803278688525</v>
      </c>
      <c r="AW500" s="36"/>
      <c r="AX500" s="34"/>
    </row>
    <row r="501" ht="14.5" spans="1:50">
      <c r="A501" s="32"/>
      <c r="B501" s="36"/>
      <c r="C501" s="91" t="s">
        <v>401</v>
      </c>
      <c r="D501" s="69" t="s">
        <v>19</v>
      </c>
      <c r="E501" s="92" t="s">
        <v>552</v>
      </c>
      <c r="F501" s="92" t="s">
        <v>552</v>
      </c>
      <c r="G501" s="92" t="s">
        <v>552</v>
      </c>
      <c r="H501" s="92" t="s">
        <v>552</v>
      </c>
      <c r="I501" s="71">
        <v>0.9</v>
      </c>
      <c r="J501" s="72">
        <v>0.90625</v>
      </c>
      <c r="K501" s="72">
        <v>0.942307692307692</v>
      </c>
      <c r="L501" s="73">
        <v>0.910714285714286</v>
      </c>
      <c r="M501" s="72">
        <v>0.917505030181087</v>
      </c>
      <c r="N501" s="74">
        <v>0.9</v>
      </c>
      <c r="O501" s="72">
        <v>0.938074938299304</v>
      </c>
      <c r="P501" s="72">
        <v>0.903014098201264</v>
      </c>
      <c r="Q501" s="72">
        <v>0.960410557184751</v>
      </c>
      <c r="R501" s="72">
        <v>0.952962953571519</v>
      </c>
      <c r="S501" s="74">
        <v>0.9</v>
      </c>
      <c r="T501" s="72">
        <v>0.907112407448957</v>
      </c>
      <c r="U501" s="72">
        <v>0.857316480311133</v>
      </c>
      <c r="V501" s="72">
        <v>0.895161290322581</v>
      </c>
      <c r="W501" s="72">
        <v>0.859852422851637</v>
      </c>
      <c r="X501" s="74">
        <v>0.92</v>
      </c>
      <c r="Y501" s="74">
        <v>0.886033519553073</v>
      </c>
      <c r="Z501" s="74">
        <v>0.851917930419269</v>
      </c>
      <c r="AA501" s="74">
        <v>0.939136588818117</v>
      </c>
      <c r="AB501" s="74">
        <v>0.904526269829719</v>
      </c>
      <c r="AC501" s="74">
        <v>0.92</v>
      </c>
      <c r="AD501" s="72">
        <v>0.995241871530531</v>
      </c>
      <c r="AE501" s="72">
        <v>0.998017839444995</v>
      </c>
      <c r="AF501" s="72">
        <v>0.995995423340961</v>
      </c>
      <c r="AG501" s="72">
        <v>0.99243371274426</v>
      </c>
      <c r="AH501" s="74">
        <v>0.92</v>
      </c>
      <c r="AI501" s="72">
        <v>0.935911778807735</v>
      </c>
      <c r="AJ501" s="72">
        <v>0.93450448730189</v>
      </c>
      <c r="AK501" s="72">
        <v>0.973115349682107</v>
      </c>
      <c r="AL501" s="72">
        <v>0.95586217267891</v>
      </c>
      <c r="AM501" s="71">
        <v>0.99</v>
      </c>
      <c r="AN501" s="76">
        <v>1</v>
      </c>
      <c r="AO501" s="76">
        <v>1</v>
      </c>
      <c r="AP501" s="76">
        <v>1</v>
      </c>
      <c r="AQ501" s="76">
        <v>1</v>
      </c>
      <c r="AR501" s="96">
        <v>0.05</v>
      </c>
      <c r="AS501" s="80">
        <v>0.16</v>
      </c>
      <c r="AT501" s="80">
        <v>0</v>
      </c>
      <c r="AU501" s="80">
        <v>0.0909090909090909</v>
      </c>
      <c r="AV501" s="80">
        <v>0.0679611650485437</v>
      </c>
      <c r="AW501" s="36"/>
      <c r="AX501" s="34"/>
    </row>
    <row r="502" ht="14.5" spans="1:50">
      <c r="A502" s="32"/>
      <c r="B502" s="36"/>
      <c r="C502" s="91" t="s">
        <v>401</v>
      </c>
      <c r="D502" s="69" t="s">
        <v>19</v>
      </c>
      <c r="E502" s="92" t="s">
        <v>553</v>
      </c>
      <c r="F502" s="92" t="s">
        <v>553</v>
      </c>
      <c r="G502" s="92" t="s">
        <v>553</v>
      </c>
      <c r="H502" s="92" t="s">
        <v>553</v>
      </c>
      <c r="I502" s="71">
        <v>0.9</v>
      </c>
      <c r="J502" s="72">
        <v>0.96969696969697</v>
      </c>
      <c r="K502" s="72">
        <v>0.966666666666667</v>
      </c>
      <c r="L502" s="73">
        <v>1</v>
      </c>
      <c r="M502" s="72">
        <v>0.985507246376812</v>
      </c>
      <c r="N502" s="74">
        <v>0.9</v>
      </c>
      <c r="O502" s="72">
        <v>0.977681339119653</v>
      </c>
      <c r="P502" s="72">
        <v>0.988605898123324</v>
      </c>
      <c r="Q502" s="72">
        <v>0.979495798319328</v>
      </c>
      <c r="R502" s="72">
        <v>0.982300235017626</v>
      </c>
      <c r="S502" s="74">
        <v>0.9</v>
      </c>
      <c r="T502" s="72">
        <v>0.92684438933664</v>
      </c>
      <c r="U502" s="72">
        <v>0.939678284182306</v>
      </c>
      <c r="V502" s="72">
        <v>0.94890756302521</v>
      </c>
      <c r="W502" s="72">
        <v>0.926667156286721</v>
      </c>
      <c r="X502" s="74">
        <v>0.92</v>
      </c>
      <c r="Y502" s="74">
        <v>0</v>
      </c>
      <c r="Z502" s="74">
        <v>0</v>
      </c>
      <c r="AA502" s="74">
        <v>0</v>
      </c>
      <c r="AB502" s="74">
        <v>0</v>
      </c>
      <c r="AC502" s="74">
        <v>0.92</v>
      </c>
      <c r="AD502" s="72">
        <v>0.970976253298153</v>
      </c>
      <c r="AE502" s="72">
        <v>0.994211287988423</v>
      </c>
      <c r="AF502" s="72">
        <v>0.998394863563403</v>
      </c>
      <c r="AG502" s="72">
        <v>0.991637884021087</v>
      </c>
      <c r="AH502" s="74">
        <v>0.92</v>
      </c>
      <c r="AI502" s="72">
        <v>0.972746980489316</v>
      </c>
      <c r="AJ502" s="72">
        <v>0.983914209115281</v>
      </c>
      <c r="AK502" s="72">
        <v>0.986559139784946</v>
      </c>
      <c r="AL502" s="72">
        <v>0.984801204155806</v>
      </c>
      <c r="AM502" s="71">
        <v>0.99</v>
      </c>
      <c r="AN502" s="76">
        <v>1</v>
      </c>
      <c r="AO502" s="76">
        <v>1</v>
      </c>
      <c r="AP502" s="76">
        <v>1</v>
      </c>
      <c r="AQ502" s="76">
        <v>1</v>
      </c>
      <c r="AR502" s="96">
        <v>0.05</v>
      </c>
      <c r="AS502" s="80">
        <v>0</v>
      </c>
      <c r="AT502" s="80">
        <v>0.0454545454545455</v>
      </c>
      <c r="AU502" s="80">
        <v>0.0454545454545455</v>
      </c>
      <c r="AV502" s="80">
        <v>0.0344827586206897</v>
      </c>
      <c r="AW502" s="36"/>
      <c r="AX502" s="34"/>
    </row>
    <row r="503" ht="14.5" spans="1:50">
      <c r="A503" s="32"/>
      <c r="B503" s="36"/>
      <c r="C503" s="91" t="s">
        <v>401</v>
      </c>
      <c r="D503" s="69" t="s">
        <v>19</v>
      </c>
      <c r="E503" s="92" t="s">
        <v>554</v>
      </c>
      <c r="F503" s="92" t="s">
        <v>554</v>
      </c>
      <c r="G503" s="92" t="s">
        <v>554</v>
      </c>
      <c r="H503" s="92" t="s">
        <v>554</v>
      </c>
      <c r="I503" s="71">
        <v>0.9</v>
      </c>
      <c r="J503" s="72">
        <v>1</v>
      </c>
      <c r="K503" s="72">
        <v>1</v>
      </c>
      <c r="L503" s="73">
        <v>1</v>
      </c>
      <c r="M503" s="72">
        <v>1</v>
      </c>
      <c r="N503" s="74">
        <v>0.9</v>
      </c>
      <c r="O503" s="72">
        <v>0</v>
      </c>
      <c r="P503" s="72">
        <v>0</v>
      </c>
      <c r="Q503" s="72">
        <v>0</v>
      </c>
      <c r="R503" s="72">
        <v>0</v>
      </c>
      <c r="S503" s="74">
        <v>0.9</v>
      </c>
      <c r="T503" s="72">
        <v>0</v>
      </c>
      <c r="U503" s="72">
        <v>0</v>
      </c>
      <c r="V503" s="72">
        <v>0</v>
      </c>
      <c r="W503" s="72">
        <v>0</v>
      </c>
      <c r="X503" s="74">
        <v>0.92</v>
      </c>
      <c r="Y503" s="74">
        <v>0</v>
      </c>
      <c r="Z503" s="74">
        <v>0</v>
      </c>
      <c r="AA503" s="74">
        <v>0</v>
      </c>
      <c r="AB503" s="74">
        <v>0</v>
      </c>
      <c r="AC503" s="74">
        <v>0.92</v>
      </c>
      <c r="AD503" s="72">
        <v>1</v>
      </c>
      <c r="AE503" s="72">
        <v>1</v>
      </c>
      <c r="AF503" s="72">
        <v>0.993548387096774</v>
      </c>
      <c r="AG503" s="72">
        <v>0.993494068120934</v>
      </c>
      <c r="AH503" s="74">
        <v>0.92</v>
      </c>
      <c r="AI503" s="72">
        <v>0.972272893104706</v>
      </c>
      <c r="AJ503" s="72">
        <v>0.981183849470796</v>
      </c>
      <c r="AK503" s="72">
        <v>0.98375964271214</v>
      </c>
      <c r="AL503" s="72">
        <v>0.984484228473998</v>
      </c>
      <c r="AM503" s="71">
        <v>0.99</v>
      </c>
      <c r="AN503" s="76">
        <v>1</v>
      </c>
      <c r="AO503" s="76">
        <v>1</v>
      </c>
      <c r="AP503" s="76">
        <v>1</v>
      </c>
      <c r="AQ503" s="76">
        <v>1</v>
      </c>
      <c r="AR503" s="96">
        <v>0.05</v>
      </c>
      <c r="AS503" s="80">
        <v>0.142857142857143</v>
      </c>
      <c r="AT503" s="80">
        <v>0</v>
      </c>
      <c r="AU503" s="80">
        <v>0.125</v>
      </c>
      <c r="AV503" s="80">
        <v>0.09375</v>
      </c>
      <c r="AW503" s="36"/>
      <c r="AX503" s="34"/>
    </row>
    <row r="504" ht="14.5" spans="1:50">
      <c r="A504" s="32"/>
      <c r="B504" s="36"/>
      <c r="C504" s="91" t="s">
        <v>401</v>
      </c>
      <c r="D504" s="69" t="s">
        <v>19</v>
      </c>
      <c r="E504" s="92" t="s">
        <v>555</v>
      </c>
      <c r="F504" s="92" t="s">
        <v>555</v>
      </c>
      <c r="G504" s="92" t="s">
        <v>555</v>
      </c>
      <c r="H504" s="92" t="s">
        <v>555</v>
      </c>
      <c r="I504" s="71">
        <v>0.9</v>
      </c>
      <c r="J504" s="72">
        <v>0.975</v>
      </c>
      <c r="K504" s="72">
        <v>1</v>
      </c>
      <c r="L504" s="73">
        <v>0.976190476190476</v>
      </c>
      <c r="M504" s="72">
        <v>0.981382978723404</v>
      </c>
      <c r="N504" s="74">
        <v>0.9</v>
      </c>
      <c r="O504" s="72">
        <v>0</v>
      </c>
      <c r="P504" s="72">
        <v>0</v>
      </c>
      <c r="Q504" s="72">
        <v>1</v>
      </c>
      <c r="R504" s="72">
        <v>0.117647058823529</v>
      </c>
      <c r="S504" s="74">
        <v>0.9</v>
      </c>
      <c r="T504" s="72">
        <v>0</v>
      </c>
      <c r="U504" s="72">
        <v>0</v>
      </c>
      <c r="V504" s="72">
        <v>1</v>
      </c>
      <c r="W504" s="72">
        <v>0.117647058823529</v>
      </c>
      <c r="X504" s="74">
        <v>0.92</v>
      </c>
      <c r="Y504" s="74">
        <v>0.333333333333333</v>
      </c>
      <c r="Z504" s="74">
        <v>0</v>
      </c>
      <c r="AA504" s="74">
        <v>0</v>
      </c>
      <c r="AB504" s="74">
        <v>0.333333333333333</v>
      </c>
      <c r="AC504" s="74">
        <v>0.92</v>
      </c>
      <c r="AD504" s="72">
        <v>0.916666666666667</v>
      </c>
      <c r="AE504" s="72">
        <v>0.991228070175439</v>
      </c>
      <c r="AF504" s="72">
        <v>0.990430622009569</v>
      </c>
      <c r="AG504" s="72">
        <v>0.989010989010989</v>
      </c>
      <c r="AH504" s="74">
        <v>0.92</v>
      </c>
      <c r="AI504" s="72">
        <v>0.936653895274585</v>
      </c>
      <c r="AJ504" s="72">
        <v>0.937375462567606</v>
      </c>
      <c r="AK504" s="72">
        <v>0.967607726597325</v>
      </c>
      <c r="AL504" s="72">
        <v>0.963991676467927</v>
      </c>
      <c r="AM504" s="71">
        <v>0.99</v>
      </c>
      <c r="AN504" s="76">
        <v>1</v>
      </c>
      <c r="AO504" s="76">
        <v>1</v>
      </c>
      <c r="AP504" s="76">
        <v>1</v>
      </c>
      <c r="AQ504" s="76">
        <v>1</v>
      </c>
      <c r="AR504" s="96">
        <v>0.05</v>
      </c>
      <c r="AS504" s="80">
        <v>0.285714285714286</v>
      </c>
      <c r="AT504" s="80">
        <v>0.2</v>
      </c>
      <c r="AU504" s="80">
        <v>0</v>
      </c>
      <c r="AV504" s="80">
        <v>0.0319148936170213</v>
      </c>
      <c r="AW504" s="36"/>
      <c r="AX504" s="34"/>
    </row>
    <row r="505" ht="14.5" spans="1:50">
      <c r="A505" s="32"/>
      <c r="B505" s="36"/>
      <c r="C505" s="91" t="s">
        <v>401</v>
      </c>
      <c r="D505" s="69" t="s">
        <v>19</v>
      </c>
      <c r="E505" s="92" t="s">
        <v>556</v>
      </c>
      <c r="F505" s="92" t="s">
        <v>556</v>
      </c>
      <c r="G505" s="92" t="s">
        <v>556</v>
      </c>
      <c r="H505" s="92" t="s">
        <v>556</v>
      </c>
      <c r="I505" s="71">
        <v>0.9</v>
      </c>
      <c r="J505" s="72">
        <v>0.934782608695652</v>
      </c>
      <c r="K505" s="72">
        <v>0.956521739130435</v>
      </c>
      <c r="L505" s="73">
        <v>0.978260869565217</v>
      </c>
      <c r="M505" s="72">
        <v>0.957178841309824</v>
      </c>
      <c r="N505" s="74">
        <v>0.9</v>
      </c>
      <c r="O505" s="72">
        <v>0</v>
      </c>
      <c r="P505" s="72">
        <v>0</v>
      </c>
      <c r="Q505" s="72">
        <v>0.5</v>
      </c>
      <c r="R505" s="72">
        <v>0.214285714285714</v>
      </c>
      <c r="S505" s="74">
        <v>0.9</v>
      </c>
      <c r="T505" s="72">
        <v>0</v>
      </c>
      <c r="U505" s="72">
        <v>0</v>
      </c>
      <c r="V505" s="72">
        <v>1</v>
      </c>
      <c r="W505" s="72">
        <v>0.428571428571429</v>
      </c>
      <c r="X505" s="74">
        <v>0.92</v>
      </c>
      <c r="Y505" s="74">
        <v>0</v>
      </c>
      <c r="Z505" s="74">
        <v>0</v>
      </c>
      <c r="AA505" s="74">
        <v>0</v>
      </c>
      <c r="AB505" s="74">
        <v>0</v>
      </c>
      <c r="AC505" s="74">
        <v>0.92</v>
      </c>
      <c r="AD505" s="72">
        <v>0.985915492957746</v>
      </c>
      <c r="AE505" s="72">
        <v>0.98936170212766</v>
      </c>
      <c r="AF505" s="72">
        <v>0.986301369863014</v>
      </c>
      <c r="AG505" s="72">
        <v>0.976388888888889</v>
      </c>
      <c r="AH505" s="74">
        <v>0.92</v>
      </c>
      <c r="AI505" s="72">
        <v>0.974656810982049</v>
      </c>
      <c r="AJ505" s="72">
        <v>0.980401529636711</v>
      </c>
      <c r="AK505" s="72">
        <v>0.989995346672871</v>
      </c>
      <c r="AL505" s="72">
        <v>0.988684814693342</v>
      </c>
      <c r="AM505" s="71">
        <v>0.99</v>
      </c>
      <c r="AN505" s="76">
        <v>1</v>
      </c>
      <c r="AO505" s="76">
        <v>1</v>
      </c>
      <c r="AP505" s="76">
        <v>1</v>
      </c>
      <c r="AQ505" s="76">
        <v>1</v>
      </c>
      <c r="AR505" s="96">
        <v>0.05</v>
      </c>
      <c r="AS505" s="80">
        <v>0</v>
      </c>
      <c r="AT505" s="80">
        <v>0</v>
      </c>
      <c r="AU505" s="80">
        <v>0.2</v>
      </c>
      <c r="AV505" s="80">
        <v>0.10752688172043</v>
      </c>
      <c r="AW505" s="36"/>
      <c r="AX505" s="34"/>
    </row>
    <row r="506" ht="14.5" spans="1:50">
      <c r="A506" s="32"/>
      <c r="B506" s="36"/>
      <c r="C506" s="91" t="s">
        <v>401</v>
      </c>
      <c r="D506" s="69" t="s">
        <v>19</v>
      </c>
      <c r="E506" s="92" t="s">
        <v>557</v>
      </c>
      <c r="F506" s="92" t="s">
        <v>557</v>
      </c>
      <c r="G506" s="92" t="s">
        <v>557</v>
      </c>
      <c r="H506" s="92" t="s">
        <v>557</v>
      </c>
      <c r="I506" s="71">
        <v>0.9</v>
      </c>
      <c r="J506" s="72">
        <v>1</v>
      </c>
      <c r="K506" s="72">
        <v>1</v>
      </c>
      <c r="L506" s="73">
        <v>1</v>
      </c>
      <c r="M506" s="72">
        <v>1</v>
      </c>
      <c r="N506" s="74">
        <v>0.9</v>
      </c>
      <c r="O506" s="72">
        <v>0.997334517992004</v>
      </c>
      <c r="P506" s="72">
        <v>0.993531202435312</v>
      </c>
      <c r="Q506" s="72">
        <v>0.993969849246231</v>
      </c>
      <c r="R506" s="72">
        <v>0.995172545645732</v>
      </c>
      <c r="S506" s="74">
        <v>0.9</v>
      </c>
      <c r="T506" s="72">
        <v>0.948911594846735</v>
      </c>
      <c r="U506" s="72">
        <v>0.974505327245053</v>
      </c>
      <c r="V506" s="72">
        <v>0.964321608040201</v>
      </c>
      <c r="W506" s="72">
        <v>0.964009176942931</v>
      </c>
      <c r="X506" s="74">
        <v>0.92</v>
      </c>
      <c r="Y506" s="74">
        <v>0.949019607843137</v>
      </c>
      <c r="Z506" s="74">
        <v>0.940886699507389</v>
      </c>
      <c r="AA506" s="74">
        <v>1</v>
      </c>
      <c r="AB506" s="74">
        <v>0.946681375252804</v>
      </c>
      <c r="AC506" s="74">
        <v>0.92</v>
      </c>
      <c r="AD506" s="72">
        <v>1</v>
      </c>
      <c r="AE506" s="72">
        <v>0.999443516972732</v>
      </c>
      <c r="AF506" s="72">
        <v>0.999037536092397</v>
      </c>
      <c r="AG506" s="72">
        <v>0.999083409715857</v>
      </c>
      <c r="AH506" s="74">
        <v>0.92</v>
      </c>
      <c r="AI506" s="72">
        <v>0.975480450629556</v>
      </c>
      <c r="AJ506" s="72">
        <v>0.983940704138357</v>
      </c>
      <c r="AK506" s="72">
        <v>0.991967871485944</v>
      </c>
      <c r="AL506" s="72">
        <v>0.98391807320311</v>
      </c>
      <c r="AM506" s="71">
        <v>0.99</v>
      </c>
      <c r="AN506" s="76">
        <v>1</v>
      </c>
      <c r="AO506" s="76">
        <v>1</v>
      </c>
      <c r="AP506" s="76">
        <v>1</v>
      </c>
      <c r="AQ506" s="76">
        <v>1</v>
      </c>
      <c r="AR506" s="96">
        <v>0.05</v>
      </c>
      <c r="AS506" s="80">
        <v>0</v>
      </c>
      <c r="AT506" s="80">
        <v>0.333333333333333</v>
      </c>
      <c r="AU506" s="80">
        <v>0.125</v>
      </c>
      <c r="AV506" s="80">
        <v>0.075</v>
      </c>
      <c r="AW506" s="36"/>
      <c r="AX506" s="34"/>
    </row>
    <row r="507" ht="14.5" spans="1:50">
      <c r="A507" s="32"/>
      <c r="B507" s="36"/>
      <c r="C507" s="91" t="s">
        <v>401</v>
      </c>
      <c r="D507" s="69" t="s">
        <v>19</v>
      </c>
      <c r="E507" s="92" t="s">
        <v>558</v>
      </c>
      <c r="F507" s="92" t="s">
        <v>558</v>
      </c>
      <c r="G507" s="92" t="s">
        <v>558</v>
      </c>
      <c r="H507" s="92" t="s">
        <v>558</v>
      </c>
      <c r="I507" s="71">
        <v>0.9</v>
      </c>
      <c r="J507" s="72">
        <v>0.981818181818182</v>
      </c>
      <c r="K507" s="72">
        <v>1</v>
      </c>
      <c r="L507" s="73">
        <v>1</v>
      </c>
      <c r="M507" s="72">
        <v>0.982591876208897</v>
      </c>
      <c r="N507" s="74">
        <v>0.9</v>
      </c>
      <c r="O507" s="72">
        <v>0.98408276959809</v>
      </c>
      <c r="P507" s="72">
        <v>0.984915293571594</v>
      </c>
      <c r="Q507" s="72">
        <v>0.984329527647191</v>
      </c>
      <c r="R507" s="72">
        <v>0.985273956412802</v>
      </c>
      <c r="S507" s="74">
        <v>0.9</v>
      </c>
      <c r="T507" s="72">
        <v>0.943692797453243</v>
      </c>
      <c r="U507" s="72">
        <v>0.937804595033651</v>
      </c>
      <c r="V507" s="72">
        <v>0.945601074546676</v>
      </c>
      <c r="W507" s="72">
        <v>0.944168675837943</v>
      </c>
      <c r="X507" s="74">
        <v>0.92</v>
      </c>
      <c r="Y507" s="74">
        <v>0</v>
      </c>
      <c r="Z507" s="74">
        <v>0</v>
      </c>
      <c r="AA507" s="74">
        <v>0</v>
      </c>
      <c r="AB507" s="74">
        <v>0</v>
      </c>
      <c r="AC507" s="74">
        <v>0.92</v>
      </c>
      <c r="AD507" s="72">
        <v>0.979381443298969</v>
      </c>
      <c r="AE507" s="72">
        <v>0.982905982905983</v>
      </c>
      <c r="AF507" s="72">
        <v>0.981132075471698</v>
      </c>
      <c r="AG507" s="72">
        <v>0.928188638799571</v>
      </c>
      <c r="AH507" s="74">
        <v>0.92</v>
      </c>
      <c r="AI507" s="72">
        <v>0.97929810725552</v>
      </c>
      <c r="AJ507" s="72">
        <v>0.982638888888889</v>
      </c>
      <c r="AK507" s="72">
        <v>0.99082774049217</v>
      </c>
      <c r="AL507" s="72">
        <v>0.988979351032448</v>
      </c>
      <c r="AM507" s="71">
        <v>0.99</v>
      </c>
      <c r="AN507" s="76">
        <v>1</v>
      </c>
      <c r="AO507" s="76">
        <v>1</v>
      </c>
      <c r="AP507" s="76">
        <v>1</v>
      </c>
      <c r="AQ507" s="76">
        <v>1</v>
      </c>
      <c r="AR507" s="96">
        <v>0.05</v>
      </c>
      <c r="AS507" s="80">
        <v>0</v>
      </c>
      <c r="AT507" s="80">
        <v>0</v>
      </c>
      <c r="AU507" s="80">
        <v>0.1</v>
      </c>
      <c r="AV507" s="80">
        <v>0.0297029702970297</v>
      </c>
      <c r="AW507" s="36"/>
      <c r="AX507" s="34"/>
    </row>
    <row r="508" ht="14.5" spans="1:50">
      <c r="A508" s="32"/>
      <c r="B508" s="36"/>
      <c r="C508" s="91" t="s">
        <v>401</v>
      </c>
      <c r="D508" s="69" t="s">
        <v>19</v>
      </c>
      <c r="E508" s="92" t="s">
        <v>559</v>
      </c>
      <c r="F508" s="92" t="s">
        <v>559</v>
      </c>
      <c r="G508" s="92" t="s">
        <v>559</v>
      </c>
      <c r="H508" s="92" t="s">
        <v>559</v>
      </c>
      <c r="I508" s="71">
        <v>0.9</v>
      </c>
      <c r="J508" s="72">
        <v>0.904761904761905</v>
      </c>
      <c r="K508" s="72">
        <v>0.909090909090909</v>
      </c>
      <c r="L508" s="73">
        <v>0.92</v>
      </c>
      <c r="M508" s="72">
        <v>0.910891089108911</v>
      </c>
      <c r="N508" s="74">
        <v>0.9</v>
      </c>
      <c r="O508" s="72">
        <v>0.987394957983193</v>
      </c>
      <c r="P508" s="72">
        <v>0.946428571428571</v>
      </c>
      <c r="Q508" s="72">
        <v>0.988156539649846</v>
      </c>
      <c r="R508" s="72">
        <v>0.973331864014546</v>
      </c>
      <c r="S508" s="74">
        <v>0.9</v>
      </c>
      <c r="T508" s="72">
        <v>0.948179271708683</v>
      </c>
      <c r="U508" s="72">
        <v>0.931818181818182</v>
      </c>
      <c r="V508" s="72">
        <v>0.869207003089598</v>
      </c>
      <c r="W508" s="72">
        <v>0.936084632762136</v>
      </c>
      <c r="X508" s="74">
        <v>0.92</v>
      </c>
      <c r="Y508" s="74">
        <v>0</v>
      </c>
      <c r="Z508" s="74">
        <v>0</v>
      </c>
      <c r="AA508" s="74">
        <v>0</v>
      </c>
      <c r="AB508" s="74">
        <v>1</v>
      </c>
      <c r="AC508" s="74">
        <v>0.92</v>
      </c>
      <c r="AD508" s="72">
        <v>1</v>
      </c>
      <c r="AE508" s="72">
        <v>0.9375</v>
      </c>
      <c r="AF508" s="72">
        <v>1</v>
      </c>
      <c r="AG508" s="72">
        <v>0.982363315696649</v>
      </c>
      <c r="AH508" s="74">
        <v>0.92</v>
      </c>
      <c r="AI508" s="72">
        <v>0.972027972027972</v>
      </c>
      <c r="AJ508" s="72">
        <v>0.973484848484849</v>
      </c>
      <c r="AK508" s="72">
        <v>0.984053497942387</v>
      </c>
      <c r="AL508" s="72">
        <v>0.982980832782551</v>
      </c>
      <c r="AM508" s="71">
        <v>0.99</v>
      </c>
      <c r="AN508" s="76">
        <v>1</v>
      </c>
      <c r="AO508" s="76">
        <v>1</v>
      </c>
      <c r="AP508" s="76">
        <v>1</v>
      </c>
      <c r="AQ508" s="76">
        <v>1</v>
      </c>
      <c r="AR508" s="96">
        <v>0.05</v>
      </c>
      <c r="AS508" s="80">
        <v>0</v>
      </c>
      <c r="AT508" s="80">
        <v>0</v>
      </c>
      <c r="AU508" s="80">
        <v>0.2</v>
      </c>
      <c r="AV508" s="80">
        <v>0.0454545454545455</v>
      </c>
      <c r="AW508" s="36"/>
      <c r="AX508" s="34"/>
    </row>
    <row r="509" ht="14.5" spans="1:50">
      <c r="A509" s="32"/>
      <c r="B509" s="36"/>
      <c r="C509" s="91" t="s">
        <v>401</v>
      </c>
      <c r="D509" s="69" t="s">
        <v>19</v>
      </c>
      <c r="E509" s="92" t="s">
        <v>560</v>
      </c>
      <c r="F509" s="92" t="s">
        <v>560</v>
      </c>
      <c r="G509" s="92" t="s">
        <v>560</v>
      </c>
      <c r="H509" s="92" t="s">
        <v>560</v>
      </c>
      <c r="I509" s="71">
        <v>0.9</v>
      </c>
      <c r="J509" s="72">
        <v>0.887096774193548</v>
      </c>
      <c r="K509" s="72">
        <v>0.921875</v>
      </c>
      <c r="L509" s="73">
        <v>0.914285714285714</v>
      </c>
      <c r="M509" s="72">
        <v>0.904841402337229</v>
      </c>
      <c r="N509" s="74">
        <v>0.9</v>
      </c>
      <c r="O509" s="72">
        <v>0.1</v>
      </c>
      <c r="P509" s="72">
        <v>0</v>
      </c>
      <c r="Q509" s="72">
        <v>0</v>
      </c>
      <c r="R509" s="72">
        <v>0.0769230769230769</v>
      </c>
      <c r="S509" s="74">
        <v>0.9</v>
      </c>
      <c r="T509" s="72">
        <v>0</v>
      </c>
      <c r="U509" s="72">
        <v>0</v>
      </c>
      <c r="V509" s="72">
        <v>0</v>
      </c>
      <c r="W509" s="72">
        <v>0.0769230769230769</v>
      </c>
      <c r="X509" s="74">
        <v>0.92</v>
      </c>
      <c r="Y509" s="74">
        <v>0</v>
      </c>
      <c r="Z509" s="74">
        <v>0</v>
      </c>
      <c r="AA509" s="74">
        <v>0</v>
      </c>
      <c r="AB509" s="74">
        <v>0</v>
      </c>
      <c r="AC509" s="74">
        <v>0.92</v>
      </c>
      <c r="AD509" s="72">
        <v>0.980582524271845</v>
      </c>
      <c r="AE509" s="72">
        <v>0.988372093023256</v>
      </c>
      <c r="AF509" s="72">
        <v>0.986928104575163</v>
      </c>
      <c r="AG509" s="72">
        <v>0.989667049368542</v>
      </c>
      <c r="AH509" s="74">
        <v>0.92</v>
      </c>
      <c r="AI509" s="72">
        <v>0.935580975316075</v>
      </c>
      <c r="AJ509" s="72">
        <v>0.96252129471891</v>
      </c>
      <c r="AK509" s="72">
        <v>0.965732087227414</v>
      </c>
      <c r="AL509" s="72">
        <v>0.96499388004896</v>
      </c>
      <c r="AM509" s="71">
        <v>0.99</v>
      </c>
      <c r="AN509" s="76">
        <v>1</v>
      </c>
      <c r="AO509" s="76">
        <v>1</v>
      </c>
      <c r="AP509" s="76">
        <v>1</v>
      </c>
      <c r="AQ509" s="76">
        <v>1</v>
      </c>
      <c r="AR509" s="96">
        <v>0.05</v>
      </c>
      <c r="AS509" s="80">
        <v>0</v>
      </c>
      <c r="AT509" s="80">
        <v>0.166666666666667</v>
      </c>
      <c r="AU509" s="80">
        <v>0</v>
      </c>
      <c r="AV509" s="80">
        <v>0.053030303030303</v>
      </c>
      <c r="AW509" s="36"/>
      <c r="AX509" s="34"/>
    </row>
    <row r="510" ht="14.5" spans="1:50">
      <c r="A510" s="32"/>
      <c r="B510" s="36"/>
      <c r="C510" s="91" t="s">
        <v>401</v>
      </c>
      <c r="D510" s="69" t="s">
        <v>19</v>
      </c>
      <c r="E510" s="92" t="s">
        <v>561</v>
      </c>
      <c r="F510" s="92" t="s">
        <v>561</v>
      </c>
      <c r="G510" s="92" t="s">
        <v>561</v>
      </c>
      <c r="H510" s="92" t="s">
        <v>561</v>
      </c>
      <c r="I510" s="71">
        <v>0.9</v>
      </c>
      <c r="J510" s="72">
        <v>0.914634146341463</v>
      </c>
      <c r="K510" s="72">
        <v>0.919540229885057</v>
      </c>
      <c r="L510" s="73">
        <v>0.953488372093023</v>
      </c>
      <c r="M510" s="72">
        <v>0.938172043010753</v>
      </c>
      <c r="N510" s="74">
        <v>0.9</v>
      </c>
      <c r="O510" s="72">
        <v>0.5</v>
      </c>
      <c r="P510" s="72">
        <v>0</v>
      </c>
      <c r="Q510" s="72">
        <v>1</v>
      </c>
      <c r="R510" s="72">
        <v>0.545454545454545</v>
      </c>
      <c r="S510" s="74">
        <v>0.9</v>
      </c>
      <c r="T510" s="72">
        <v>0</v>
      </c>
      <c r="U510" s="72">
        <v>0</v>
      </c>
      <c r="V510" s="72">
        <v>0</v>
      </c>
      <c r="W510" s="72">
        <v>0</v>
      </c>
      <c r="X510" s="74">
        <v>0.92</v>
      </c>
      <c r="Y510" s="74">
        <v>0</v>
      </c>
      <c r="Z510" s="74">
        <v>0</v>
      </c>
      <c r="AA510" s="74">
        <v>0</v>
      </c>
      <c r="AB510" s="74">
        <v>0</v>
      </c>
      <c r="AC510" s="74">
        <v>0.92</v>
      </c>
      <c r="AD510" s="72">
        <v>0.99</v>
      </c>
      <c r="AE510" s="72">
        <v>0.987046632124352</v>
      </c>
      <c r="AF510" s="72">
        <v>0.98300283286119</v>
      </c>
      <c r="AG510" s="72">
        <v>0.985869885192817</v>
      </c>
      <c r="AH510" s="74">
        <v>0.92</v>
      </c>
      <c r="AI510" s="72">
        <v>0.917251755265797</v>
      </c>
      <c r="AJ510" s="72">
        <v>0.971681171432518</v>
      </c>
      <c r="AK510" s="72">
        <v>0.94982864976011</v>
      </c>
      <c r="AL510" s="72">
        <v>0.946560421083413</v>
      </c>
      <c r="AM510" s="71">
        <v>0.99</v>
      </c>
      <c r="AN510" s="76">
        <v>1</v>
      </c>
      <c r="AO510" s="76">
        <v>1</v>
      </c>
      <c r="AP510" s="76">
        <v>1</v>
      </c>
      <c r="AQ510" s="76">
        <v>1</v>
      </c>
      <c r="AR510" s="96">
        <v>0.05</v>
      </c>
      <c r="AS510" s="80">
        <v>0.294117647058824</v>
      </c>
      <c r="AT510" s="80">
        <v>0.0344827586206897</v>
      </c>
      <c r="AU510" s="80">
        <v>0.0833333333333333</v>
      </c>
      <c r="AV510" s="80">
        <v>0.1</v>
      </c>
      <c r="AW510" s="36"/>
      <c r="AX510" s="34"/>
    </row>
    <row r="511" ht="14.5" spans="1:50">
      <c r="A511" s="32"/>
      <c r="B511" s="36"/>
      <c r="C511" s="91" t="s">
        <v>401</v>
      </c>
      <c r="D511" s="69" t="s">
        <v>19</v>
      </c>
      <c r="E511" s="92" t="s">
        <v>562</v>
      </c>
      <c r="F511" s="92" t="s">
        <v>562</v>
      </c>
      <c r="G511" s="92" t="s">
        <v>562</v>
      </c>
      <c r="H511" s="92" t="s">
        <v>562</v>
      </c>
      <c r="I511" s="71">
        <v>0.9</v>
      </c>
      <c r="J511" s="72">
        <v>0.920634920634921</v>
      </c>
      <c r="K511" s="72">
        <v>0.951612903225806</v>
      </c>
      <c r="L511" s="73">
        <v>0.968253968253968</v>
      </c>
      <c r="M511" s="72">
        <v>0.935018050541516</v>
      </c>
      <c r="N511" s="74">
        <v>0.9</v>
      </c>
      <c r="O511" s="72">
        <v>0</v>
      </c>
      <c r="P511" s="72">
        <v>0.333333333333333</v>
      </c>
      <c r="Q511" s="72">
        <v>0</v>
      </c>
      <c r="R511" s="72">
        <v>0.0526315789473684</v>
      </c>
      <c r="S511" s="74">
        <v>0.9</v>
      </c>
      <c r="T511" s="72">
        <v>0</v>
      </c>
      <c r="U511" s="72">
        <v>0</v>
      </c>
      <c r="V511" s="72">
        <v>0</v>
      </c>
      <c r="W511" s="72">
        <v>0.263157894736842</v>
      </c>
      <c r="X511" s="74">
        <v>0.92</v>
      </c>
      <c r="Y511" s="74">
        <v>0</v>
      </c>
      <c r="Z511" s="74">
        <v>0</v>
      </c>
      <c r="AA511" s="74">
        <v>0</v>
      </c>
      <c r="AB511" s="74">
        <v>0</v>
      </c>
      <c r="AC511" s="74">
        <v>0.92</v>
      </c>
      <c r="AD511" s="72">
        <v>0.95959595959596</v>
      </c>
      <c r="AE511" s="72">
        <v>0.867088607594937</v>
      </c>
      <c r="AF511" s="72">
        <v>0.970588235294118</v>
      </c>
      <c r="AG511" s="72">
        <v>0.91304347826087</v>
      </c>
      <c r="AH511" s="74">
        <v>0.92</v>
      </c>
      <c r="AI511" s="72">
        <v>0.971500419111484</v>
      </c>
      <c r="AJ511" s="72">
        <v>0.981046396841066</v>
      </c>
      <c r="AK511" s="72">
        <v>0.984769616348564</v>
      </c>
      <c r="AL511" s="72">
        <v>0.98108544232694</v>
      </c>
      <c r="AM511" s="71">
        <v>0.99</v>
      </c>
      <c r="AN511" s="76">
        <v>1</v>
      </c>
      <c r="AO511" s="76">
        <v>1</v>
      </c>
      <c r="AP511" s="76">
        <v>1</v>
      </c>
      <c r="AQ511" s="76">
        <v>1</v>
      </c>
      <c r="AR511" s="96">
        <v>0.05</v>
      </c>
      <c r="AS511" s="80">
        <v>0</v>
      </c>
      <c r="AT511" s="80">
        <v>0</v>
      </c>
      <c r="AU511" s="80">
        <v>0.142857142857143</v>
      </c>
      <c r="AV511" s="80">
        <v>0.0857142857142857</v>
      </c>
      <c r="AW511" s="36"/>
      <c r="AX511" s="34"/>
    </row>
    <row r="512" ht="14.5" spans="1:50">
      <c r="A512" s="32"/>
      <c r="B512" s="36"/>
      <c r="C512" s="91" t="s">
        <v>401</v>
      </c>
      <c r="D512" s="69" t="s">
        <v>19</v>
      </c>
      <c r="E512" s="92" t="s">
        <v>563</v>
      </c>
      <c r="F512" s="92" t="s">
        <v>563</v>
      </c>
      <c r="G512" s="92" t="s">
        <v>563</v>
      </c>
      <c r="H512" s="92" t="s">
        <v>563</v>
      </c>
      <c r="I512" s="71">
        <v>0.9</v>
      </c>
      <c r="J512" s="72">
        <v>1</v>
      </c>
      <c r="K512" s="72">
        <v>1</v>
      </c>
      <c r="L512" s="73">
        <v>1</v>
      </c>
      <c r="M512" s="72">
        <v>1</v>
      </c>
      <c r="N512" s="74">
        <v>0.9</v>
      </c>
      <c r="O512" s="72">
        <v>0.984916009598903</v>
      </c>
      <c r="P512" s="72">
        <v>0.991809672386895</v>
      </c>
      <c r="Q512" s="72">
        <v>0.99213217938631</v>
      </c>
      <c r="R512" s="72">
        <v>0.98840885142255</v>
      </c>
      <c r="S512" s="74">
        <v>0.9</v>
      </c>
      <c r="T512" s="72">
        <v>0.968803565306822</v>
      </c>
      <c r="U512" s="72">
        <v>0.964898595943838</v>
      </c>
      <c r="V512" s="72">
        <v>0.977970102281668</v>
      </c>
      <c r="W512" s="72">
        <v>0.972237983302262</v>
      </c>
      <c r="X512" s="74">
        <v>0.92</v>
      </c>
      <c r="Y512" s="74">
        <v>0</v>
      </c>
      <c r="Z512" s="74">
        <v>0</v>
      </c>
      <c r="AA512" s="74">
        <v>0</v>
      </c>
      <c r="AB512" s="74">
        <v>0</v>
      </c>
      <c r="AC512" s="74">
        <v>0.92</v>
      </c>
      <c r="AD512" s="72">
        <v>0.985915492957746</v>
      </c>
      <c r="AE512" s="72">
        <v>0.949367088607595</v>
      </c>
      <c r="AF512" s="72">
        <v>0.987654320987654</v>
      </c>
      <c r="AG512" s="72">
        <v>0.978693181818182</v>
      </c>
      <c r="AH512" s="74">
        <v>0.92</v>
      </c>
      <c r="AI512" s="72">
        <v>0.988348183687457</v>
      </c>
      <c r="AJ512" s="72">
        <v>0.986749805144193</v>
      </c>
      <c r="AK512" s="72">
        <v>0.99213217938631</v>
      </c>
      <c r="AL512" s="72">
        <v>0.990761376068722</v>
      </c>
      <c r="AM512" s="71">
        <v>0.99</v>
      </c>
      <c r="AN512" s="76">
        <v>1</v>
      </c>
      <c r="AO512" s="76">
        <v>1</v>
      </c>
      <c r="AP512" s="76">
        <v>1</v>
      </c>
      <c r="AQ512" s="76">
        <v>1</v>
      </c>
      <c r="AR512" s="96">
        <v>0.05</v>
      </c>
      <c r="AS512" s="80">
        <v>0</v>
      </c>
      <c r="AT512" s="80">
        <v>0</v>
      </c>
      <c r="AU512" s="80">
        <v>0.1</v>
      </c>
      <c r="AV512" s="80">
        <v>0.0681818181818182</v>
      </c>
      <c r="AW512" s="36"/>
      <c r="AX512" s="34"/>
    </row>
    <row r="513" ht="14.5" spans="1:50">
      <c r="A513" s="32"/>
      <c r="B513" s="36"/>
      <c r="C513" s="91" t="s">
        <v>401</v>
      </c>
      <c r="D513" s="69" t="s">
        <v>19</v>
      </c>
      <c r="E513" s="92" t="s">
        <v>564</v>
      </c>
      <c r="F513" s="92" t="s">
        <v>564</v>
      </c>
      <c r="G513" s="92" t="s">
        <v>564</v>
      </c>
      <c r="H513" s="92" t="s">
        <v>564</v>
      </c>
      <c r="I513" s="71">
        <v>0.9</v>
      </c>
      <c r="J513" s="72">
        <v>1</v>
      </c>
      <c r="K513" s="72">
        <v>1</v>
      </c>
      <c r="L513" s="73">
        <v>1</v>
      </c>
      <c r="M513" s="72">
        <v>1</v>
      </c>
      <c r="N513" s="74">
        <v>0.9</v>
      </c>
      <c r="O513" s="72">
        <v>0.980541053630755</v>
      </c>
      <c r="P513" s="72">
        <v>0.976133651551313</v>
      </c>
      <c r="Q513" s="72">
        <v>0.972292191435768</v>
      </c>
      <c r="R513" s="72">
        <v>0.977591851582394</v>
      </c>
      <c r="S513" s="74">
        <v>0.9</v>
      </c>
      <c r="T513" s="72">
        <v>0.915519696250593</v>
      </c>
      <c r="U513" s="72">
        <v>0.946897374701671</v>
      </c>
      <c r="V513" s="72">
        <v>0.934508816120907</v>
      </c>
      <c r="W513" s="72">
        <v>0.935103674063296</v>
      </c>
      <c r="X513" s="74">
        <v>0.92</v>
      </c>
      <c r="Y513" s="74">
        <v>0.953905249679898</v>
      </c>
      <c r="Z513" s="74">
        <v>0.964218455743879</v>
      </c>
      <c r="AA513" s="74">
        <v>0.971544715447154</v>
      </c>
      <c r="AB513" s="74">
        <v>0.962134871979805</v>
      </c>
      <c r="AC513" s="74">
        <v>0.92</v>
      </c>
      <c r="AD513" s="72">
        <v>1</v>
      </c>
      <c r="AE513" s="72">
        <v>0.998003992015968</v>
      </c>
      <c r="AF513" s="72">
        <v>0.99896265560166</v>
      </c>
      <c r="AG513" s="72">
        <v>0.998565794191467</v>
      </c>
      <c r="AH513" s="74">
        <v>0.92</v>
      </c>
      <c r="AI513" s="72">
        <v>0.973001038421599</v>
      </c>
      <c r="AJ513" s="72">
        <v>0.983242753623188</v>
      </c>
      <c r="AK513" s="72">
        <v>0.987019230769231</v>
      </c>
      <c r="AL513" s="72">
        <v>0.980668566986266</v>
      </c>
      <c r="AM513" s="71">
        <v>0.99</v>
      </c>
      <c r="AN513" s="76">
        <v>1</v>
      </c>
      <c r="AO513" s="76">
        <v>1</v>
      </c>
      <c r="AP513" s="76">
        <v>1</v>
      </c>
      <c r="AQ513" s="76">
        <v>1</v>
      </c>
      <c r="AR513" s="96">
        <v>0.05</v>
      </c>
      <c r="AS513" s="80">
        <v>0</v>
      </c>
      <c r="AT513" s="80">
        <v>0</v>
      </c>
      <c r="AU513" s="80">
        <v>0.166666666666667</v>
      </c>
      <c r="AV513" s="80">
        <v>0.0175438596491228</v>
      </c>
      <c r="AW513" s="36"/>
      <c r="AX513" s="34"/>
    </row>
    <row r="514" ht="14.5" spans="1:50">
      <c r="A514" s="32"/>
      <c r="B514" s="36"/>
      <c r="C514" s="91" t="s">
        <v>401</v>
      </c>
      <c r="D514" s="69" t="s">
        <v>19</v>
      </c>
      <c r="E514" s="92" t="s">
        <v>565</v>
      </c>
      <c r="F514" s="92" t="s">
        <v>565</v>
      </c>
      <c r="G514" s="92" t="s">
        <v>565</v>
      </c>
      <c r="H514" s="92" t="s">
        <v>565</v>
      </c>
      <c r="I514" s="71">
        <v>0.9</v>
      </c>
      <c r="J514" s="72">
        <v>0.981132075471698</v>
      </c>
      <c r="K514" s="72">
        <v>1</v>
      </c>
      <c r="L514" s="73">
        <v>0.963636363636364</v>
      </c>
      <c r="M514" s="72">
        <v>0.967672413793103</v>
      </c>
      <c r="N514" s="74">
        <v>0.9</v>
      </c>
      <c r="O514" s="72">
        <v>0</v>
      </c>
      <c r="P514" s="72">
        <v>0</v>
      </c>
      <c r="Q514" s="72">
        <v>0.75</v>
      </c>
      <c r="R514" s="72">
        <v>0.333333333333333</v>
      </c>
      <c r="S514" s="74">
        <v>0.9</v>
      </c>
      <c r="T514" s="72">
        <v>0</v>
      </c>
      <c r="U514" s="72">
        <v>0</v>
      </c>
      <c r="V514" s="72">
        <v>0</v>
      </c>
      <c r="W514" s="72">
        <v>0.111111111111111</v>
      </c>
      <c r="X514" s="74">
        <v>0.92</v>
      </c>
      <c r="Y514" s="74">
        <v>1</v>
      </c>
      <c r="Z514" s="74">
        <v>0</v>
      </c>
      <c r="AA514" s="74">
        <v>0</v>
      </c>
      <c r="AB514" s="74">
        <v>1</v>
      </c>
      <c r="AC514" s="74">
        <v>0.92</v>
      </c>
      <c r="AD514" s="72">
        <v>0.996904024767802</v>
      </c>
      <c r="AE514" s="72">
        <v>0.995735607675906</v>
      </c>
      <c r="AF514" s="72">
        <v>0.985374771480804</v>
      </c>
      <c r="AG514" s="72">
        <v>0.981443823080834</v>
      </c>
      <c r="AH514" s="74">
        <v>0.92</v>
      </c>
      <c r="AI514" s="72">
        <v>0.965760677726791</v>
      </c>
      <c r="AJ514" s="72">
        <v>0.973469387755102</v>
      </c>
      <c r="AK514" s="72">
        <v>0.983546264034069</v>
      </c>
      <c r="AL514" s="72">
        <v>0.97919863597613</v>
      </c>
      <c r="AM514" s="71">
        <v>0.99</v>
      </c>
      <c r="AN514" s="76">
        <v>1</v>
      </c>
      <c r="AO514" s="76">
        <v>1</v>
      </c>
      <c r="AP514" s="76">
        <v>1</v>
      </c>
      <c r="AQ514" s="76">
        <v>1</v>
      </c>
      <c r="AR514" s="96">
        <v>0.05</v>
      </c>
      <c r="AS514" s="80">
        <v>0</v>
      </c>
      <c r="AT514" s="80">
        <v>0.0909090909090909</v>
      </c>
      <c r="AU514" s="80">
        <v>0.153846153846154</v>
      </c>
      <c r="AV514" s="80">
        <v>0.0616438356164384</v>
      </c>
      <c r="AW514" s="36"/>
      <c r="AX514" s="34"/>
    </row>
    <row r="515" ht="14.5" spans="1:50">
      <c r="A515" s="32"/>
      <c r="B515" s="36"/>
      <c r="C515" s="91" t="s">
        <v>401</v>
      </c>
      <c r="D515" s="69" t="s">
        <v>19</v>
      </c>
      <c r="E515" s="92" t="s">
        <v>566</v>
      </c>
      <c r="F515" s="92" t="s">
        <v>566</v>
      </c>
      <c r="G515" s="92" t="s">
        <v>566</v>
      </c>
      <c r="H515" s="92" t="s">
        <v>566</v>
      </c>
      <c r="I515" s="71">
        <v>0.9</v>
      </c>
      <c r="J515" s="72">
        <v>0.920634920634921</v>
      </c>
      <c r="K515" s="72">
        <v>0.91044776119403</v>
      </c>
      <c r="L515" s="73">
        <v>0.90625</v>
      </c>
      <c r="M515" s="72">
        <v>0.920353982300885</v>
      </c>
      <c r="N515" s="74">
        <v>0.9</v>
      </c>
      <c r="O515" s="72">
        <v>0.860951505401057</v>
      </c>
      <c r="P515" s="72">
        <v>0.947134387351779</v>
      </c>
      <c r="Q515" s="72">
        <v>0.896430367018602</v>
      </c>
      <c r="R515" s="72">
        <v>0.922554602079825</v>
      </c>
      <c r="S515" s="74">
        <v>0.9</v>
      </c>
      <c r="T515" s="72">
        <v>0.834520799816134</v>
      </c>
      <c r="U515" s="72">
        <v>0.843132411067194</v>
      </c>
      <c r="V515" s="72">
        <v>0.838863750628457</v>
      </c>
      <c r="W515" s="72">
        <v>0.835725933648782</v>
      </c>
      <c r="X515" s="74">
        <v>0.92</v>
      </c>
      <c r="Y515" s="74">
        <v>0.710865561694291</v>
      </c>
      <c r="Z515" s="74">
        <v>0.833605220228385</v>
      </c>
      <c r="AA515" s="74">
        <v>0.746580273578114</v>
      </c>
      <c r="AB515" s="74">
        <v>0.806618407445708</v>
      </c>
      <c r="AC515" s="74">
        <v>0.92</v>
      </c>
      <c r="AD515" s="72">
        <v>1</v>
      </c>
      <c r="AE515" s="72">
        <v>0.998388829215897</v>
      </c>
      <c r="AF515" s="72">
        <v>0.998224852071006</v>
      </c>
      <c r="AG515" s="72">
        <v>0.997843841881738</v>
      </c>
      <c r="AH515" s="74">
        <v>0.92</v>
      </c>
      <c r="AI515" s="72">
        <v>0.862443590172154</v>
      </c>
      <c r="AJ515" s="72">
        <v>0.923791469194313</v>
      </c>
      <c r="AK515" s="72">
        <v>0.901621017328116</v>
      </c>
      <c r="AL515" s="72">
        <v>0.911985917746839</v>
      </c>
      <c r="AM515" s="71">
        <v>0.99</v>
      </c>
      <c r="AN515" s="76">
        <v>1</v>
      </c>
      <c r="AO515" s="76">
        <v>1</v>
      </c>
      <c r="AP515" s="76">
        <v>1</v>
      </c>
      <c r="AQ515" s="76">
        <v>1</v>
      </c>
      <c r="AR515" s="96">
        <v>0.05</v>
      </c>
      <c r="AS515" s="80">
        <v>0.0625</v>
      </c>
      <c r="AT515" s="80">
        <v>0</v>
      </c>
      <c r="AU515" s="80">
        <v>0</v>
      </c>
      <c r="AV515" s="80">
        <v>0.02</v>
      </c>
      <c r="AW515" s="36"/>
      <c r="AX515" s="34"/>
    </row>
    <row r="516" ht="14.5" spans="1:50">
      <c r="A516" s="32"/>
      <c r="B516" s="36"/>
      <c r="C516" s="91" t="s">
        <v>401</v>
      </c>
      <c r="D516" s="69" t="s">
        <v>19</v>
      </c>
      <c r="E516" s="92" t="s">
        <v>567</v>
      </c>
      <c r="F516" s="92" t="s">
        <v>567</v>
      </c>
      <c r="G516" s="92" t="s">
        <v>567</v>
      </c>
      <c r="H516" s="92" t="s">
        <v>567</v>
      </c>
      <c r="I516" s="71">
        <v>0.9</v>
      </c>
      <c r="J516" s="72">
        <v>1</v>
      </c>
      <c r="K516" s="72">
        <v>1</v>
      </c>
      <c r="L516" s="73">
        <v>1</v>
      </c>
      <c r="M516" s="72">
        <v>0.956310679611651</v>
      </c>
      <c r="N516" s="74">
        <v>0.9</v>
      </c>
      <c r="O516" s="72">
        <v>0.938107869142352</v>
      </c>
      <c r="P516" s="72">
        <v>0.987682481751825</v>
      </c>
      <c r="Q516" s="72">
        <v>0.991546494281452</v>
      </c>
      <c r="R516" s="72">
        <v>0.977521761392729</v>
      </c>
      <c r="S516" s="74">
        <v>0.9</v>
      </c>
      <c r="T516" s="72">
        <v>0.927497789566755</v>
      </c>
      <c r="U516" s="72">
        <v>0.965328467153285</v>
      </c>
      <c r="V516" s="72">
        <v>0.974639482844356</v>
      </c>
      <c r="W516" s="72">
        <v>0.96405529953917</v>
      </c>
      <c r="X516" s="74">
        <v>0.92</v>
      </c>
      <c r="Y516" s="74">
        <v>0</v>
      </c>
      <c r="Z516" s="74">
        <v>0</v>
      </c>
      <c r="AA516" s="74">
        <v>0</v>
      </c>
      <c r="AB516" s="74">
        <v>0</v>
      </c>
      <c r="AC516" s="74">
        <v>0.92</v>
      </c>
      <c r="AD516" s="72">
        <v>0.992957746478873</v>
      </c>
      <c r="AE516" s="72">
        <v>0.994285714285714</v>
      </c>
      <c r="AF516" s="72">
        <v>0.977611940298508</v>
      </c>
      <c r="AG516" s="72">
        <v>0.982570806100218</v>
      </c>
      <c r="AH516" s="74">
        <v>0.92</v>
      </c>
      <c r="AI516" s="72">
        <v>0.959876543209877</v>
      </c>
      <c r="AJ516" s="72">
        <v>0.985401459854015</v>
      </c>
      <c r="AK516" s="72">
        <v>0.994530084535057</v>
      </c>
      <c r="AL516" s="72">
        <v>0.988022726109433</v>
      </c>
      <c r="AM516" s="71">
        <v>0.99</v>
      </c>
      <c r="AN516" s="76">
        <v>1</v>
      </c>
      <c r="AO516" s="76">
        <v>1</v>
      </c>
      <c r="AP516" s="76">
        <v>1</v>
      </c>
      <c r="AQ516" s="76">
        <v>1</v>
      </c>
      <c r="AR516" s="96">
        <v>0.05</v>
      </c>
      <c r="AS516" s="80">
        <v>0</v>
      </c>
      <c r="AT516" s="80">
        <v>0</v>
      </c>
      <c r="AU516" s="80">
        <v>0.0833333333333333</v>
      </c>
      <c r="AV516" s="80">
        <v>0.0365853658536585</v>
      </c>
      <c r="AW516" s="36"/>
      <c r="AX516" s="34"/>
    </row>
    <row r="517" ht="14.5" spans="1:50">
      <c r="A517" s="32"/>
      <c r="B517" s="36"/>
      <c r="C517" s="91" t="s">
        <v>401</v>
      </c>
      <c r="D517" s="69" t="s">
        <v>19</v>
      </c>
      <c r="E517" s="92" t="s">
        <v>568</v>
      </c>
      <c r="F517" s="92" t="s">
        <v>568</v>
      </c>
      <c r="G517" s="92" t="s">
        <v>568</v>
      </c>
      <c r="H517" s="92" t="s">
        <v>568</v>
      </c>
      <c r="I517" s="71">
        <v>0.9</v>
      </c>
      <c r="J517" s="72">
        <v>1</v>
      </c>
      <c r="K517" s="72">
        <v>1</v>
      </c>
      <c r="L517" s="73">
        <v>1</v>
      </c>
      <c r="M517" s="72">
        <v>0.978260869565217</v>
      </c>
      <c r="N517" s="74">
        <v>0.9</v>
      </c>
      <c r="O517" s="72">
        <v>0.666666666666667</v>
      </c>
      <c r="P517" s="72">
        <v>1</v>
      </c>
      <c r="Q517" s="72">
        <v>0</v>
      </c>
      <c r="R517" s="72">
        <v>0.833333333333333</v>
      </c>
      <c r="S517" s="74">
        <v>0.9</v>
      </c>
      <c r="T517" s="72">
        <v>0</v>
      </c>
      <c r="U517" s="72">
        <v>1</v>
      </c>
      <c r="V517" s="72">
        <v>0</v>
      </c>
      <c r="W517" s="72">
        <v>0.5</v>
      </c>
      <c r="X517" s="74">
        <v>0.92</v>
      </c>
      <c r="Y517" s="74">
        <v>0</v>
      </c>
      <c r="Z517" s="74">
        <v>0</v>
      </c>
      <c r="AA517" s="74">
        <v>0</v>
      </c>
      <c r="AB517" s="74">
        <v>0</v>
      </c>
      <c r="AC517" s="74">
        <v>0.92</v>
      </c>
      <c r="AD517" s="72">
        <v>0.984615384615385</v>
      </c>
      <c r="AE517" s="72">
        <v>0.994908350305499</v>
      </c>
      <c r="AF517" s="72">
        <v>0.995186522262335</v>
      </c>
      <c r="AG517" s="72">
        <v>0.995490271872181</v>
      </c>
      <c r="AH517" s="74">
        <v>0.92</v>
      </c>
      <c r="AI517" s="72">
        <v>0.954774972557629</v>
      </c>
      <c r="AJ517" s="72">
        <v>0.995021160069704</v>
      </c>
      <c r="AK517" s="72">
        <v>0.997104945717732</v>
      </c>
      <c r="AL517" s="72">
        <v>0.989617164923407</v>
      </c>
      <c r="AM517" s="71">
        <v>0.99</v>
      </c>
      <c r="AN517" s="76">
        <v>1</v>
      </c>
      <c r="AO517" s="76">
        <v>1</v>
      </c>
      <c r="AP517" s="76">
        <v>1</v>
      </c>
      <c r="AQ517" s="76">
        <v>1</v>
      </c>
      <c r="AR517" s="96">
        <v>0.05</v>
      </c>
      <c r="AS517" s="80">
        <v>0.0909090909090909</v>
      </c>
      <c r="AT517" s="80">
        <v>0.0833333333333333</v>
      </c>
      <c r="AU517" s="80">
        <v>0</v>
      </c>
      <c r="AV517" s="80">
        <v>0.0491803278688525</v>
      </c>
      <c r="AW517" s="36"/>
      <c r="AX517" s="34"/>
    </row>
    <row r="518" ht="14.5" spans="1:50">
      <c r="A518" s="32"/>
      <c r="B518" s="36"/>
      <c r="C518" s="91" t="s">
        <v>401</v>
      </c>
      <c r="D518" s="69" t="s">
        <v>19</v>
      </c>
      <c r="E518" s="92" t="s">
        <v>569</v>
      </c>
      <c r="F518" s="92" t="s">
        <v>569</v>
      </c>
      <c r="G518" s="92" t="s">
        <v>569</v>
      </c>
      <c r="H518" s="92" t="s">
        <v>569</v>
      </c>
      <c r="I518" s="71">
        <v>0.9</v>
      </c>
      <c r="J518" s="72">
        <v>0.941176470588235</v>
      </c>
      <c r="K518" s="72">
        <v>0.941176470588235</v>
      </c>
      <c r="L518" s="73">
        <v>0.878787878787879</v>
      </c>
      <c r="M518" s="72">
        <v>0.9375</v>
      </c>
      <c r="N518" s="74">
        <v>0.9</v>
      </c>
      <c r="O518" s="72">
        <v>0.963053435114504</v>
      </c>
      <c r="P518" s="72">
        <v>0.985226873021456</v>
      </c>
      <c r="Q518" s="72">
        <v>0.948026315789474</v>
      </c>
      <c r="R518" s="72">
        <v>0.948254947492462</v>
      </c>
      <c r="S518" s="74">
        <v>0.9</v>
      </c>
      <c r="T518" s="72">
        <v>0.908396946564885</v>
      </c>
      <c r="U518" s="72">
        <v>0.954625395708758</v>
      </c>
      <c r="V518" s="72">
        <v>0.915460526315789</v>
      </c>
      <c r="W518" s="72">
        <v>0.914047066162964</v>
      </c>
      <c r="X518" s="74">
        <v>0.92</v>
      </c>
      <c r="Y518" s="74">
        <v>0</v>
      </c>
      <c r="Z518" s="74">
        <v>0</v>
      </c>
      <c r="AA518" s="74">
        <v>0</v>
      </c>
      <c r="AB518" s="74">
        <v>0</v>
      </c>
      <c r="AC518" s="74">
        <v>0.92</v>
      </c>
      <c r="AD518" s="72">
        <v>1</v>
      </c>
      <c r="AE518" s="72">
        <v>0.994818652849741</v>
      </c>
      <c r="AF518" s="72">
        <v>0.987012987012987</v>
      </c>
      <c r="AG518" s="72">
        <v>0.982425307557118</v>
      </c>
      <c r="AH518" s="74">
        <v>0.92</v>
      </c>
      <c r="AI518" s="72">
        <v>0.959096459096459</v>
      </c>
      <c r="AJ518" s="72">
        <v>0.981005979599015</v>
      </c>
      <c r="AK518" s="72">
        <v>0.962828947368421</v>
      </c>
      <c r="AL518" s="72">
        <v>0.975393359672836</v>
      </c>
      <c r="AM518" s="71">
        <v>0.99</v>
      </c>
      <c r="AN518" s="76">
        <v>1</v>
      </c>
      <c r="AO518" s="76">
        <v>1</v>
      </c>
      <c r="AP518" s="76">
        <v>1</v>
      </c>
      <c r="AQ518" s="76">
        <v>1</v>
      </c>
      <c r="AR518" s="96">
        <v>0.05</v>
      </c>
      <c r="AS518" s="80">
        <v>0</v>
      </c>
      <c r="AT518" s="80">
        <v>0</v>
      </c>
      <c r="AU518" s="80">
        <v>0.181818181818182</v>
      </c>
      <c r="AV518" s="80">
        <v>0.032520325203252</v>
      </c>
      <c r="AW518" s="36"/>
      <c r="AX518" s="34"/>
    </row>
    <row r="519" ht="14.5" spans="1:50">
      <c r="A519" s="32"/>
      <c r="B519" s="36"/>
      <c r="C519" s="91" t="s">
        <v>401</v>
      </c>
      <c r="D519" s="69" t="s">
        <v>19</v>
      </c>
      <c r="E519" s="92" t="s">
        <v>570</v>
      </c>
      <c r="F519" s="92" t="s">
        <v>570</v>
      </c>
      <c r="G519" s="92" t="s">
        <v>570</v>
      </c>
      <c r="H519" s="92" t="s">
        <v>570</v>
      </c>
      <c r="I519" s="71">
        <v>0.9</v>
      </c>
      <c r="J519" s="72">
        <v>0.952380952380952</v>
      </c>
      <c r="K519" s="72">
        <v>1</v>
      </c>
      <c r="L519" s="73">
        <v>1</v>
      </c>
      <c r="M519" s="72">
        <v>0.983240223463687</v>
      </c>
      <c r="N519" s="74">
        <v>0.9</v>
      </c>
      <c r="O519" s="72">
        <v>0.985090521831736</v>
      </c>
      <c r="P519" s="72">
        <v>0.93943661971831</v>
      </c>
      <c r="Q519" s="72">
        <v>0.949308755760369</v>
      </c>
      <c r="R519" s="72">
        <v>0.962110311750599</v>
      </c>
      <c r="S519" s="74">
        <v>0.9</v>
      </c>
      <c r="T519" s="72">
        <v>0.954206602768903</v>
      </c>
      <c r="U519" s="72">
        <v>0.967605633802817</v>
      </c>
      <c r="V519" s="72">
        <v>0.955069124423963</v>
      </c>
      <c r="W519" s="72">
        <v>0.949640287769784</v>
      </c>
      <c r="X519" s="74">
        <v>0.92</v>
      </c>
      <c r="Y519" s="74">
        <v>0.967391304347826</v>
      </c>
      <c r="Z519" s="74">
        <v>0.96</v>
      </c>
      <c r="AA519" s="74">
        <v>0.979389942291838</v>
      </c>
      <c r="AB519" s="74">
        <v>0.96109750122489</v>
      </c>
      <c r="AC519" s="74">
        <v>0.92</v>
      </c>
      <c r="AD519" s="72">
        <v>0.981818181818182</v>
      </c>
      <c r="AE519" s="72">
        <v>0.976190476190476</v>
      </c>
      <c r="AF519" s="72">
        <v>0.946428571428571</v>
      </c>
      <c r="AG519" s="72">
        <v>0.969837587006961</v>
      </c>
      <c r="AH519" s="74">
        <v>0.92</v>
      </c>
      <c r="AI519" s="72">
        <v>0.973078805677925</v>
      </c>
      <c r="AJ519" s="72">
        <v>0.970338983050847</v>
      </c>
      <c r="AK519" s="72">
        <v>0.986097794822627</v>
      </c>
      <c r="AL519" s="72">
        <v>0.9723777729916</v>
      </c>
      <c r="AM519" s="71">
        <v>0.99</v>
      </c>
      <c r="AN519" s="76">
        <v>1</v>
      </c>
      <c r="AO519" s="76">
        <v>1</v>
      </c>
      <c r="AP519" s="76">
        <v>1</v>
      </c>
      <c r="AQ519" s="76">
        <v>1</v>
      </c>
      <c r="AR519" s="96">
        <v>0.05</v>
      </c>
      <c r="AS519" s="80">
        <v>0.333333333333333</v>
      </c>
      <c r="AT519" s="80">
        <v>0</v>
      </c>
      <c r="AU519" s="80">
        <v>0</v>
      </c>
      <c r="AV519" s="80">
        <v>0.0588235294117647</v>
      </c>
      <c r="AW519" s="36"/>
      <c r="AX519" s="34"/>
    </row>
    <row r="520" ht="14.5" spans="1:50">
      <c r="A520" s="32"/>
      <c r="B520" s="36"/>
      <c r="C520" s="91" t="s">
        <v>401</v>
      </c>
      <c r="D520" s="69" t="s">
        <v>19</v>
      </c>
      <c r="E520" s="92" t="s">
        <v>571</v>
      </c>
      <c r="F520" s="92" t="s">
        <v>571</v>
      </c>
      <c r="G520" s="92" t="s">
        <v>571</v>
      </c>
      <c r="H520" s="92" t="s">
        <v>571</v>
      </c>
      <c r="I520" s="71">
        <v>0.9</v>
      </c>
      <c r="J520" s="72">
        <v>0.868852459016393</v>
      </c>
      <c r="K520" s="72">
        <v>0.921875</v>
      </c>
      <c r="L520" s="73">
        <v>0.923076923076923</v>
      </c>
      <c r="M520" s="72">
        <v>0.906854130052724</v>
      </c>
      <c r="N520" s="74">
        <v>0.9</v>
      </c>
      <c r="O520" s="72">
        <v>0.83292296869504</v>
      </c>
      <c r="P520" s="72">
        <v>0.81864406779661</v>
      </c>
      <c r="Q520" s="72">
        <v>0.855772777572851</v>
      </c>
      <c r="R520" s="72">
        <v>0.834792963048321</v>
      </c>
      <c r="S520" s="74">
        <v>0.9</v>
      </c>
      <c r="T520" s="72">
        <v>0.755188181498417</v>
      </c>
      <c r="U520" s="72">
        <v>0.835169491525424</v>
      </c>
      <c r="V520" s="72">
        <v>0.815935079306529</v>
      </c>
      <c r="W520" s="72">
        <v>0.797764461857571</v>
      </c>
      <c r="X520" s="74">
        <v>0.92</v>
      </c>
      <c r="Y520" s="74">
        <v>0.810979228486647</v>
      </c>
      <c r="Z520" s="74">
        <v>0.82921757213413</v>
      </c>
      <c r="AA520" s="74">
        <v>0.844782983615982</v>
      </c>
      <c r="AB520" s="74">
        <v>0.845597604485219</v>
      </c>
      <c r="AC520" s="74">
        <v>0.92</v>
      </c>
      <c r="AD520" s="72">
        <v>0.994930291508238</v>
      </c>
      <c r="AE520" s="72">
        <v>0.997793712079426</v>
      </c>
      <c r="AF520" s="72">
        <v>0.993855606758833</v>
      </c>
      <c r="AG520" s="72">
        <v>0.995308668301525</v>
      </c>
      <c r="AH520" s="74">
        <v>0.92</v>
      </c>
      <c r="AI520" s="72">
        <v>0.859739424159563</v>
      </c>
      <c r="AJ520" s="72">
        <v>0.874055010455204</v>
      </c>
      <c r="AK520" s="72">
        <v>0.889749798224374</v>
      </c>
      <c r="AL520" s="72">
        <v>0.888709144358051</v>
      </c>
      <c r="AM520" s="71">
        <v>0.99</v>
      </c>
      <c r="AN520" s="76">
        <v>1</v>
      </c>
      <c r="AO520" s="76">
        <v>1</v>
      </c>
      <c r="AP520" s="76">
        <v>1</v>
      </c>
      <c r="AQ520" s="76">
        <v>1</v>
      </c>
      <c r="AR520" s="96">
        <v>0.05</v>
      </c>
      <c r="AS520" s="80">
        <v>0.238095238095238</v>
      </c>
      <c r="AT520" s="80">
        <v>0.0434782608695652</v>
      </c>
      <c r="AU520" s="80">
        <v>0.333333333333333</v>
      </c>
      <c r="AV520" s="80">
        <v>0.0872093023255814</v>
      </c>
      <c r="AW520" s="36"/>
      <c r="AX520" s="34"/>
    </row>
    <row r="521" ht="14.5" spans="1:50">
      <c r="A521" s="32"/>
      <c r="B521" s="36"/>
      <c r="C521" s="91" t="s">
        <v>401</v>
      </c>
      <c r="D521" s="69" t="s">
        <v>19</v>
      </c>
      <c r="E521" s="92" t="s">
        <v>572</v>
      </c>
      <c r="F521" s="92" t="s">
        <v>572</v>
      </c>
      <c r="G521" s="92" t="s">
        <v>572</v>
      </c>
      <c r="H521" s="92" t="s">
        <v>572</v>
      </c>
      <c r="I521" s="71">
        <v>0.9</v>
      </c>
      <c r="J521" s="72">
        <v>1</v>
      </c>
      <c r="K521" s="72">
        <v>1</v>
      </c>
      <c r="L521" s="73">
        <v>1</v>
      </c>
      <c r="M521" s="72">
        <v>0.985052316890882</v>
      </c>
      <c r="N521" s="74">
        <v>0.9</v>
      </c>
      <c r="O521" s="72">
        <v>0.966711051930759</v>
      </c>
      <c r="P521" s="72">
        <v>0.989498460981351</v>
      </c>
      <c r="Q521" s="72">
        <v>0.949963476990504</v>
      </c>
      <c r="R521" s="72">
        <v>0.965434028957923</v>
      </c>
      <c r="S521" s="74">
        <v>0.9</v>
      </c>
      <c r="T521" s="72">
        <v>0.89647137150466</v>
      </c>
      <c r="U521" s="72">
        <v>0.958174904942966</v>
      </c>
      <c r="V521" s="72">
        <v>0.892257121986852</v>
      </c>
      <c r="W521" s="72">
        <v>0.909319556794236</v>
      </c>
      <c r="X521" s="74">
        <v>0.92</v>
      </c>
      <c r="Y521" s="74">
        <v>0.88026981450253</v>
      </c>
      <c r="Z521" s="74">
        <v>0.894620949984272</v>
      </c>
      <c r="AA521" s="74">
        <v>1</v>
      </c>
      <c r="AB521" s="74">
        <v>0.914995060349641</v>
      </c>
      <c r="AC521" s="74">
        <v>0.92</v>
      </c>
      <c r="AD521" s="72">
        <v>1</v>
      </c>
      <c r="AE521" s="72">
        <v>0.996951219512195</v>
      </c>
      <c r="AF521" s="72">
        <v>0.999049429657795</v>
      </c>
      <c r="AG521" s="72">
        <v>0.997001934235977</v>
      </c>
      <c r="AH521" s="74">
        <v>0.92</v>
      </c>
      <c r="AI521" s="72">
        <v>0.919846050870147</v>
      </c>
      <c r="AJ521" s="72">
        <v>0.953731343283582</v>
      </c>
      <c r="AK521" s="72">
        <v>0.983642311886587</v>
      </c>
      <c r="AL521" s="72">
        <v>0.950257712423255</v>
      </c>
      <c r="AM521" s="71">
        <v>0.99</v>
      </c>
      <c r="AN521" s="76">
        <v>1</v>
      </c>
      <c r="AO521" s="76">
        <v>1</v>
      </c>
      <c r="AP521" s="76">
        <v>1</v>
      </c>
      <c r="AQ521" s="76">
        <v>1</v>
      </c>
      <c r="AR521" s="96">
        <v>0.05</v>
      </c>
      <c r="AS521" s="80">
        <v>0.0555555555555556</v>
      </c>
      <c r="AT521" s="80">
        <v>0.0833333333333333</v>
      </c>
      <c r="AU521" s="80">
        <v>0.03125</v>
      </c>
      <c r="AV521" s="80">
        <v>0.035</v>
      </c>
      <c r="AW521" s="36"/>
      <c r="AX521" s="34"/>
    </row>
    <row r="522" ht="14.5" spans="1:50">
      <c r="A522" s="32"/>
      <c r="B522" s="36"/>
      <c r="C522" s="91" t="s">
        <v>401</v>
      </c>
      <c r="D522" s="69" t="s">
        <v>19</v>
      </c>
      <c r="E522" s="92" t="s">
        <v>573</v>
      </c>
      <c r="F522" s="92" t="s">
        <v>573</v>
      </c>
      <c r="G522" s="92" t="s">
        <v>573</v>
      </c>
      <c r="H522" s="92" t="s">
        <v>573</v>
      </c>
      <c r="I522" s="71">
        <v>0.9</v>
      </c>
      <c r="J522" s="72">
        <v>1</v>
      </c>
      <c r="K522" s="72">
        <v>0.964285714285714</v>
      </c>
      <c r="L522" s="73">
        <v>1</v>
      </c>
      <c r="M522" s="72">
        <v>0.992063492063492</v>
      </c>
      <c r="N522" s="74">
        <v>0.9</v>
      </c>
      <c r="O522" s="72">
        <v>0.946387765863948</v>
      </c>
      <c r="P522" s="72">
        <v>0.972194032880049</v>
      </c>
      <c r="Q522" s="72">
        <v>0.949980537173998</v>
      </c>
      <c r="R522" s="72">
        <v>0.959522821576763</v>
      </c>
      <c r="S522" s="74">
        <v>0.9</v>
      </c>
      <c r="T522" s="72">
        <v>0.88767797503955</v>
      </c>
      <c r="U522" s="72">
        <v>0.924903592449767</v>
      </c>
      <c r="V522" s="72">
        <v>0.932463993771896</v>
      </c>
      <c r="W522" s="72">
        <v>0.914107883817427</v>
      </c>
      <c r="X522" s="74">
        <v>0.92</v>
      </c>
      <c r="Y522" s="74">
        <v>0</v>
      </c>
      <c r="Z522" s="74">
        <v>0</v>
      </c>
      <c r="AA522" s="74">
        <v>0</v>
      </c>
      <c r="AB522" s="74">
        <v>0</v>
      </c>
      <c r="AC522" s="74">
        <v>0.92</v>
      </c>
      <c r="AD522" s="72">
        <v>0.980066445182724</v>
      </c>
      <c r="AE522" s="72">
        <v>0.991379310344828</v>
      </c>
      <c r="AF522" s="72">
        <v>0.992673992673993</v>
      </c>
      <c r="AG522" s="72">
        <v>0.988862559241706</v>
      </c>
      <c r="AH522" s="74">
        <v>0.92</v>
      </c>
      <c r="AI522" s="72">
        <v>0.965559655596556</v>
      </c>
      <c r="AJ522" s="72">
        <v>0.971179216561802</v>
      </c>
      <c r="AK522" s="72">
        <v>0.978201634877384</v>
      </c>
      <c r="AL522" s="72">
        <v>0.975146259491307</v>
      </c>
      <c r="AM522" s="71">
        <v>0.99</v>
      </c>
      <c r="AN522" s="76">
        <v>1</v>
      </c>
      <c r="AO522" s="76">
        <v>1</v>
      </c>
      <c r="AP522" s="76">
        <v>1</v>
      </c>
      <c r="AQ522" s="76">
        <v>1</v>
      </c>
      <c r="AR522" s="96">
        <v>0.05</v>
      </c>
      <c r="AS522" s="80">
        <v>0.0588235294117647</v>
      </c>
      <c r="AT522" s="80">
        <v>0.137931034482759</v>
      </c>
      <c r="AU522" s="80">
        <v>0.0303030303030303</v>
      </c>
      <c r="AV522" s="80">
        <v>0.0628019323671498</v>
      </c>
      <c r="AW522" s="36"/>
      <c r="AX522" s="34"/>
    </row>
    <row r="523" ht="14.5" spans="1:50">
      <c r="A523" s="32"/>
      <c r="B523" s="36"/>
      <c r="C523" s="91" t="s">
        <v>401</v>
      </c>
      <c r="D523" s="69" t="s">
        <v>19</v>
      </c>
      <c r="E523" s="92" t="s">
        <v>574</v>
      </c>
      <c r="F523" s="92" t="s">
        <v>574</v>
      </c>
      <c r="G523" s="92" t="s">
        <v>574</v>
      </c>
      <c r="H523" s="92" t="s">
        <v>574</v>
      </c>
      <c r="I523" s="71">
        <v>0.9</v>
      </c>
      <c r="J523" s="72">
        <v>0.982142857142857</v>
      </c>
      <c r="K523" s="72">
        <v>0.949152542372881</v>
      </c>
      <c r="L523" s="73">
        <v>0.96969696969697</v>
      </c>
      <c r="M523" s="72">
        <v>0.961471103327496</v>
      </c>
      <c r="N523" s="74">
        <v>0.9</v>
      </c>
      <c r="O523" s="72">
        <v>0.925108894196993</v>
      </c>
      <c r="P523" s="72">
        <v>0.97808701215611</v>
      </c>
      <c r="Q523" s="72">
        <v>0.959150591668018</v>
      </c>
      <c r="R523" s="72">
        <v>0.934137816245007</v>
      </c>
      <c r="S523" s="74">
        <v>0.9</v>
      </c>
      <c r="T523" s="72">
        <v>0.934241955880287</v>
      </c>
      <c r="U523" s="72">
        <v>0.951695457453615</v>
      </c>
      <c r="V523" s="72">
        <v>0.940833198249311</v>
      </c>
      <c r="W523" s="72">
        <v>0.933172436750999</v>
      </c>
      <c r="X523" s="74">
        <v>0.92</v>
      </c>
      <c r="Y523" s="74">
        <v>0</v>
      </c>
      <c r="Z523" s="74">
        <v>0</v>
      </c>
      <c r="AA523" s="74">
        <v>0</v>
      </c>
      <c r="AB523" s="74">
        <v>0</v>
      </c>
      <c r="AC523" s="74">
        <v>0.92</v>
      </c>
      <c r="AD523" s="72">
        <v>0.995670995670996</v>
      </c>
      <c r="AE523" s="72">
        <v>0.989335520918786</v>
      </c>
      <c r="AF523" s="72">
        <v>0.99821587867975</v>
      </c>
      <c r="AG523" s="72">
        <v>0.994983277591973</v>
      </c>
      <c r="AH523" s="74">
        <v>0.92</v>
      </c>
      <c r="AI523" s="72">
        <v>0.973584375439089</v>
      </c>
      <c r="AJ523" s="72">
        <v>0.979849672157365</v>
      </c>
      <c r="AK523" s="72">
        <v>0.987034035656402</v>
      </c>
      <c r="AL523" s="72">
        <v>0.981358809626843</v>
      </c>
      <c r="AM523" s="71">
        <v>0.99</v>
      </c>
      <c r="AN523" s="76">
        <v>1</v>
      </c>
      <c r="AO523" s="76">
        <v>1</v>
      </c>
      <c r="AP523" s="76">
        <v>1</v>
      </c>
      <c r="AQ523" s="76">
        <v>1</v>
      </c>
      <c r="AR523" s="96">
        <v>0.05</v>
      </c>
      <c r="AS523" s="80">
        <v>0.2</v>
      </c>
      <c r="AT523" s="80">
        <v>0</v>
      </c>
      <c r="AU523" s="80">
        <v>0</v>
      </c>
      <c r="AV523" s="80">
        <v>0.0789473684210526</v>
      </c>
      <c r="AW523" s="36"/>
      <c r="AX523" s="34"/>
    </row>
    <row r="524" ht="14.5" spans="1:50">
      <c r="A524" s="32"/>
      <c r="B524" s="36"/>
      <c r="C524" s="91" t="s">
        <v>401</v>
      </c>
      <c r="D524" s="69" t="s">
        <v>19</v>
      </c>
      <c r="E524" s="92" t="s">
        <v>575</v>
      </c>
      <c r="F524" s="92" t="s">
        <v>575</v>
      </c>
      <c r="G524" s="92" t="s">
        <v>575</v>
      </c>
      <c r="H524" s="92" t="s">
        <v>575</v>
      </c>
      <c r="I524" s="71">
        <v>0.9</v>
      </c>
      <c r="J524" s="72">
        <v>0.9375</v>
      </c>
      <c r="K524" s="72">
        <v>1</v>
      </c>
      <c r="L524" s="73">
        <v>1</v>
      </c>
      <c r="M524" s="72">
        <v>0.986842105263158</v>
      </c>
      <c r="N524" s="74">
        <v>0.9</v>
      </c>
      <c r="O524" s="72">
        <v>0.968710888610763</v>
      </c>
      <c r="P524" s="72">
        <v>0.96763202725724</v>
      </c>
      <c r="Q524" s="72">
        <v>0.984081041968162</v>
      </c>
      <c r="R524" s="72">
        <v>0.973333333333333</v>
      </c>
      <c r="S524" s="74">
        <v>0.9</v>
      </c>
      <c r="T524" s="72">
        <v>0.881101376720901</v>
      </c>
      <c r="U524" s="72">
        <v>0.919931856899489</v>
      </c>
      <c r="V524" s="72">
        <v>0.927641099855282</v>
      </c>
      <c r="W524" s="72">
        <v>0.903478260869565</v>
      </c>
      <c r="X524" s="74">
        <v>0.92</v>
      </c>
      <c r="Y524" s="74">
        <v>0.931726907630522</v>
      </c>
      <c r="Z524" s="74">
        <v>0.918269230769231</v>
      </c>
      <c r="AA524" s="74">
        <v>0.958797327394209</v>
      </c>
      <c r="AB524" s="74">
        <v>0.949776161163962</v>
      </c>
      <c r="AC524" s="74">
        <v>0.92</v>
      </c>
      <c r="AD524" s="72">
        <v>0.987179487179487</v>
      </c>
      <c r="AE524" s="72">
        <v>1</v>
      </c>
      <c r="AF524" s="72">
        <v>0.986842105263158</v>
      </c>
      <c r="AG524" s="72">
        <v>0.985637342908438</v>
      </c>
      <c r="AH524" s="74">
        <v>0.92</v>
      </c>
      <c r="AI524" s="72">
        <v>0.949579831932773</v>
      </c>
      <c r="AJ524" s="72">
        <v>0.944444444444444</v>
      </c>
      <c r="AK524" s="72">
        <v>0.96979232221523</v>
      </c>
      <c r="AL524" s="72">
        <v>0.966650074664012</v>
      </c>
      <c r="AM524" s="71">
        <v>0.99</v>
      </c>
      <c r="AN524" s="76">
        <v>1</v>
      </c>
      <c r="AO524" s="76">
        <v>1</v>
      </c>
      <c r="AP524" s="76">
        <v>1</v>
      </c>
      <c r="AQ524" s="76">
        <v>1</v>
      </c>
      <c r="AR524" s="96">
        <v>0.05</v>
      </c>
      <c r="AS524" s="80">
        <v>0.142857142857143</v>
      </c>
      <c r="AT524" s="80">
        <v>0</v>
      </c>
      <c r="AU524" s="80">
        <v>0</v>
      </c>
      <c r="AV524" s="80">
        <v>0.0694444444444444</v>
      </c>
      <c r="AW524" s="36"/>
      <c r="AX524" s="34"/>
    </row>
    <row r="525" ht="14.5" spans="1:50">
      <c r="A525" s="32"/>
      <c r="B525" s="36"/>
      <c r="C525" s="91" t="s">
        <v>401</v>
      </c>
      <c r="D525" s="69" t="s">
        <v>19</v>
      </c>
      <c r="E525" s="92" t="s">
        <v>576</v>
      </c>
      <c r="F525" s="92" t="s">
        <v>576</v>
      </c>
      <c r="G525" s="92" t="s">
        <v>576</v>
      </c>
      <c r="H525" s="92" t="s">
        <v>576</v>
      </c>
      <c r="I525" s="71">
        <v>0.9</v>
      </c>
      <c r="J525" s="72">
        <v>1</v>
      </c>
      <c r="K525" s="72">
        <v>0.983333333333333</v>
      </c>
      <c r="L525" s="73">
        <v>0.985074626865672</v>
      </c>
      <c r="M525" s="72">
        <v>0.984924623115578</v>
      </c>
      <c r="N525" s="74">
        <v>0.9</v>
      </c>
      <c r="O525" s="72">
        <v>0.984413453650533</v>
      </c>
      <c r="P525" s="72">
        <v>0.983240223463687</v>
      </c>
      <c r="Q525" s="72">
        <v>0.989861751152074</v>
      </c>
      <c r="R525" s="72">
        <v>0.976308539944904</v>
      </c>
      <c r="S525" s="74">
        <v>0.9</v>
      </c>
      <c r="T525" s="72">
        <v>0.906070549630845</v>
      </c>
      <c r="U525" s="72">
        <v>0.93854748603352</v>
      </c>
      <c r="V525" s="72">
        <v>0.929032258064516</v>
      </c>
      <c r="W525" s="72">
        <v>0.915151515151515</v>
      </c>
      <c r="X525" s="74">
        <v>0.92</v>
      </c>
      <c r="Y525" s="74">
        <v>0.910285165011214</v>
      </c>
      <c r="Z525" s="74">
        <v>0.936278674596432</v>
      </c>
      <c r="AA525" s="74">
        <v>0.923455272056563</v>
      </c>
      <c r="AB525" s="74">
        <v>0.930760034158839</v>
      </c>
      <c r="AC525" s="74">
        <v>0.92</v>
      </c>
      <c r="AD525" s="72">
        <v>0.989983305509182</v>
      </c>
      <c r="AE525" s="72">
        <v>0.943028485757121</v>
      </c>
      <c r="AF525" s="72">
        <v>0.995821727019499</v>
      </c>
      <c r="AG525" s="72">
        <v>0.977743271221532</v>
      </c>
      <c r="AH525" s="74">
        <v>0.92</v>
      </c>
      <c r="AI525" s="72">
        <v>0.93400467541809</v>
      </c>
      <c r="AJ525" s="72">
        <v>0.952432824981845</v>
      </c>
      <c r="AK525" s="72">
        <v>0.950828729281768</v>
      </c>
      <c r="AL525" s="72">
        <v>0.949307403349507</v>
      </c>
      <c r="AM525" s="71">
        <v>0.99</v>
      </c>
      <c r="AN525" s="76">
        <v>1</v>
      </c>
      <c r="AO525" s="76">
        <v>1</v>
      </c>
      <c r="AP525" s="76">
        <v>1</v>
      </c>
      <c r="AQ525" s="76">
        <v>1</v>
      </c>
      <c r="AR525" s="96">
        <v>0.05</v>
      </c>
      <c r="AS525" s="80">
        <v>0.133333333333333</v>
      </c>
      <c r="AT525" s="80">
        <v>0</v>
      </c>
      <c r="AU525" s="80">
        <v>0</v>
      </c>
      <c r="AV525" s="80">
        <v>0.0869565217391304</v>
      </c>
      <c r="AW525" s="36"/>
      <c r="AX525" s="34"/>
    </row>
    <row r="526" ht="14.5" spans="1:50">
      <c r="A526" s="32"/>
      <c r="B526" s="36"/>
      <c r="C526" s="91" t="s">
        <v>401</v>
      </c>
      <c r="D526" s="69" t="s">
        <v>19</v>
      </c>
      <c r="E526" s="92" t="s">
        <v>577</v>
      </c>
      <c r="F526" s="92" t="s">
        <v>577</v>
      </c>
      <c r="G526" s="92" t="s">
        <v>577</v>
      </c>
      <c r="H526" s="92" t="s">
        <v>577</v>
      </c>
      <c r="I526" s="71">
        <v>0.9</v>
      </c>
      <c r="J526" s="72">
        <v>1</v>
      </c>
      <c r="K526" s="72">
        <v>1</v>
      </c>
      <c r="L526" s="73">
        <v>1</v>
      </c>
      <c r="M526" s="72">
        <v>0.993865030674847</v>
      </c>
      <c r="N526" s="74">
        <v>0.9</v>
      </c>
      <c r="O526" s="72">
        <v>0.993662864385298</v>
      </c>
      <c r="P526" s="72">
        <v>0.99338721528288</v>
      </c>
      <c r="Q526" s="72">
        <v>0.993562231759657</v>
      </c>
      <c r="R526" s="72">
        <v>0.990983254615715</v>
      </c>
      <c r="S526" s="74">
        <v>0.9</v>
      </c>
      <c r="T526" s="72">
        <v>0.975918884664132</v>
      </c>
      <c r="U526" s="72">
        <v>0.977957384276267</v>
      </c>
      <c r="V526" s="72">
        <v>0.957796852646638</v>
      </c>
      <c r="W526" s="72">
        <v>0.968441391155002</v>
      </c>
      <c r="X526" s="74">
        <v>0.92</v>
      </c>
      <c r="Y526" s="74">
        <v>0</v>
      </c>
      <c r="Z526" s="74">
        <v>0</v>
      </c>
      <c r="AA526" s="74">
        <v>0</v>
      </c>
      <c r="AB526" s="74">
        <v>0</v>
      </c>
      <c r="AC526" s="74">
        <v>0.92</v>
      </c>
      <c r="AD526" s="72">
        <v>1</v>
      </c>
      <c r="AE526" s="72">
        <v>0.994475138121547</v>
      </c>
      <c r="AF526" s="72">
        <v>0.951807228915663</v>
      </c>
      <c r="AG526" s="72">
        <v>0.987951807228916</v>
      </c>
      <c r="AH526" s="74">
        <v>0.92</v>
      </c>
      <c r="AI526" s="72">
        <v>0.994300189993667</v>
      </c>
      <c r="AJ526" s="72">
        <v>0.997060984570169</v>
      </c>
      <c r="AK526" s="72">
        <v>0.990701001430615</v>
      </c>
      <c r="AL526" s="72">
        <v>0.99613595706619</v>
      </c>
      <c r="AM526" s="71">
        <v>0.99</v>
      </c>
      <c r="AN526" s="76">
        <v>1</v>
      </c>
      <c r="AO526" s="76">
        <v>1</v>
      </c>
      <c r="AP526" s="76">
        <v>1</v>
      </c>
      <c r="AQ526" s="76">
        <v>1</v>
      </c>
      <c r="AR526" s="96">
        <v>0.05</v>
      </c>
      <c r="AS526" s="80">
        <v>0.666666666666667</v>
      </c>
      <c r="AT526" s="80">
        <v>0</v>
      </c>
      <c r="AU526" s="80">
        <v>0.222222222222222</v>
      </c>
      <c r="AV526" s="80">
        <v>0.14</v>
      </c>
      <c r="AW526" s="36"/>
      <c r="AX526" s="34"/>
    </row>
    <row r="527" ht="14.5" spans="1:50">
      <c r="A527" s="32"/>
      <c r="B527" s="36"/>
      <c r="C527" s="91" t="s">
        <v>401</v>
      </c>
      <c r="D527" s="69" t="s">
        <v>19</v>
      </c>
      <c r="E527" s="92" t="s">
        <v>578</v>
      </c>
      <c r="F527" s="92" t="s">
        <v>578</v>
      </c>
      <c r="G527" s="92" t="s">
        <v>578</v>
      </c>
      <c r="H527" s="92" t="s">
        <v>578</v>
      </c>
      <c r="I527" s="71">
        <v>0.9</v>
      </c>
      <c r="J527" s="72">
        <v>1</v>
      </c>
      <c r="K527" s="72">
        <v>1</v>
      </c>
      <c r="L527" s="73">
        <v>1</v>
      </c>
      <c r="M527" s="72">
        <v>0.985542168674699</v>
      </c>
      <c r="N527" s="74">
        <v>0.9</v>
      </c>
      <c r="O527" s="72">
        <v>0.943803311590567</v>
      </c>
      <c r="P527" s="72">
        <v>0.914786967418546</v>
      </c>
      <c r="Q527" s="72">
        <v>0.941176470588235</v>
      </c>
      <c r="R527" s="72">
        <v>0.952659542713868</v>
      </c>
      <c r="S527" s="74">
        <v>0.9</v>
      </c>
      <c r="T527" s="72">
        <v>0.902157551430005</v>
      </c>
      <c r="U527" s="72">
        <v>0.901002506265664</v>
      </c>
      <c r="V527" s="72">
        <v>0.902149321266968</v>
      </c>
      <c r="W527" s="72">
        <v>0.918572025550713</v>
      </c>
      <c r="X527" s="74">
        <v>0.92</v>
      </c>
      <c r="Y527" s="74">
        <v>0.949443882709808</v>
      </c>
      <c r="Z527" s="74">
        <v>0.940383830134749</v>
      </c>
      <c r="AA527" s="74">
        <v>0.947841726618705</v>
      </c>
      <c r="AB527" s="74">
        <v>0.953178310849824</v>
      </c>
      <c r="AC527" s="74">
        <v>0.92</v>
      </c>
      <c r="AD527" s="72">
        <v>0.979310344827586</v>
      </c>
      <c r="AE527" s="72">
        <v>0.992957746478873</v>
      </c>
      <c r="AF527" s="72">
        <v>0.990243902439024</v>
      </c>
      <c r="AG527" s="72">
        <v>0.988030467899891</v>
      </c>
      <c r="AH527" s="74">
        <v>0.92</v>
      </c>
      <c r="AI527" s="72">
        <v>0.966524037251447</v>
      </c>
      <c r="AJ527" s="72">
        <v>0.95705824284304</v>
      </c>
      <c r="AK527" s="72">
        <v>0.96551724137931</v>
      </c>
      <c r="AL527" s="72">
        <v>0.969636982100039</v>
      </c>
      <c r="AM527" s="71">
        <v>0.99</v>
      </c>
      <c r="AN527" s="76">
        <v>1</v>
      </c>
      <c r="AO527" s="76">
        <v>1</v>
      </c>
      <c r="AP527" s="76">
        <v>1</v>
      </c>
      <c r="AQ527" s="76">
        <v>1</v>
      </c>
      <c r="AR527" s="96">
        <v>0.05</v>
      </c>
      <c r="AS527" s="80">
        <v>0</v>
      </c>
      <c r="AT527" s="80">
        <v>0</v>
      </c>
      <c r="AU527" s="80">
        <v>0</v>
      </c>
      <c r="AV527" s="80">
        <v>0</v>
      </c>
      <c r="AW527" s="36"/>
      <c r="AX527" s="34"/>
    </row>
    <row r="528" ht="14.5" spans="1:50">
      <c r="A528" s="32"/>
      <c r="B528" s="36"/>
      <c r="C528" s="91" t="s">
        <v>401</v>
      </c>
      <c r="D528" s="69" t="s">
        <v>19</v>
      </c>
      <c r="E528" s="92" t="s">
        <v>579</v>
      </c>
      <c r="F528" s="92" t="s">
        <v>579</v>
      </c>
      <c r="G528" s="92" t="s">
        <v>579</v>
      </c>
      <c r="H528" s="92" t="s">
        <v>579</v>
      </c>
      <c r="I528" s="71">
        <v>0.9</v>
      </c>
      <c r="J528" s="72">
        <v>0.952380952380952</v>
      </c>
      <c r="K528" s="72">
        <v>0.916666666666667</v>
      </c>
      <c r="L528" s="73">
        <v>0.962962962962963</v>
      </c>
      <c r="M528" s="72">
        <v>0.90990990990991</v>
      </c>
      <c r="N528" s="74">
        <v>0.9</v>
      </c>
      <c r="O528" s="72">
        <v>0.877833753148615</v>
      </c>
      <c r="P528" s="72">
        <v>0.891168599464764</v>
      </c>
      <c r="Q528" s="72">
        <v>0.954375467464473</v>
      </c>
      <c r="R528" s="72">
        <v>0.898412947831552</v>
      </c>
      <c r="S528" s="74">
        <v>0.9</v>
      </c>
      <c r="T528" s="72">
        <v>0.739294710327456</v>
      </c>
      <c r="U528" s="72">
        <v>0.845673505798394</v>
      </c>
      <c r="V528" s="72">
        <v>0.87808526551982</v>
      </c>
      <c r="W528" s="72">
        <v>0.802089880578253</v>
      </c>
      <c r="X528" s="74">
        <v>0.92</v>
      </c>
      <c r="Y528" s="74">
        <v>0</v>
      </c>
      <c r="Z528" s="74">
        <v>0.912280701754386</v>
      </c>
      <c r="AA528" s="74">
        <v>0.934676858929812</v>
      </c>
      <c r="AB528" s="74">
        <v>0.920864716815025</v>
      </c>
      <c r="AC528" s="74">
        <v>0.92</v>
      </c>
      <c r="AD528" s="72">
        <v>0.977272727272727</v>
      </c>
      <c r="AE528" s="72">
        <v>0.928571428571429</v>
      </c>
      <c r="AF528" s="72">
        <v>0.956521739130435</v>
      </c>
      <c r="AG528" s="72">
        <v>0.932170542635659</v>
      </c>
      <c r="AH528" s="74">
        <v>0.92</v>
      </c>
      <c r="AI528" s="72">
        <v>0.916876574307305</v>
      </c>
      <c r="AJ528" s="72">
        <v>0.933224088488324</v>
      </c>
      <c r="AK528" s="72">
        <v>0.955395683453237</v>
      </c>
      <c r="AL528" s="72">
        <v>0.935673277661795</v>
      </c>
      <c r="AM528" s="71">
        <v>0.99</v>
      </c>
      <c r="AN528" s="76">
        <v>1</v>
      </c>
      <c r="AO528" s="76">
        <v>1</v>
      </c>
      <c r="AP528" s="76">
        <v>1</v>
      </c>
      <c r="AQ528" s="76">
        <v>1</v>
      </c>
      <c r="AR528" s="96">
        <v>0.05</v>
      </c>
      <c r="AS528" s="80">
        <v>0</v>
      </c>
      <c r="AT528" s="80">
        <v>0</v>
      </c>
      <c r="AU528" s="80">
        <v>0</v>
      </c>
      <c r="AV528" s="80">
        <v>0.0588235294117647</v>
      </c>
      <c r="AW528" s="36"/>
      <c r="AX528" s="34"/>
    </row>
    <row r="529" ht="14.5" spans="1:50">
      <c r="A529" s="32"/>
      <c r="B529" s="36"/>
      <c r="C529" s="91" t="s">
        <v>401</v>
      </c>
      <c r="D529" s="69" t="s">
        <v>19</v>
      </c>
      <c r="E529" s="92" t="s">
        <v>580</v>
      </c>
      <c r="F529" s="92" t="s">
        <v>580</v>
      </c>
      <c r="G529" s="92" t="s">
        <v>580</v>
      </c>
      <c r="H529" s="92" t="s">
        <v>580</v>
      </c>
      <c r="I529" s="71">
        <v>0.9</v>
      </c>
      <c r="J529" s="72">
        <v>0.904761904761905</v>
      </c>
      <c r="K529" s="72">
        <v>0.976190476190476</v>
      </c>
      <c r="L529" s="73">
        <v>0.96</v>
      </c>
      <c r="M529" s="72">
        <v>0.941031941031941</v>
      </c>
      <c r="N529" s="74">
        <v>0.9</v>
      </c>
      <c r="O529" s="72">
        <v>0.952573158425832</v>
      </c>
      <c r="P529" s="72">
        <v>0.956703910614525</v>
      </c>
      <c r="Q529" s="72">
        <v>0.960990712074303</v>
      </c>
      <c r="R529" s="72">
        <v>0.965706531795473</v>
      </c>
      <c r="S529" s="74">
        <v>0.9</v>
      </c>
      <c r="T529" s="72">
        <v>0.846115035317861</v>
      </c>
      <c r="U529" s="72">
        <v>0.895949720670391</v>
      </c>
      <c r="V529" s="72">
        <v>0.882352941176471</v>
      </c>
      <c r="W529" s="72">
        <v>0.874606797014741</v>
      </c>
      <c r="X529" s="74">
        <v>0.92</v>
      </c>
      <c r="Y529" s="74">
        <v>0.920551543007223</v>
      </c>
      <c r="Z529" s="74">
        <v>0.943979394719897</v>
      </c>
      <c r="AA529" s="74">
        <v>0.965876229034124</v>
      </c>
      <c r="AB529" s="74">
        <v>0.945610425240055</v>
      </c>
      <c r="AC529" s="74">
        <v>0.92</v>
      </c>
      <c r="AD529" s="72">
        <v>0.995073891625616</v>
      </c>
      <c r="AE529" s="72">
        <v>0.966743119266055</v>
      </c>
      <c r="AF529" s="72">
        <v>0.945606694560669</v>
      </c>
      <c r="AG529" s="72">
        <v>0.977603737290464</v>
      </c>
      <c r="AH529" s="74">
        <v>0.92</v>
      </c>
      <c r="AI529" s="72">
        <v>0.944982896237172</v>
      </c>
      <c r="AJ529" s="72">
        <v>0.95751087320174</v>
      </c>
      <c r="AK529" s="72">
        <v>0.97489539748954</v>
      </c>
      <c r="AL529" s="72">
        <v>0.96207746707325</v>
      </c>
      <c r="AM529" s="71">
        <v>0.99</v>
      </c>
      <c r="AN529" s="76">
        <v>1</v>
      </c>
      <c r="AO529" s="76">
        <v>1</v>
      </c>
      <c r="AP529" s="76">
        <v>1</v>
      </c>
      <c r="AQ529" s="76">
        <v>1</v>
      </c>
      <c r="AR529" s="96">
        <v>0.05</v>
      </c>
      <c r="AS529" s="80">
        <v>0.0833333333333333</v>
      </c>
      <c r="AT529" s="80">
        <v>0</v>
      </c>
      <c r="AU529" s="80">
        <v>0</v>
      </c>
      <c r="AV529" s="80">
        <v>0.029126213592233</v>
      </c>
      <c r="AW529" s="36"/>
      <c r="AX529" s="34"/>
    </row>
    <row r="530" ht="14.5" spans="1:50">
      <c r="A530" s="32"/>
      <c r="B530" s="36"/>
      <c r="C530" s="91" t="s">
        <v>401</v>
      </c>
      <c r="D530" s="69" t="s">
        <v>19</v>
      </c>
      <c r="E530" s="92" t="s">
        <v>581</v>
      </c>
      <c r="F530" s="92" t="s">
        <v>581</v>
      </c>
      <c r="G530" s="92" t="s">
        <v>581</v>
      </c>
      <c r="H530" s="92" t="s">
        <v>581</v>
      </c>
      <c r="I530" s="71">
        <v>0.9</v>
      </c>
      <c r="J530" s="72">
        <v>0.96078431372549</v>
      </c>
      <c r="K530" s="72">
        <v>1</v>
      </c>
      <c r="L530" s="73">
        <v>0.969230769230769</v>
      </c>
      <c r="M530" s="72">
        <v>0.976234003656307</v>
      </c>
      <c r="N530" s="74">
        <v>0.9</v>
      </c>
      <c r="O530" s="72">
        <v>0.914077990746861</v>
      </c>
      <c r="P530" s="72">
        <v>0.946203904555315</v>
      </c>
      <c r="Q530" s="72">
        <v>0.948438634713144</v>
      </c>
      <c r="R530" s="72">
        <v>0.940295093217431</v>
      </c>
      <c r="S530" s="74">
        <v>0.9</v>
      </c>
      <c r="T530" s="72">
        <v>0.842696629213483</v>
      </c>
      <c r="U530" s="72">
        <v>0.91236442516269</v>
      </c>
      <c r="V530" s="72">
        <v>0.89360929557008</v>
      </c>
      <c r="W530" s="72">
        <v>0.888863471729765</v>
      </c>
      <c r="X530" s="74">
        <v>0.92</v>
      </c>
      <c r="Y530" s="74">
        <v>0.874558996471972</v>
      </c>
      <c r="Z530" s="74">
        <v>0.925527973323453</v>
      </c>
      <c r="AA530" s="74">
        <v>0.94070351758794</v>
      </c>
      <c r="AB530" s="74">
        <v>0.935605756089718</v>
      </c>
      <c r="AC530" s="74">
        <v>0.92</v>
      </c>
      <c r="AD530" s="72">
        <v>0.995884773662551</v>
      </c>
      <c r="AE530" s="72">
        <v>0.993556701030928</v>
      </c>
      <c r="AF530" s="72">
        <v>0.991680532445923</v>
      </c>
      <c r="AG530" s="72">
        <v>0.989599583983359</v>
      </c>
      <c r="AH530" s="74">
        <v>0.92</v>
      </c>
      <c r="AI530" s="72">
        <v>0.909498207885305</v>
      </c>
      <c r="AJ530" s="72">
        <v>0.947694150529048</v>
      </c>
      <c r="AK530" s="72">
        <v>0.957535676992691</v>
      </c>
      <c r="AL530" s="72">
        <v>0.95549083232339</v>
      </c>
      <c r="AM530" s="71">
        <v>0.99</v>
      </c>
      <c r="AN530" s="76">
        <v>1</v>
      </c>
      <c r="AO530" s="76">
        <v>1</v>
      </c>
      <c r="AP530" s="76">
        <v>1</v>
      </c>
      <c r="AQ530" s="76">
        <v>1</v>
      </c>
      <c r="AR530" s="96">
        <v>0.05</v>
      </c>
      <c r="AS530" s="80">
        <v>0</v>
      </c>
      <c r="AT530" s="80">
        <v>0.0476190476190476</v>
      </c>
      <c r="AU530" s="80">
        <v>0.151515151515152</v>
      </c>
      <c r="AV530" s="80">
        <v>0.0440528634361234</v>
      </c>
      <c r="AW530" s="36"/>
      <c r="AX530" s="34"/>
    </row>
    <row r="531" ht="14.5" spans="1:50">
      <c r="A531" s="32"/>
      <c r="B531" s="36"/>
      <c r="C531" s="91" t="s">
        <v>401</v>
      </c>
      <c r="D531" s="69" t="s">
        <v>19</v>
      </c>
      <c r="E531" s="92" t="s">
        <v>582</v>
      </c>
      <c r="F531" s="92" t="s">
        <v>582</v>
      </c>
      <c r="G531" s="92" t="s">
        <v>582</v>
      </c>
      <c r="H531" s="92" t="s">
        <v>582</v>
      </c>
      <c r="I531" s="71">
        <v>0.9</v>
      </c>
      <c r="J531" s="72">
        <v>1</v>
      </c>
      <c r="K531" s="72">
        <v>0.974358974358974</v>
      </c>
      <c r="L531" s="73">
        <v>0.952380952380952</v>
      </c>
      <c r="M531" s="72">
        <v>0.969529085872576</v>
      </c>
      <c r="N531" s="74">
        <v>0.9</v>
      </c>
      <c r="O531" s="72">
        <v>0.913472706155633</v>
      </c>
      <c r="P531" s="72">
        <v>0.910175438596491</v>
      </c>
      <c r="Q531" s="72">
        <v>0.913602941176471</v>
      </c>
      <c r="R531" s="72">
        <v>0.925703975771635</v>
      </c>
      <c r="S531" s="74">
        <v>0.9</v>
      </c>
      <c r="T531" s="72">
        <v>0.879210220673635</v>
      </c>
      <c r="U531" s="72">
        <v>0.870877192982456</v>
      </c>
      <c r="V531" s="72">
        <v>0.872549019607843</v>
      </c>
      <c r="W531" s="72">
        <v>0.878278239577292</v>
      </c>
      <c r="X531" s="74">
        <v>0.92</v>
      </c>
      <c r="Y531" s="74">
        <v>0</v>
      </c>
      <c r="Z531" s="74">
        <v>0.944767441860465</v>
      </c>
      <c r="AA531" s="74">
        <v>0.964476021314387</v>
      </c>
      <c r="AB531" s="74">
        <v>0.943679692125518</v>
      </c>
      <c r="AC531" s="74">
        <v>0.92</v>
      </c>
      <c r="AD531" s="72">
        <v>0.974358974358974</v>
      </c>
      <c r="AE531" s="72">
        <v>0.988095238095238</v>
      </c>
      <c r="AF531" s="72">
        <v>0.963963963963964</v>
      </c>
      <c r="AG531" s="72">
        <v>0.977380952380952</v>
      </c>
      <c r="AH531" s="74">
        <v>0.92</v>
      </c>
      <c r="AI531" s="72">
        <v>0.983739837398374</v>
      </c>
      <c r="AJ531" s="72">
        <v>0.96125754207685</v>
      </c>
      <c r="AK531" s="72">
        <v>0.977436823104693</v>
      </c>
      <c r="AL531" s="72">
        <v>0.965022699133306</v>
      </c>
      <c r="AM531" s="71">
        <v>0.99</v>
      </c>
      <c r="AN531" s="76">
        <v>1</v>
      </c>
      <c r="AO531" s="76">
        <v>1</v>
      </c>
      <c r="AP531" s="76">
        <v>1</v>
      </c>
      <c r="AQ531" s="76">
        <v>1</v>
      </c>
      <c r="AR531" s="96">
        <v>0.05</v>
      </c>
      <c r="AS531" s="80">
        <v>0</v>
      </c>
      <c r="AT531" s="80">
        <v>0</v>
      </c>
      <c r="AU531" s="80">
        <v>0</v>
      </c>
      <c r="AV531" s="80">
        <v>0.0294117647058824</v>
      </c>
      <c r="AW531" s="36"/>
      <c r="AX531" s="34"/>
    </row>
    <row r="532" ht="14.5" spans="1:50">
      <c r="A532" s="32"/>
      <c r="B532" s="36"/>
      <c r="C532" s="91" t="s">
        <v>401</v>
      </c>
      <c r="D532" s="69" t="s">
        <v>19</v>
      </c>
      <c r="E532" s="92" t="s">
        <v>583</v>
      </c>
      <c r="F532" s="92" t="s">
        <v>583</v>
      </c>
      <c r="G532" s="92" t="s">
        <v>583</v>
      </c>
      <c r="H532" s="92" t="s">
        <v>583</v>
      </c>
      <c r="I532" s="71">
        <v>0.9</v>
      </c>
      <c r="J532" s="72">
        <v>1</v>
      </c>
      <c r="K532" s="72">
        <v>0.964285714285714</v>
      </c>
      <c r="L532" s="73">
        <v>0.918032786885246</v>
      </c>
      <c r="M532" s="72">
        <v>0.945631067961165</v>
      </c>
      <c r="N532" s="74">
        <v>0.9</v>
      </c>
      <c r="O532" s="72">
        <v>0.977233474642801</v>
      </c>
      <c r="P532" s="72">
        <v>0.983269961977186</v>
      </c>
      <c r="Q532" s="72">
        <v>0.98910635155096</v>
      </c>
      <c r="R532" s="72">
        <v>0.984645528363383</v>
      </c>
      <c r="S532" s="74">
        <v>0.9</v>
      </c>
      <c r="T532" s="72">
        <v>0.923378866384048</v>
      </c>
      <c r="U532" s="72">
        <v>0.930988593155894</v>
      </c>
      <c r="V532" s="72">
        <v>0.95384047267356</v>
      </c>
      <c r="W532" s="72">
        <v>0.937658961171085</v>
      </c>
      <c r="X532" s="74">
        <v>0.92</v>
      </c>
      <c r="Y532" s="74">
        <v>0</v>
      </c>
      <c r="Z532" s="74">
        <v>0</v>
      </c>
      <c r="AA532" s="74">
        <v>0</v>
      </c>
      <c r="AB532" s="74">
        <v>0.333333333333333</v>
      </c>
      <c r="AC532" s="74">
        <v>0.92</v>
      </c>
      <c r="AD532" s="72">
        <v>0.981182795698925</v>
      </c>
      <c r="AE532" s="72">
        <v>0.981707317073171</v>
      </c>
      <c r="AF532" s="72">
        <v>0.987394957983193</v>
      </c>
      <c r="AG532" s="72">
        <v>0.976401998889506</v>
      </c>
      <c r="AH532" s="74">
        <v>0.92</v>
      </c>
      <c r="AI532" s="72">
        <v>0.980530695556602</v>
      </c>
      <c r="AJ532" s="72">
        <v>0.981368821292776</v>
      </c>
      <c r="AK532" s="72">
        <v>0.9903988183161</v>
      </c>
      <c r="AL532" s="72">
        <v>0.985343430918202</v>
      </c>
      <c r="AM532" s="71">
        <v>0.99</v>
      </c>
      <c r="AN532" s="76">
        <v>1</v>
      </c>
      <c r="AO532" s="76">
        <v>1</v>
      </c>
      <c r="AP532" s="76">
        <v>1</v>
      </c>
      <c r="AQ532" s="76">
        <v>1</v>
      </c>
      <c r="AR532" s="96">
        <v>0.05</v>
      </c>
      <c r="AS532" s="80">
        <v>0.1</v>
      </c>
      <c r="AT532" s="80">
        <v>0.04</v>
      </c>
      <c r="AU532" s="80">
        <v>0</v>
      </c>
      <c r="AV532" s="80">
        <v>0.0120481927710843</v>
      </c>
      <c r="AW532" s="36"/>
      <c r="AX532" s="34"/>
    </row>
    <row r="533" ht="14.5" spans="1:50">
      <c r="A533" s="32"/>
      <c r="B533" s="36"/>
      <c r="C533" s="91" t="s">
        <v>401</v>
      </c>
      <c r="D533" s="69" t="s">
        <v>19</v>
      </c>
      <c r="E533" s="92" t="s">
        <v>584</v>
      </c>
      <c r="F533" s="92" t="s">
        <v>584</v>
      </c>
      <c r="G533" s="92" t="s">
        <v>584</v>
      </c>
      <c r="H533" s="92" t="s">
        <v>584</v>
      </c>
      <c r="I533" s="71">
        <v>0.9</v>
      </c>
      <c r="J533" s="72">
        <v>1</v>
      </c>
      <c r="K533" s="72">
        <v>0.985507246376812</v>
      </c>
      <c r="L533" s="73">
        <v>0.945205479452055</v>
      </c>
      <c r="M533" s="72">
        <v>0.973520249221184</v>
      </c>
      <c r="N533" s="74">
        <v>0.9</v>
      </c>
      <c r="O533" s="72">
        <v>0.970239735464315</v>
      </c>
      <c r="P533" s="72">
        <v>0.977415712211647</v>
      </c>
      <c r="Q533" s="72">
        <v>0.962766811105762</v>
      </c>
      <c r="R533" s="72">
        <v>0.975565610859728</v>
      </c>
      <c r="S533" s="74">
        <v>0.9</v>
      </c>
      <c r="T533" s="72">
        <v>0.904243593276385</v>
      </c>
      <c r="U533" s="72">
        <v>0.94660429101468</v>
      </c>
      <c r="V533" s="72">
        <v>0.924410207029369</v>
      </c>
      <c r="W533" s="72">
        <v>0.917054709995886</v>
      </c>
      <c r="X533" s="74">
        <v>0.92</v>
      </c>
      <c r="Y533" s="74">
        <v>0</v>
      </c>
      <c r="Z533" s="74">
        <v>0</v>
      </c>
      <c r="AA533" s="74">
        <v>0</v>
      </c>
      <c r="AB533" s="74">
        <v>0.25</v>
      </c>
      <c r="AC533" s="74">
        <v>0.92</v>
      </c>
      <c r="AD533" s="72">
        <v>0.991176470588235</v>
      </c>
      <c r="AE533" s="72">
        <v>0.993464052287582</v>
      </c>
      <c r="AF533" s="72">
        <v>0.992443324937028</v>
      </c>
      <c r="AG533" s="72">
        <v>0.990787518573551</v>
      </c>
      <c r="AH533" s="74">
        <v>0.92</v>
      </c>
      <c r="AI533" s="72">
        <v>0.965977961432507</v>
      </c>
      <c r="AJ533" s="72">
        <v>0.980322580645161</v>
      </c>
      <c r="AK533" s="72">
        <v>0.985074626865672</v>
      </c>
      <c r="AL533" s="72">
        <v>0.977805564238825</v>
      </c>
      <c r="AM533" s="71">
        <v>0.99</v>
      </c>
      <c r="AN533" s="76">
        <v>1</v>
      </c>
      <c r="AO533" s="76">
        <v>1</v>
      </c>
      <c r="AP533" s="76">
        <v>1</v>
      </c>
      <c r="AQ533" s="76">
        <v>1</v>
      </c>
      <c r="AR533" s="96">
        <v>0.05</v>
      </c>
      <c r="AS533" s="80">
        <v>0.04</v>
      </c>
      <c r="AT533" s="80">
        <v>0</v>
      </c>
      <c r="AU533" s="80">
        <v>0.0416666666666667</v>
      </c>
      <c r="AV533" s="80">
        <v>0.036036036036036</v>
      </c>
      <c r="AW533" s="36"/>
      <c r="AX533" s="34"/>
    </row>
    <row r="534" ht="14.5" spans="1:50">
      <c r="A534" s="32"/>
      <c r="B534" s="36"/>
      <c r="C534" s="91" t="s">
        <v>401</v>
      </c>
      <c r="D534" s="69" t="s">
        <v>19</v>
      </c>
      <c r="E534" s="92" t="s">
        <v>585</v>
      </c>
      <c r="F534" s="92" t="s">
        <v>585</v>
      </c>
      <c r="G534" s="92" t="s">
        <v>585</v>
      </c>
      <c r="H534" s="92" t="s">
        <v>585</v>
      </c>
      <c r="I534" s="71">
        <v>0.9</v>
      </c>
      <c r="J534" s="72">
        <v>0.974358974358974</v>
      </c>
      <c r="K534" s="72">
        <v>1</v>
      </c>
      <c r="L534" s="73">
        <v>0.951219512195122</v>
      </c>
      <c r="M534" s="72">
        <v>0.977961432506887</v>
      </c>
      <c r="N534" s="74">
        <v>0.9</v>
      </c>
      <c r="O534" s="72">
        <v>0.960685905478879</v>
      </c>
      <c r="P534" s="72">
        <v>0.954501915708812</v>
      </c>
      <c r="Q534" s="72">
        <v>0.947153495075667</v>
      </c>
      <c r="R534" s="72">
        <v>0.954096975420633</v>
      </c>
      <c r="S534" s="74">
        <v>0.9</v>
      </c>
      <c r="T534" s="72">
        <v>0.936219155165203</v>
      </c>
      <c r="U534" s="72">
        <v>0.937021072796935</v>
      </c>
      <c r="V534" s="72">
        <v>0.942109055969253</v>
      </c>
      <c r="W534" s="72">
        <v>0.93307155105997</v>
      </c>
      <c r="X534" s="74">
        <v>0.92</v>
      </c>
      <c r="Y534" s="74">
        <v>0</v>
      </c>
      <c r="Z534" s="74">
        <v>0</v>
      </c>
      <c r="AA534" s="74">
        <v>0</v>
      </c>
      <c r="AB534" s="74">
        <v>0</v>
      </c>
      <c r="AC534" s="74">
        <v>0.92</v>
      </c>
      <c r="AD534" s="72">
        <v>0.966666666666667</v>
      </c>
      <c r="AE534" s="72">
        <v>0.963855421686747</v>
      </c>
      <c r="AF534" s="72">
        <v>0.973913043478261</v>
      </c>
      <c r="AG534" s="72">
        <v>0.952723535457348</v>
      </c>
      <c r="AH534" s="74">
        <v>0.92</v>
      </c>
      <c r="AI534" s="72">
        <v>0.977838176876437</v>
      </c>
      <c r="AJ534" s="72">
        <v>0.98085666427375</v>
      </c>
      <c r="AK534" s="72">
        <v>0.988469853471055</v>
      </c>
      <c r="AL534" s="72">
        <v>0.984244924330906</v>
      </c>
      <c r="AM534" s="71">
        <v>0.99</v>
      </c>
      <c r="AN534" s="76">
        <v>1</v>
      </c>
      <c r="AO534" s="76">
        <v>1</v>
      </c>
      <c r="AP534" s="76">
        <v>1</v>
      </c>
      <c r="AQ534" s="76">
        <v>1</v>
      </c>
      <c r="AR534" s="96">
        <v>0.05</v>
      </c>
      <c r="AS534" s="80">
        <v>0</v>
      </c>
      <c r="AT534" s="80">
        <v>0</v>
      </c>
      <c r="AU534" s="80">
        <v>0</v>
      </c>
      <c r="AV534" s="80">
        <v>0.0392156862745098</v>
      </c>
      <c r="AW534" s="36"/>
      <c r="AX534" s="34"/>
    </row>
    <row r="535" ht="14.5" spans="1:50">
      <c r="A535" s="32"/>
      <c r="B535" s="36"/>
      <c r="C535" s="91" t="s">
        <v>401</v>
      </c>
      <c r="D535" s="69" t="s">
        <v>19</v>
      </c>
      <c r="E535" s="92" t="s">
        <v>586</v>
      </c>
      <c r="F535" s="92" t="s">
        <v>586</v>
      </c>
      <c r="G535" s="92" t="s">
        <v>586</v>
      </c>
      <c r="H535" s="92" t="s">
        <v>586</v>
      </c>
      <c r="I535" s="71">
        <v>0.9</v>
      </c>
      <c r="J535" s="72">
        <v>0.938461538461538</v>
      </c>
      <c r="K535" s="72">
        <v>0.940298507462687</v>
      </c>
      <c r="L535" s="73">
        <v>0.926470588235294</v>
      </c>
      <c r="M535" s="72">
        <v>0.934782608695652</v>
      </c>
      <c r="N535" s="74">
        <v>0.9</v>
      </c>
      <c r="O535" s="72">
        <v>0</v>
      </c>
      <c r="P535" s="72">
        <v>0</v>
      </c>
      <c r="Q535" s="72">
        <v>0</v>
      </c>
      <c r="R535" s="72">
        <v>0.333333333333333</v>
      </c>
      <c r="S535" s="74">
        <v>0.9</v>
      </c>
      <c r="T535" s="72">
        <v>0</v>
      </c>
      <c r="U535" s="72">
        <v>0</v>
      </c>
      <c r="V535" s="72">
        <v>1</v>
      </c>
      <c r="W535" s="72">
        <v>0.333333333333333</v>
      </c>
      <c r="X535" s="74">
        <v>0.92</v>
      </c>
      <c r="Y535" s="74">
        <v>0</v>
      </c>
      <c r="Z535" s="74">
        <v>0</v>
      </c>
      <c r="AA535" s="74">
        <v>0.5</v>
      </c>
      <c r="AB535" s="74">
        <v>0.5</v>
      </c>
      <c r="AC535" s="74">
        <v>0.92</v>
      </c>
      <c r="AD535" s="72">
        <v>0.361365021328458</v>
      </c>
      <c r="AE535" s="72">
        <v>0.992612491605104</v>
      </c>
      <c r="AF535" s="72">
        <v>0.994780014914243</v>
      </c>
      <c r="AG535" s="72">
        <v>0.91292735042735</v>
      </c>
      <c r="AH535" s="74">
        <v>0.92</v>
      </c>
      <c r="AI535" s="72">
        <v>0.961383525489651</v>
      </c>
      <c r="AJ535" s="72">
        <v>0.978250284044798</v>
      </c>
      <c r="AK535" s="72">
        <v>0.979089996654399</v>
      </c>
      <c r="AL535" s="72">
        <v>0.974837006304219</v>
      </c>
      <c r="AM535" s="71">
        <v>0.99</v>
      </c>
      <c r="AN535" s="76">
        <v>1</v>
      </c>
      <c r="AO535" s="76">
        <v>1</v>
      </c>
      <c r="AP535" s="76">
        <v>1</v>
      </c>
      <c r="AQ535" s="76">
        <v>1</v>
      </c>
      <c r="AR535" s="96">
        <v>0.05</v>
      </c>
      <c r="AS535" s="80">
        <v>0.2</v>
      </c>
      <c r="AT535" s="80">
        <v>0.0384615384615385</v>
      </c>
      <c r="AU535" s="80">
        <v>0</v>
      </c>
      <c r="AV535" s="80">
        <v>0.0855614973262032</v>
      </c>
      <c r="AW535" s="36"/>
      <c r="AX535" s="34"/>
    </row>
    <row r="536" ht="14.5" spans="1:50">
      <c r="A536" s="32"/>
      <c r="B536" s="36"/>
      <c r="C536" s="91" t="s">
        <v>401</v>
      </c>
      <c r="D536" s="69" t="s">
        <v>19</v>
      </c>
      <c r="E536" s="92" t="s">
        <v>587</v>
      </c>
      <c r="F536" s="92" t="s">
        <v>587</v>
      </c>
      <c r="G536" s="92" t="s">
        <v>587</v>
      </c>
      <c r="H536" s="92" t="s">
        <v>587</v>
      </c>
      <c r="I536" s="71">
        <v>0.9</v>
      </c>
      <c r="J536" s="72">
        <v>0.964285714285714</v>
      </c>
      <c r="K536" s="72">
        <v>0.966666666666667</v>
      </c>
      <c r="L536" s="73">
        <v>1</v>
      </c>
      <c r="M536" s="72">
        <v>0.917562724014337</v>
      </c>
      <c r="N536" s="74">
        <v>0.9</v>
      </c>
      <c r="O536" s="72">
        <v>0.831247629882442</v>
      </c>
      <c r="P536" s="72">
        <v>0.914901664145234</v>
      </c>
      <c r="Q536" s="72">
        <v>0.9578125</v>
      </c>
      <c r="R536" s="72">
        <v>0.938070110852047</v>
      </c>
      <c r="S536" s="74">
        <v>0.9</v>
      </c>
      <c r="T536" s="72">
        <v>0.910125142207053</v>
      </c>
      <c r="U536" s="72">
        <v>0.889561270801815</v>
      </c>
      <c r="V536" s="72">
        <v>0.937890625</v>
      </c>
      <c r="W536" s="72">
        <v>0.930339100912177</v>
      </c>
      <c r="X536" s="74">
        <v>0.92</v>
      </c>
      <c r="Y536" s="74">
        <v>0</v>
      </c>
      <c r="Z536" s="74">
        <v>0</v>
      </c>
      <c r="AA536" s="74">
        <v>0</v>
      </c>
      <c r="AB536" s="74">
        <v>0</v>
      </c>
      <c r="AC536" s="74">
        <v>0.92</v>
      </c>
      <c r="AD536" s="72">
        <v>0.590909090909091</v>
      </c>
      <c r="AE536" s="72">
        <v>0.977272727272727</v>
      </c>
      <c r="AF536" s="72">
        <v>1</v>
      </c>
      <c r="AG536" s="72">
        <v>0.929032258064516</v>
      </c>
      <c r="AH536" s="74">
        <v>0.92</v>
      </c>
      <c r="AI536" s="72">
        <v>0.955026455026455</v>
      </c>
      <c r="AJ536" s="72">
        <v>0.969788519637462</v>
      </c>
      <c r="AK536" s="72">
        <v>0.98438110113237</v>
      </c>
      <c r="AL536" s="72">
        <v>0.97856822719309</v>
      </c>
      <c r="AM536" s="71">
        <v>0.99</v>
      </c>
      <c r="AN536" s="76">
        <v>1</v>
      </c>
      <c r="AO536" s="76">
        <v>1</v>
      </c>
      <c r="AP536" s="76">
        <v>1</v>
      </c>
      <c r="AQ536" s="76">
        <v>1</v>
      </c>
      <c r="AR536" s="96">
        <v>0.05</v>
      </c>
      <c r="AS536" s="80">
        <v>0.142857142857143</v>
      </c>
      <c r="AT536" s="80">
        <v>0</v>
      </c>
      <c r="AU536" s="80">
        <v>0.142857142857143</v>
      </c>
      <c r="AV536" s="80">
        <v>0.0925925925925926</v>
      </c>
      <c r="AW536" s="36"/>
      <c r="AX536" s="34"/>
    </row>
    <row r="537" ht="14.5" spans="1:50">
      <c r="A537" s="32"/>
      <c r="B537" s="36"/>
      <c r="C537" s="91" t="s">
        <v>401</v>
      </c>
      <c r="D537" s="69" t="s">
        <v>19</v>
      </c>
      <c r="E537" s="92" t="s">
        <v>588</v>
      </c>
      <c r="F537" s="92" t="s">
        <v>588</v>
      </c>
      <c r="G537" s="92" t="s">
        <v>588</v>
      </c>
      <c r="H537" s="92" t="s">
        <v>588</v>
      </c>
      <c r="I537" s="71">
        <v>0.9</v>
      </c>
      <c r="J537" s="72">
        <v>0.967741935483871</v>
      </c>
      <c r="K537" s="72">
        <v>0.90625</v>
      </c>
      <c r="L537" s="73">
        <v>0.914285714285714</v>
      </c>
      <c r="M537" s="72">
        <v>0.940199335548173</v>
      </c>
      <c r="N537" s="74">
        <v>0.9</v>
      </c>
      <c r="O537" s="72">
        <v>0.792655903767015</v>
      </c>
      <c r="P537" s="72">
        <v>0.913201320132013</v>
      </c>
      <c r="Q537" s="72">
        <v>0.934180514825676</v>
      </c>
      <c r="R537" s="72">
        <v>0.861861019563845</v>
      </c>
      <c r="S537" s="74">
        <v>0.9</v>
      </c>
      <c r="T537" s="72">
        <v>0.885406774295663</v>
      </c>
      <c r="U537" s="72">
        <v>0.938613861386139</v>
      </c>
      <c r="V537" s="72">
        <v>0.934832192896709</v>
      </c>
      <c r="W537" s="72">
        <v>0.925320804992637</v>
      </c>
      <c r="X537" s="74">
        <v>0.92</v>
      </c>
      <c r="Y537" s="74">
        <v>0</v>
      </c>
      <c r="Z537" s="74">
        <v>0</v>
      </c>
      <c r="AA537" s="74">
        <v>0</v>
      </c>
      <c r="AB537" s="74">
        <v>0</v>
      </c>
      <c r="AC537" s="74">
        <v>0.92</v>
      </c>
      <c r="AD537" s="72">
        <v>0.24113475177305</v>
      </c>
      <c r="AE537" s="72">
        <v>0.975438596491228</v>
      </c>
      <c r="AF537" s="72">
        <v>0.991341991341991</v>
      </c>
      <c r="AG537" s="72">
        <v>0.840417310664606</v>
      </c>
      <c r="AH537" s="74">
        <v>0.92</v>
      </c>
      <c r="AI537" s="72">
        <v>0.943969610636277</v>
      </c>
      <c r="AJ537" s="72">
        <v>0.972277227722772</v>
      </c>
      <c r="AK537" s="72">
        <v>0.980775496904529</v>
      </c>
      <c r="AL537" s="72">
        <v>0.969707594137858</v>
      </c>
      <c r="AM537" s="71">
        <v>0.99</v>
      </c>
      <c r="AN537" s="76">
        <v>1</v>
      </c>
      <c r="AO537" s="76">
        <v>1</v>
      </c>
      <c r="AP537" s="76">
        <v>1</v>
      </c>
      <c r="AQ537" s="76">
        <v>1</v>
      </c>
      <c r="AR537" s="96">
        <v>0.05</v>
      </c>
      <c r="AS537" s="80">
        <v>0</v>
      </c>
      <c r="AT537" s="80">
        <v>0.25</v>
      </c>
      <c r="AU537" s="80">
        <v>0</v>
      </c>
      <c r="AV537" s="80">
        <v>0.0666666666666667</v>
      </c>
      <c r="AW537" s="36"/>
      <c r="AX537" s="34"/>
    </row>
    <row r="538" ht="14.5" spans="1:50">
      <c r="A538" s="32"/>
      <c r="B538" s="36"/>
      <c r="C538" s="91" t="s">
        <v>401</v>
      </c>
      <c r="D538" s="69" t="s">
        <v>19</v>
      </c>
      <c r="E538" s="92" t="s">
        <v>589</v>
      </c>
      <c r="F538" s="92" t="s">
        <v>589</v>
      </c>
      <c r="G538" s="92" t="s">
        <v>589</v>
      </c>
      <c r="H538" s="92" t="s">
        <v>589</v>
      </c>
      <c r="I538" s="71">
        <v>0.9</v>
      </c>
      <c r="J538" s="72">
        <v>0.951612903225806</v>
      </c>
      <c r="K538" s="72">
        <v>0.950819672131147</v>
      </c>
      <c r="L538" s="73">
        <v>0.96875</v>
      </c>
      <c r="M538" s="72">
        <v>0.966666666666667</v>
      </c>
      <c r="N538" s="74">
        <v>0.9</v>
      </c>
      <c r="O538" s="72">
        <v>0.5</v>
      </c>
      <c r="P538" s="72">
        <v>0.428571428571429</v>
      </c>
      <c r="Q538" s="72">
        <v>1</v>
      </c>
      <c r="R538" s="72">
        <v>0.428571428571429</v>
      </c>
      <c r="S538" s="74">
        <v>0.9</v>
      </c>
      <c r="T538" s="72">
        <v>0</v>
      </c>
      <c r="U538" s="72">
        <v>0.571428571428571</v>
      </c>
      <c r="V538" s="72">
        <v>1</v>
      </c>
      <c r="W538" s="72">
        <v>0.357142857142857</v>
      </c>
      <c r="X538" s="74">
        <v>0.92</v>
      </c>
      <c r="Y538" s="74">
        <v>0</v>
      </c>
      <c r="Z538" s="74">
        <v>0</v>
      </c>
      <c r="AA538" s="74">
        <v>0</v>
      </c>
      <c r="AB538" s="74">
        <v>0.25</v>
      </c>
      <c r="AC538" s="74">
        <v>0.92</v>
      </c>
      <c r="AD538" s="72">
        <v>0.993589743589744</v>
      </c>
      <c r="AE538" s="72">
        <v>0.934515688949523</v>
      </c>
      <c r="AF538" s="72">
        <v>0.992105263157895</v>
      </c>
      <c r="AG538" s="72">
        <v>0.986656782802076</v>
      </c>
      <c r="AH538" s="74">
        <v>0.92</v>
      </c>
      <c r="AI538" s="72">
        <v>0.943430656934307</v>
      </c>
      <c r="AJ538" s="72">
        <v>0.955895120680674</v>
      </c>
      <c r="AK538" s="72">
        <v>0.970318402590394</v>
      </c>
      <c r="AL538" s="72">
        <v>0.96144947007016</v>
      </c>
      <c r="AM538" s="71">
        <v>0.99</v>
      </c>
      <c r="AN538" s="76">
        <v>1</v>
      </c>
      <c r="AO538" s="76">
        <v>1</v>
      </c>
      <c r="AP538" s="76">
        <v>1</v>
      </c>
      <c r="AQ538" s="76">
        <v>1</v>
      </c>
      <c r="AR538" s="96">
        <v>0.05</v>
      </c>
      <c r="AS538" s="80">
        <v>0.0909090909090909</v>
      </c>
      <c r="AT538" s="80">
        <v>0</v>
      </c>
      <c r="AU538" s="80">
        <v>0.0625</v>
      </c>
      <c r="AV538" s="80">
        <v>0.0566037735849057</v>
      </c>
      <c r="AW538" s="36"/>
      <c r="AX538" s="34"/>
    </row>
    <row r="539" ht="14.5" spans="1:50">
      <c r="A539" s="32"/>
      <c r="B539" s="36"/>
      <c r="C539" s="91" t="s">
        <v>401</v>
      </c>
      <c r="D539" s="69" t="s">
        <v>19</v>
      </c>
      <c r="E539" s="92" t="s">
        <v>590</v>
      </c>
      <c r="F539" s="92" t="s">
        <v>590</v>
      </c>
      <c r="G539" s="92" t="s">
        <v>590</v>
      </c>
      <c r="H539" s="92" t="s">
        <v>590</v>
      </c>
      <c r="I539" s="71">
        <v>0.9</v>
      </c>
      <c r="J539" s="72">
        <v>0.96551724137931</v>
      </c>
      <c r="K539" s="72">
        <v>0.964285714285714</v>
      </c>
      <c r="L539" s="73">
        <v>0.939393939393939</v>
      </c>
      <c r="M539" s="72">
        <v>0.953068592057762</v>
      </c>
      <c r="N539" s="74">
        <v>0.9</v>
      </c>
      <c r="O539" s="72">
        <v>0</v>
      </c>
      <c r="P539" s="72">
        <v>0</v>
      </c>
      <c r="Q539" s="72">
        <v>0</v>
      </c>
      <c r="R539" s="72">
        <v>0</v>
      </c>
      <c r="S539" s="74">
        <v>0.9</v>
      </c>
      <c r="T539" s="72">
        <v>0</v>
      </c>
      <c r="U539" s="72">
        <v>0</v>
      </c>
      <c r="V539" s="72">
        <v>0</v>
      </c>
      <c r="W539" s="72">
        <v>1</v>
      </c>
      <c r="X539" s="74">
        <v>0.92</v>
      </c>
      <c r="Y539" s="74">
        <v>0</v>
      </c>
      <c r="Z539" s="74">
        <v>0</v>
      </c>
      <c r="AA539" s="74">
        <v>0</v>
      </c>
      <c r="AB539" s="74">
        <v>0</v>
      </c>
      <c r="AC539" s="74">
        <v>0.92</v>
      </c>
      <c r="AD539" s="72">
        <v>0.990476190476191</v>
      </c>
      <c r="AE539" s="72">
        <v>0.990950226244344</v>
      </c>
      <c r="AF539" s="72">
        <v>1</v>
      </c>
      <c r="AG539" s="72">
        <v>0.991861288039632</v>
      </c>
      <c r="AH539" s="74">
        <v>0.92</v>
      </c>
      <c r="AI539" s="72">
        <v>0.970793650793651</v>
      </c>
      <c r="AJ539" s="72">
        <v>0.976393442622951</v>
      </c>
      <c r="AK539" s="72">
        <v>0.981381178063643</v>
      </c>
      <c r="AL539" s="72">
        <v>0.981612396458155</v>
      </c>
      <c r="AM539" s="71">
        <v>0.99</v>
      </c>
      <c r="AN539" s="76">
        <v>1</v>
      </c>
      <c r="AO539" s="76">
        <v>1</v>
      </c>
      <c r="AP539" s="76">
        <v>1</v>
      </c>
      <c r="AQ539" s="76">
        <v>1</v>
      </c>
      <c r="AR539" s="96">
        <v>0.05</v>
      </c>
      <c r="AS539" s="80">
        <v>0</v>
      </c>
      <c r="AT539" s="80">
        <v>0</v>
      </c>
      <c r="AU539" s="80">
        <v>0</v>
      </c>
      <c r="AV539" s="80">
        <v>0.0289855072463768</v>
      </c>
      <c r="AW539" s="36"/>
      <c r="AX539" s="34"/>
    </row>
    <row r="540" ht="14.5" spans="1:50">
      <c r="A540" s="32"/>
      <c r="B540" s="36"/>
      <c r="C540" s="91" t="s">
        <v>401</v>
      </c>
      <c r="D540" s="69" t="s">
        <v>19</v>
      </c>
      <c r="E540" s="92" t="s">
        <v>591</v>
      </c>
      <c r="F540" s="92" t="s">
        <v>591</v>
      </c>
      <c r="G540" s="92" t="s">
        <v>591</v>
      </c>
      <c r="H540" s="92" t="s">
        <v>591</v>
      </c>
      <c r="I540" s="71">
        <v>0.9</v>
      </c>
      <c r="J540" s="72">
        <v>0.953846153846154</v>
      </c>
      <c r="K540" s="72">
        <v>0.816901408450704</v>
      </c>
      <c r="L540" s="73">
        <v>0.917808219178082</v>
      </c>
      <c r="M540" s="72">
        <v>0.900161030595813</v>
      </c>
      <c r="N540" s="74">
        <v>0.9</v>
      </c>
      <c r="O540" s="72">
        <v>0</v>
      </c>
      <c r="P540" s="72">
        <v>1</v>
      </c>
      <c r="Q540" s="72">
        <v>0</v>
      </c>
      <c r="R540" s="72">
        <v>0.555555555555556</v>
      </c>
      <c r="S540" s="74">
        <v>0.9</v>
      </c>
      <c r="T540" s="72">
        <v>0</v>
      </c>
      <c r="U540" s="72">
        <v>0.333333333333333</v>
      </c>
      <c r="V540" s="72">
        <v>0</v>
      </c>
      <c r="W540" s="72">
        <v>0.222222222222222</v>
      </c>
      <c r="X540" s="74">
        <v>0.92</v>
      </c>
      <c r="Y540" s="74">
        <v>0</v>
      </c>
      <c r="Z540" s="74">
        <v>0</v>
      </c>
      <c r="AA540" s="74">
        <v>1</v>
      </c>
      <c r="AB540" s="74">
        <v>0.5</v>
      </c>
      <c r="AC540" s="74">
        <v>0.92</v>
      </c>
      <c r="AD540" s="72">
        <v>0.975</v>
      </c>
      <c r="AE540" s="72">
        <v>0.938053097345133</v>
      </c>
      <c r="AF540" s="72">
        <v>0.971698113207547</v>
      </c>
      <c r="AG540" s="72">
        <v>0.967479674796748</v>
      </c>
      <c r="AH540" s="74">
        <v>0.92</v>
      </c>
      <c r="AI540" s="72">
        <v>0.968537045092069</v>
      </c>
      <c r="AJ540" s="72">
        <v>0.974408811143505</v>
      </c>
      <c r="AK540" s="72">
        <v>0.980045059542968</v>
      </c>
      <c r="AL540" s="72">
        <v>0.979395204764431</v>
      </c>
      <c r="AM540" s="71">
        <v>0.99</v>
      </c>
      <c r="AN540" s="76">
        <v>1</v>
      </c>
      <c r="AO540" s="76">
        <v>1</v>
      </c>
      <c r="AP540" s="76">
        <v>1</v>
      </c>
      <c r="AQ540" s="76">
        <v>1</v>
      </c>
      <c r="AR540" s="96">
        <v>0.05</v>
      </c>
      <c r="AS540" s="80">
        <v>0.125</v>
      </c>
      <c r="AT540" s="80">
        <v>0</v>
      </c>
      <c r="AU540" s="80">
        <v>0.0625</v>
      </c>
      <c r="AV540" s="80">
        <v>0.0268456375838926</v>
      </c>
      <c r="AW540" s="36"/>
      <c r="AX540" s="34"/>
    </row>
    <row r="541" ht="14.5" spans="1:50">
      <c r="A541" s="32"/>
      <c r="B541" s="36"/>
      <c r="C541" s="91" t="s">
        <v>401</v>
      </c>
      <c r="D541" s="69" t="s">
        <v>19</v>
      </c>
      <c r="E541" s="92" t="s">
        <v>592</v>
      </c>
      <c r="F541" s="92" t="s">
        <v>592</v>
      </c>
      <c r="G541" s="92" t="s">
        <v>592</v>
      </c>
      <c r="H541" s="92" t="s">
        <v>592</v>
      </c>
      <c r="I541" s="71">
        <v>0.9</v>
      </c>
      <c r="J541" s="72">
        <v>1</v>
      </c>
      <c r="K541" s="72">
        <v>0.972222222222222</v>
      </c>
      <c r="L541" s="73">
        <v>0.975609756097561</v>
      </c>
      <c r="M541" s="72">
        <v>0.975903614457831</v>
      </c>
      <c r="N541" s="74">
        <v>0.9</v>
      </c>
      <c r="O541" s="72">
        <v>0</v>
      </c>
      <c r="P541" s="72">
        <v>0.333333333333333</v>
      </c>
      <c r="Q541" s="72">
        <v>0</v>
      </c>
      <c r="R541" s="72">
        <v>0.142857142857143</v>
      </c>
      <c r="S541" s="74">
        <v>0.9</v>
      </c>
      <c r="T541" s="72">
        <v>0</v>
      </c>
      <c r="U541" s="72">
        <v>0.666666666666667</v>
      </c>
      <c r="V541" s="72">
        <v>0</v>
      </c>
      <c r="W541" s="72">
        <v>0.571428571428571</v>
      </c>
      <c r="X541" s="74">
        <v>0.92</v>
      </c>
      <c r="Y541" s="74">
        <v>0</v>
      </c>
      <c r="Z541" s="74">
        <v>0</v>
      </c>
      <c r="AA541" s="74">
        <v>0</v>
      </c>
      <c r="AB541" s="74">
        <v>0</v>
      </c>
      <c r="AC541" s="74">
        <v>0.92</v>
      </c>
      <c r="AD541" s="72">
        <v>0.300478116954763</v>
      </c>
      <c r="AE541" s="72">
        <v>0.999431495167709</v>
      </c>
      <c r="AF541" s="72">
        <v>0.998965873836608</v>
      </c>
      <c r="AG541" s="72">
        <v>0.871058445470978</v>
      </c>
      <c r="AH541" s="74">
        <v>0.92</v>
      </c>
      <c r="AI541" s="72">
        <v>0.981832543443918</v>
      </c>
      <c r="AJ541" s="72">
        <v>0.980673660960795</v>
      </c>
      <c r="AK541" s="72">
        <v>0.990301724137931</v>
      </c>
      <c r="AL541" s="72">
        <v>0.984963936714751</v>
      </c>
      <c r="AM541" s="71">
        <v>0.99</v>
      </c>
      <c r="AN541" s="76">
        <v>1</v>
      </c>
      <c r="AO541" s="76">
        <v>1</v>
      </c>
      <c r="AP541" s="76">
        <v>1</v>
      </c>
      <c r="AQ541" s="76">
        <v>1</v>
      </c>
      <c r="AR541" s="96">
        <v>0.05</v>
      </c>
      <c r="AS541" s="80">
        <v>0.1</v>
      </c>
      <c r="AT541" s="80">
        <v>0</v>
      </c>
      <c r="AU541" s="80">
        <v>0</v>
      </c>
      <c r="AV541" s="80">
        <v>0.0520833333333333</v>
      </c>
      <c r="AW541" s="36"/>
      <c r="AX541" s="34"/>
    </row>
    <row r="542" ht="14.5" spans="1:50">
      <c r="A542" s="32"/>
      <c r="B542" s="36"/>
      <c r="C542" s="91" t="s">
        <v>401</v>
      </c>
      <c r="D542" s="69" t="s">
        <v>19</v>
      </c>
      <c r="E542" s="92" t="s">
        <v>593</v>
      </c>
      <c r="F542" s="92" t="s">
        <v>593</v>
      </c>
      <c r="G542" s="92" t="s">
        <v>593</v>
      </c>
      <c r="H542" s="92" t="s">
        <v>593</v>
      </c>
      <c r="I542" s="71">
        <v>0.9</v>
      </c>
      <c r="J542" s="72">
        <v>0.964285714285714</v>
      </c>
      <c r="K542" s="72">
        <v>1</v>
      </c>
      <c r="L542" s="73">
        <v>0.972222222222222</v>
      </c>
      <c r="M542" s="72">
        <v>0.948220064724919</v>
      </c>
      <c r="N542" s="74">
        <v>0.9</v>
      </c>
      <c r="O542" s="72">
        <v>0</v>
      </c>
      <c r="P542" s="72">
        <v>1</v>
      </c>
      <c r="Q542" s="72">
        <v>0</v>
      </c>
      <c r="R542" s="72">
        <v>0.5</v>
      </c>
      <c r="S542" s="74">
        <v>0.9</v>
      </c>
      <c r="T542" s="72">
        <v>0</v>
      </c>
      <c r="U542" s="72">
        <v>1</v>
      </c>
      <c r="V542" s="72">
        <v>0</v>
      </c>
      <c r="W542" s="72">
        <v>0.5</v>
      </c>
      <c r="X542" s="74">
        <v>0.92</v>
      </c>
      <c r="Y542" s="74">
        <v>0</v>
      </c>
      <c r="Z542" s="74">
        <v>0</v>
      </c>
      <c r="AA542" s="74">
        <v>0</v>
      </c>
      <c r="AB542" s="74">
        <v>0</v>
      </c>
      <c r="AC542" s="74">
        <v>0.92</v>
      </c>
      <c r="AD542" s="72">
        <v>0.894430590191189</v>
      </c>
      <c r="AE542" s="72">
        <v>0.946325350949628</v>
      </c>
      <c r="AF542" s="72">
        <v>0.995353159851301</v>
      </c>
      <c r="AG542" s="72">
        <v>0.980180654213803</v>
      </c>
      <c r="AH542" s="74">
        <v>0.92</v>
      </c>
      <c r="AI542" s="72">
        <v>0.942202131094608</v>
      </c>
      <c r="AJ542" s="72">
        <v>0.965163297045101</v>
      </c>
      <c r="AK542" s="72">
        <v>0.973448595245446</v>
      </c>
      <c r="AL542" s="72">
        <v>0.968443383717847</v>
      </c>
      <c r="AM542" s="71">
        <v>0.99</v>
      </c>
      <c r="AN542" s="76">
        <v>1</v>
      </c>
      <c r="AO542" s="76">
        <v>1</v>
      </c>
      <c r="AP542" s="76">
        <v>1</v>
      </c>
      <c r="AQ542" s="76">
        <v>1</v>
      </c>
      <c r="AR542" s="96">
        <v>0.05</v>
      </c>
      <c r="AS542" s="80">
        <v>0</v>
      </c>
      <c r="AT542" s="80">
        <v>0.05</v>
      </c>
      <c r="AU542" s="80">
        <v>0</v>
      </c>
      <c r="AV542" s="80">
        <v>0.0357142857142857</v>
      </c>
      <c r="AW542" s="36"/>
      <c r="AX542" s="34"/>
    </row>
    <row r="543" ht="14.5" spans="1:50">
      <c r="A543" s="32"/>
      <c r="B543" s="36"/>
      <c r="C543" s="91" t="s">
        <v>401</v>
      </c>
      <c r="D543" s="69" t="s">
        <v>19</v>
      </c>
      <c r="E543" s="92" t="s">
        <v>594</v>
      </c>
      <c r="F543" s="92" t="s">
        <v>594</v>
      </c>
      <c r="G543" s="92" t="s">
        <v>594</v>
      </c>
      <c r="H543" s="92" t="s">
        <v>594</v>
      </c>
      <c r="I543" s="71">
        <v>0.9</v>
      </c>
      <c r="J543" s="72">
        <v>0.938775510204082</v>
      </c>
      <c r="K543" s="72">
        <v>0.918367346938776</v>
      </c>
      <c r="L543" s="73">
        <v>0.9</v>
      </c>
      <c r="M543" s="72">
        <v>0.916114790286976</v>
      </c>
      <c r="N543" s="74">
        <v>0.9</v>
      </c>
      <c r="O543" s="72">
        <v>0</v>
      </c>
      <c r="P543" s="72">
        <v>0</v>
      </c>
      <c r="Q543" s="72">
        <v>0</v>
      </c>
      <c r="R543" s="72">
        <v>0.25</v>
      </c>
      <c r="S543" s="74">
        <v>0.9</v>
      </c>
      <c r="T543" s="72">
        <v>0</v>
      </c>
      <c r="U543" s="72">
        <v>0.5</v>
      </c>
      <c r="V543" s="72">
        <v>0</v>
      </c>
      <c r="W543" s="72">
        <v>0.5</v>
      </c>
      <c r="X543" s="74">
        <v>0.92</v>
      </c>
      <c r="Y543" s="74">
        <v>0</v>
      </c>
      <c r="Z543" s="74">
        <v>0</v>
      </c>
      <c r="AA543" s="74">
        <v>0</v>
      </c>
      <c r="AB543" s="74">
        <v>0</v>
      </c>
      <c r="AC543" s="74">
        <v>0.92</v>
      </c>
      <c r="AD543" s="72">
        <v>0.934210526315789</v>
      </c>
      <c r="AE543" s="72">
        <v>0.963235294117647</v>
      </c>
      <c r="AF543" s="72">
        <v>0.973333333333333</v>
      </c>
      <c r="AG543" s="72">
        <v>0.971896955503513</v>
      </c>
      <c r="AH543" s="74">
        <v>0.92</v>
      </c>
      <c r="AI543" s="72">
        <v>0.957463724905585</v>
      </c>
      <c r="AJ543" s="72">
        <v>0.946571682991986</v>
      </c>
      <c r="AK543" s="72">
        <v>0.944266788487894</v>
      </c>
      <c r="AL543" s="72">
        <v>0.961390875929698</v>
      </c>
      <c r="AM543" s="71">
        <v>0.99</v>
      </c>
      <c r="AN543" s="76">
        <v>1</v>
      </c>
      <c r="AO543" s="76">
        <v>1</v>
      </c>
      <c r="AP543" s="76">
        <v>1</v>
      </c>
      <c r="AQ543" s="76">
        <v>1</v>
      </c>
      <c r="AR543" s="96">
        <v>0.05</v>
      </c>
      <c r="AS543" s="80">
        <v>0</v>
      </c>
      <c r="AT543" s="80">
        <v>0</v>
      </c>
      <c r="AU543" s="80">
        <v>0</v>
      </c>
      <c r="AV543" s="80">
        <v>0.0375</v>
      </c>
      <c r="AW543" s="36"/>
      <c r="AX543" s="34"/>
    </row>
    <row r="544" ht="14.5" spans="1:50">
      <c r="A544" s="32"/>
      <c r="B544" s="36"/>
      <c r="C544" s="91" t="s">
        <v>401</v>
      </c>
      <c r="D544" s="69" t="s">
        <v>19</v>
      </c>
      <c r="E544" s="92" t="s">
        <v>595</v>
      </c>
      <c r="F544" s="92" t="s">
        <v>595</v>
      </c>
      <c r="G544" s="92" t="s">
        <v>595</v>
      </c>
      <c r="H544" s="92" t="s">
        <v>595</v>
      </c>
      <c r="I544" s="71">
        <v>0.9</v>
      </c>
      <c r="J544" s="72">
        <v>0.964285714285714</v>
      </c>
      <c r="K544" s="72">
        <v>0.9</v>
      </c>
      <c r="L544" s="73">
        <v>0.931034482758621</v>
      </c>
      <c r="M544" s="72">
        <v>0.934108527131783</v>
      </c>
      <c r="N544" s="74">
        <v>0.9</v>
      </c>
      <c r="O544" s="72">
        <v>0</v>
      </c>
      <c r="P544" s="72">
        <v>0</v>
      </c>
      <c r="Q544" s="72">
        <v>0</v>
      </c>
      <c r="R544" s="72">
        <v>0</v>
      </c>
      <c r="S544" s="74">
        <v>0.9</v>
      </c>
      <c r="T544" s="72">
        <v>0</v>
      </c>
      <c r="U544" s="72">
        <v>0</v>
      </c>
      <c r="V544" s="72">
        <v>0</v>
      </c>
      <c r="W544" s="72">
        <v>0</v>
      </c>
      <c r="X544" s="74">
        <v>0.92</v>
      </c>
      <c r="Y544" s="74">
        <v>0</v>
      </c>
      <c r="Z544" s="74">
        <v>0</v>
      </c>
      <c r="AA544" s="74">
        <v>0</v>
      </c>
      <c r="AB544" s="74">
        <v>0</v>
      </c>
      <c r="AC544" s="74">
        <v>0.92</v>
      </c>
      <c r="AD544" s="72">
        <v>0.994897959183674</v>
      </c>
      <c r="AE544" s="72">
        <v>0.99645390070922</v>
      </c>
      <c r="AF544" s="72">
        <v>0.984496124031008</v>
      </c>
      <c r="AG544" s="72">
        <v>0.992550143266476</v>
      </c>
      <c r="AH544" s="74">
        <v>0.92</v>
      </c>
      <c r="AI544" s="72">
        <v>0.977501939487975</v>
      </c>
      <c r="AJ544" s="72">
        <v>0.9856700232378</v>
      </c>
      <c r="AK544" s="72">
        <v>0.986513288377628</v>
      </c>
      <c r="AL544" s="72">
        <v>0.98350687213661</v>
      </c>
      <c r="AM544" s="71">
        <v>0.99</v>
      </c>
      <c r="AN544" s="76">
        <v>1</v>
      </c>
      <c r="AO544" s="76">
        <v>1</v>
      </c>
      <c r="AP544" s="76">
        <v>1</v>
      </c>
      <c r="AQ544" s="76">
        <v>1</v>
      </c>
      <c r="AR544" s="96">
        <v>0.05</v>
      </c>
      <c r="AS544" s="80">
        <v>0</v>
      </c>
      <c r="AT544" s="80">
        <v>0</v>
      </c>
      <c r="AU544" s="80">
        <v>0</v>
      </c>
      <c r="AV544" s="80">
        <v>0</v>
      </c>
      <c r="AW544" s="36"/>
      <c r="AX544" s="34"/>
    </row>
    <row r="545" ht="14.5" spans="1:50">
      <c r="A545" s="32"/>
      <c r="B545" s="36"/>
      <c r="C545" s="91" t="s">
        <v>401</v>
      </c>
      <c r="D545" s="69" t="s">
        <v>19</v>
      </c>
      <c r="E545" s="92" t="s">
        <v>596</v>
      </c>
      <c r="F545" s="92" t="s">
        <v>596</v>
      </c>
      <c r="G545" s="92" t="s">
        <v>596</v>
      </c>
      <c r="H545" s="92" t="s">
        <v>596</v>
      </c>
      <c r="I545" s="71">
        <v>0.9</v>
      </c>
      <c r="J545" s="72">
        <v>0.903846153846154</v>
      </c>
      <c r="K545" s="72">
        <v>0.892857142857143</v>
      </c>
      <c r="L545" s="73">
        <v>0.892857142857143</v>
      </c>
      <c r="M545" s="72">
        <v>0.883534136546185</v>
      </c>
      <c r="N545" s="74">
        <v>0.9</v>
      </c>
      <c r="O545" s="72">
        <v>1</v>
      </c>
      <c r="P545" s="72">
        <v>0</v>
      </c>
      <c r="Q545" s="72">
        <v>0</v>
      </c>
      <c r="R545" s="72">
        <v>0.615384615384615</v>
      </c>
      <c r="S545" s="74">
        <v>0.9</v>
      </c>
      <c r="T545" s="72">
        <v>1</v>
      </c>
      <c r="U545" s="72">
        <v>0</v>
      </c>
      <c r="V545" s="72">
        <v>1</v>
      </c>
      <c r="W545" s="72">
        <v>0.615384615384615</v>
      </c>
      <c r="X545" s="74">
        <v>0.92</v>
      </c>
      <c r="Y545" s="74">
        <v>0</v>
      </c>
      <c r="Z545" s="74">
        <v>0</v>
      </c>
      <c r="AA545" s="74">
        <v>0</v>
      </c>
      <c r="AB545" s="74">
        <v>0</v>
      </c>
      <c r="AC545" s="74">
        <v>0.92</v>
      </c>
      <c r="AD545" s="72">
        <v>0.980132450331126</v>
      </c>
      <c r="AE545" s="72">
        <v>0.8418410041841</v>
      </c>
      <c r="AF545" s="72">
        <v>0.964418087472202</v>
      </c>
      <c r="AG545" s="72">
        <v>0.970298681795428</v>
      </c>
      <c r="AH545" s="74">
        <v>0.92</v>
      </c>
      <c r="AI545" s="72">
        <v>0.844909771876064</v>
      </c>
      <c r="AJ545" s="72">
        <v>0.866239772323017</v>
      </c>
      <c r="AK545" s="72">
        <v>0.910798946444249</v>
      </c>
      <c r="AL545" s="72">
        <v>0.919048804304122</v>
      </c>
      <c r="AM545" s="71">
        <v>0.99</v>
      </c>
      <c r="AN545" s="76">
        <v>1</v>
      </c>
      <c r="AO545" s="76">
        <v>1</v>
      </c>
      <c r="AP545" s="76">
        <v>1</v>
      </c>
      <c r="AQ545" s="76">
        <v>1</v>
      </c>
      <c r="AR545" s="96">
        <v>0.05</v>
      </c>
      <c r="AS545" s="80">
        <v>0.0454545454545455</v>
      </c>
      <c r="AT545" s="80">
        <v>0</v>
      </c>
      <c r="AU545" s="80">
        <v>0.166666666666667</v>
      </c>
      <c r="AV545" s="80">
        <v>0.0558139534883721</v>
      </c>
      <c r="AW545" s="36"/>
      <c r="AX545" s="34"/>
    </row>
    <row r="546" ht="14.5" spans="1:50">
      <c r="A546" s="32"/>
      <c r="B546" s="36"/>
      <c r="C546" s="91" t="s">
        <v>401</v>
      </c>
      <c r="D546" s="69" t="s">
        <v>19</v>
      </c>
      <c r="E546" s="92" t="s">
        <v>597</v>
      </c>
      <c r="F546" s="92" t="s">
        <v>597</v>
      </c>
      <c r="G546" s="92" t="s">
        <v>597</v>
      </c>
      <c r="H546" s="92" t="s">
        <v>597</v>
      </c>
      <c r="I546" s="71">
        <v>0.9</v>
      </c>
      <c r="J546" s="72">
        <v>0.956521739130435</v>
      </c>
      <c r="K546" s="72">
        <v>0.956521739130435</v>
      </c>
      <c r="L546" s="73">
        <v>0.869565217391304</v>
      </c>
      <c r="M546" s="72">
        <v>0.934272300469484</v>
      </c>
      <c r="N546" s="74">
        <v>0.9</v>
      </c>
      <c r="O546" s="72">
        <v>0</v>
      </c>
      <c r="P546" s="72">
        <v>0</v>
      </c>
      <c r="Q546" s="72">
        <v>0</v>
      </c>
      <c r="R546" s="72">
        <v>0</v>
      </c>
      <c r="S546" s="74">
        <v>0.9</v>
      </c>
      <c r="T546" s="72">
        <v>0</v>
      </c>
      <c r="U546" s="72">
        <v>0</v>
      </c>
      <c r="V546" s="72">
        <v>0</v>
      </c>
      <c r="W546" s="72">
        <v>0</v>
      </c>
      <c r="X546" s="74">
        <v>0.92</v>
      </c>
      <c r="Y546" s="74">
        <v>0</v>
      </c>
      <c r="Z546" s="74">
        <v>0</v>
      </c>
      <c r="AA546" s="74">
        <v>1</v>
      </c>
      <c r="AB546" s="74">
        <v>0.5</v>
      </c>
      <c r="AC546" s="74">
        <v>0.92</v>
      </c>
      <c r="AD546" s="72">
        <v>0.261398176291793</v>
      </c>
      <c r="AE546" s="72">
        <v>0.921658986175115</v>
      </c>
      <c r="AF546" s="72">
        <v>0.994444444444444</v>
      </c>
      <c r="AG546" s="72">
        <v>0.808093994778068</v>
      </c>
      <c r="AH546" s="74">
        <v>0.92</v>
      </c>
      <c r="AI546" s="72">
        <v>0.951839211224877</v>
      </c>
      <c r="AJ546" s="72">
        <v>0.953725490196078</v>
      </c>
      <c r="AK546" s="72">
        <v>0.967320261437909</v>
      </c>
      <c r="AL546" s="72">
        <v>0.967535661583866</v>
      </c>
      <c r="AM546" s="71">
        <v>0.99</v>
      </c>
      <c r="AN546" s="76">
        <v>1</v>
      </c>
      <c r="AO546" s="76">
        <v>1</v>
      </c>
      <c r="AP546" s="76">
        <v>1</v>
      </c>
      <c r="AQ546" s="76">
        <v>1</v>
      </c>
      <c r="AR546" s="96">
        <v>0.05</v>
      </c>
      <c r="AS546" s="80">
        <v>0</v>
      </c>
      <c r="AT546" s="80">
        <v>0.2</v>
      </c>
      <c r="AU546" s="80">
        <v>0.166666666666667</v>
      </c>
      <c r="AV546" s="80">
        <v>0.0821917808219178</v>
      </c>
      <c r="AW546" s="36"/>
      <c r="AX546" s="34"/>
    </row>
    <row r="547" ht="14.5" spans="1:50">
      <c r="A547" s="32"/>
      <c r="B547" s="36"/>
      <c r="C547" s="91" t="s">
        <v>401</v>
      </c>
      <c r="D547" s="69" t="s">
        <v>19</v>
      </c>
      <c r="E547" s="92" t="s">
        <v>598</v>
      </c>
      <c r="F547" s="92" t="s">
        <v>598</v>
      </c>
      <c r="G547" s="92" t="s">
        <v>598</v>
      </c>
      <c r="H547" s="92" t="s">
        <v>598</v>
      </c>
      <c r="I547" s="71">
        <v>0.9</v>
      </c>
      <c r="J547" s="72">
        <v>0.891891891891892</v>
      </c>
      <c r="K547" s="72">
        <v>0.85</v>
      </c>
      <c r="L547" s="73">
        <v>0.928571428571429</v>
      </c>
      <c r="M547" s="72">
        <v>0.896174863387978</v>
      </c>
      <c r="N547" s="74">
        <v>0.9</v>
      </c>
      <c r="O547" s="72">
        <v>0.25</v>
      </c>
      <c r="P547" s="72">
        <v>0</v>
      </c>
      <c r="Q547" s="72">
        <v>0</v>
      </c>
      <c r="R547" s="72">
        <v>0.222222222222222</v>
      </c>
      <c r="S547" s="74">
        <v>0.9</v>
      </c>
      <c r="T547" s="72">
        <v>0</v>
      </c>
      <c r="U547" s="72">
        <v>0</v>
      </c>
      <c r="V547" s="72">
        <v>0</v>
      </c>
      <c r="W547" s="72">
        <v>0.333333333333333</v>
      </c>
      <c r="X547" s="74">
        <v>0.92</v>
      </c>
      <c r="Y547" s="74">
        <v>0</v>
      </c>
      <c r="Z547" s="74">
        <v>0</v>
      </c>
      <c r="AA547" s="74">
        <v>0</v>
      </c>
      <c r="AB547" s="74">
        <v>0</v>
      </c>
      <c r="AC547" s="74">
        <v>0.92</v>
      </c>
      <c r="AD547" s="72">
        <v>0.371069182389937</v>
      </c>
      <c r="AE547" s="72">
        <v>0.993127147766323</v>
      </c>
      <c r="AF547" s="72">
        <v>0.994117647058824</v>
      </c>
      <c r="AG547" s="72">
        <v>0.944606413994169</v>
      </c>
      <c r="AH547" s="74">
        <v>0.92</v>
      </c>
      <c r="AI547" s="72">
        <v>0.943956304915697</v>
      </c>
      <c r="AJ547" s="72">
        <v>0.961921799131101</v>
      </c>
      <c r="AK547" s="72">
        <v>0.960420032310178</v>
      </c>
      <c r="AL547" s="72">
        <v>0.96453426869328</v>
      </c>
      <c r="AM547" s="71">
        <v>0.99</v>
      </c>
      <c r="AN547" s="76">
        <v>1</v>
      </c>
      <c r="AO547" s="76">
        <v>1</v>
      </c>
      <c r="AP547" s="76">
        <v>1</v>
      </c>
      <c r="AQ547" s="76">
        <v>1</v>
      </c>
      <c r="AR547" s="96">
        <v>0.05</v>
      </c>
      <c r="AS547" s="80">
        <v>0</v>
      </c>
      <c r="AT547" s="80">
        <v>0.0526315789473684</v>
      </c>
      <c r="AU547" s="80">
        <v>0.0769230769230769</v>
      </c>
      <c r="AV547" s="80">
        <v>0.0476190476190476</v>
      </c>
      <c r="AW547" s="36"/>
      <c r="AX547" s="34"/>
    </row>
    <row r="548" ht="14.5" spans="1:50">
      <c r="A548" s="32"/>
      <c r="B548" s="36"/>
      <c r="C548" s="91" t="s">
        <v>401</v>
      </c>
      <c r="D548" s="69" t="s">
        <v>19</v>
      </c>
      <c r="E548" s="92" t="s">
        <v>599</v>
      </c>
      <c r="F548" s="92" t="s">
        <v>599</v>
      </c>
      <c r="G548" s="92" t="s">
        <v>599</v>
      </c>
      <c r="H548" s="92" t="s">
        <v>599</v>
      </c>
      <c r="I548" s="71">
        <v>0.9</v>
      </c>
      <c r="J548" s="72">
        <v>0.942307692307692</v>
      </c>
      <c r="K548" s="72">
        <v>0.903846153846154</v>
      </c>
      <c r="L548" s="73">
        <v>0.879310344827586</v>
      </c>
      <c r="M548" s="72">
        <v>0.894308943089431</v>
      </c>
      <c r="N548" s="74">
        <v>0.9</v>
      </c>
      <c r="O548" s="72">
        <v>0</v>
      </c>
      <c r="P548" s="72">
        <v>0</v>
      </c>
      <c r="Q548" s="72">
        <v>0</v>
      </c>
      <c r="R548" s="72">
        <v>0.166666666666667</v>
      </c>
      <c r="S548" s="74">
        <v>0.9</v>
      </c>
      <c r="T548" s="72">
        <v>0</v>
      </c>
      <c r="U548" s="72">
        <v>0</v>
      </c>
      <c r="V548" s="72">
        <v>0</v>
      </c>
      <c r="W548" s="72">
        <v>0.166666666666667</v>
      </c>
      <c r="X548" s="74">
        <v>0.92</v>
      </c>
      <c r="Y548" s="74">
        <v>0</v>
      </c>
      <c r="Z548" s="74">
        <v>0</v>
      </c>
      <c r="AA548" s="74">
        <v>0</v>
      </c>
      <c r="AB548" s="74">
        <v>0.166666666666667</v>
      </c>
      <c r="AC548" s="74">
        <v>0.92</v>
      </c>
      <c r="AD548" s="72">
        <v>0.987261146496815</v>
      </c>
      <c r="AE548" s="72">
        <v>0.981308411214953</v>
      </c>
      <c r="AF548" s="72">
        <v>0.985781990521327</v>
      </c>
      <c r="AG548" s="72">
        <v>0.988197424892704</v>
      </c>
      <c r="AH548" s="74">
        <v>0.92</v>
      </c>
      <c r="AI548" s="72">
        <v>0.964266946925906</v>
      </c>
      <c r="AJ548" s="72">
        <v>0.976416963931827</v>
      </c>
      <c r="AK548" s="72">
        <v>0.984655764183323</v>
      </c>
      <c r="AL548" s="72">
        <v>0.969622246627572</v>
      </c>
      <c r="AM548" s="71">
        <v>0.99</v>
      </c>
      <c r="AN548" s="76">
        <v>1</v>
      </c>
      <c r="AO548" s="76">
        <v>1</v>
      </c>
      <c r="AP548" s="76">
        <v>1</v>
      </c>
      <c r="AQ548" s="76">
        <v>1</v>
      </c>
      <c r="AR548" s="96">
        <v>0.05</v>
      </c>
      <c r="AS548" s="80">
        <v>0</v>
      </c>
      <c r="AT548" s="80">
        <v>0</v>
      </c>
      <c r="AU548" s="80">
        <v>0</v>
      </c>
      <c r="AV548" s="80">
        <v>0.0252100840336134</v>
      </c>
      <c r="AW548" s="36"/>
      <c r="AX548" s="34"/>
    </row>
    <row r="549" ht="14.5" spans="1:50">
      <c r="A549" s="32"/>
      <c r="B549" s="36"/>
      <c r="C549" s="91" t="s">
        <v>401</v>
      </c>
      <c r="D549" s="69" t="s">
        <v>19</v>
      </c>
      <c r="E549" s="92" t="s">
        <v>600</v>
      </c>
      <c r="F549" s="92" t="s">
        <v>600</v>
      </c>
      <c r="G549" s="92" t="s">
        <v>600</v>
      </c>
      <c r="H549" s="92" t="s">
        <v>600</v>
      </c>
      <c r="I549" s="71">
        <v>0.9</v>
      </c>
      <c r="J549" s="72">
        <v>1</v>
      </c>
      <c r="K549" s="72">
        <v>0.980392156862745</v>
      </c>
      <c r="L549" s="73">
        <v>1</v>
      </c>
      <c r="M549" s="72">
        <v>0.960474308300395</v>
      </c>
      <c r="N549" s="74">
        <v>0.9</v>
      </c>
      <c r="O549" s="72">
        <v>0.976907959384212</v>
      </c>
      <c r="P549" s="72">
        <v>0.965471226021685</v>
      </c>
      <c r="Q549" s="72">
        <v>0.980717639168343</v>
      </c>
      <c r="R549" s="72">
        <v>0.977416912983923</v>
      </c>
      <c r="S549" s="74">
        <v>0.9</v>
      </c>
      <c r="T549" s="72">
        <v>0.929086144775631</v>
      </c>
      <c r="U549" s="72">
        <v>0.911759799833194</v>
      </c>
      <c r="V549" s="72">
        <v>0.959926224010731</v>
      </c>
      <c r="W549" s="72">
        <v>0.929565280080744</v>
      </c>
      <c r="X549" s="74">
        <v>0.92</v>
      </c>
      <c r="Y549" s="74">
        <v>0</v>
      </c>
      <c r="Z549" s="74">
        <v>0</v>
      </c>
      <c r="AA549" s="74">
        <v>0</v>
      </c>
      <c r="AB549" s="74">
        <v>0</v>
      </c>
      <c r="AC549" s="74">
        <v>0.92</v>
      </c>
      <c r="AD549" s="72">
        <v>0.749454148471616</v>
      </c>
      <c r="AE549" s="72">
        <v>0.996866754617414</v>
      </c>
      <c r="AF549" s="72">
        <v>0.990458654168062</v>
      </c>
      <c r="AG549" s="72">
        <v>0.962877030162413</v>
      </c>
      <c r="AH549" s="74">
        <v>0.92</v>
      </c>
      <c r="AI549" s="72">
        <v>0.974317029281858</v>
      </c>
      <c r="AJ549" s="72">
        <v>0.95084971676108</v>
      </c>
      <c r="AK549" s="72">
        <v>0.985084632143456</v>
      </c>
      <c r="AL549" s="72">
        <v>0.973463762633087</v>
      </c>
      <c r="AM549" s="71">
        <v>0.99</v>
      </c>
      <c r="AN549" s="76">
        <v>1</v>
      </c>
      <c r="AO549" s="76">
        <v>1</v>
      </c>
      <c r="AP549" s="76">
        <v>1</v>
      </c>
      <c r="AQ549" s="76">
        <v>1</v>
      </c>
      <c r="AR549" s="96">
        <v>0.05</v>
      </c>
      <c r="AS549" s="80">
        <v>0.0689655172413793</v>
      </c>
      <c r="AT549" s="80">
        <v>0</v>
      </c>
      <c r="AU549" s="80">
        <v>0.12</v>
      </c>
      <c r="AV549" s="80">
        <v>0.0562248995983936</v>
      </c>
      <c r="AW549" s="36"/>
      <c r="AX549" s="34"/>
    </row>
    <row r="550" ht="14.5" spans="1:50">
      <c r="A550" s="32"/>
      <c r="B550" s="36"/>
      <c r="C550" s="91" t="s">
        <v>401</v>
      </c>
      <c r="D550" s="69" t="s">
        <v>19</v>
      </c>
      <c r="E550" s="92" t="s">
        <v>601</v>
      </c>
      <c r="F550" s="92" t="s">
        <v>601</v>
      </c>
      <c r="G550" s="92" t="s">
        <v>601</v>
      </c>
      <c r="H550" s="92" t="s">
        <v>601</v>
      </c>
      <c r="I550" s="71">
        <v>0.9</v>
      </c>
      <c r="J550" s="72">
        <v>0.983870967741935</v>
      </c>
      <c r="K550" s="72">
        <v>0.984615384615385</v>
      </c>
      <c r="L550" s="73">
        <v>0.970588235294118</v>
      </c>
      <c r="M550" s="72">
        <v>0.976027397260274</v>
      </c>
      <c r="N550" s="74">
        <v>0.9</v>
      </c>
      <c r="O550" s="72">
        <v>1</v>
      </c>
      <c r="P550" s="72">
        <v>1</v>
      </c>
      <c r="Q550" s="72">
        <v>0.961538461538462</v>
      </c>
      <c r="R550" s="72">
        <v>0.979591836734694</v>
      </c>
      <c r="S550" s="74">
        <v>0.9</v>
      </c>
      <c r="T550" s="72">
        <v>1</v>
      </c>
      <c r="U550" s="72">
        <v>1</v>
      </c>
      <c r="V550" s="72">
        <v>0.961538461538462</v>
      </c>
      <c r="W550" s="72">
        <v>0.979591836734694</v>
      </c>
      <c r="X550" s="74">
        <v>0.92</v>
      </c>
      <c r="Y550" s="74">
        <v>0</v>
      </c>
      <c r="Z550" s="74">
        <v>0</v>
      </c>
      <c r="AA550" s="74">
        <v>0</v>
      </c>
      <c r="AB550" s="74">
        <v>0.818181818181818</v>
      </c>
      <c r="AC550" s="74">
        <v>0.92</v>
      </c>
      <c r="AD550" s="72">
        <v>0.979724837074584</v>
      </c>
      <c r="AE550" s="72">
        <v>0.999228395061728</v>
      </c>
      <c r="AF550" s="72">
        <v>0.964285714285714</v>
      </c>
      <c r="AG550" s="72">
        <v>0.98749433620299</v>
      </c>
      <c r="AH550" s="74">
        <v>0.92</v>
      </c>
      <c r="AI550" s="72">
        <v>0.950451722190853</v>
      </c>
      <c r="AJ550" s="72">
        <v>0.968297101449275</v>
      </c>
      <c r="AK550" s="72">
        <v>0.970896211887897</v>
      </c>
      <c r="AL550" s="72">
        <v>0.965776865160849</v>
      </c>
      <c r="AM550" s="71">
        <v>0.99</v>
      </c>
      <c r="AN550" s="76">
        <v>1</v>
      </c>
      <c r="AO550" s="76">
        <v>1</v>
      </c>
      <c r="AP550" s="76">
        <v>1</v>
      </c>
      <c r="AQ550" s="76">
        <v>1</v>
      </c>
      <c r="AR550" s="96">
        <v>0.05</v>
      </c>
      <c r="AS550" s="80">
        <v>0</v>
      </c>
      <c r="AT550" s="80">
        <v>0</v>
      </c>
      <c r="AU550" s="80">
        <v>1.18478260869565</v>
      </c>
      <c r="AV550" s="80">
        <v>0.114563106796117</v>
      </c>
      <c r="AW550" s="36"/>
      <c r="AX550" s="34"/>
    </row>
    <row r="551" ht="14.5" spans="1:50">
      <c r="A551" s="32"/>
      <c r="B551" s="36"/>
      <c r="C551" s="91" t="s">
        <v>401</v>
      </c>
      <c r="D551" s="69" t="s">
        <v>19</v>
      </c>
      <c r="E551" s="92" t="s">
        <v>602</v>
      </c>
      <c r="F551" s="92" t="s">
        <v>602</v>
      </c>
      <c r="G551" s="92" t="s">
        <v>602</v>
      </c>
      <c r="H551" s="92" t="s">
        <v>602</v>
      </c>
      <c r="I551" s="71">
        <v>0.9</v>
      </c>
      <c r="J551" s="72">
        <v>0.921052631578947</v>
      </c>
      <c r="K551" s="72">
        <v>0.975</v>
      </c>
      <c r="L551" s="73">
        <v>0.918918918918919</v>
      </c>
      <c r="M551" s="72">
        <v>0.954802259887006</v>
      </c>
      <c r="N551" s="74">
        <v>0.9</v>
      </c>
      <c r="O551" s="72">
        <v>1</v>
      </c>
      <c r="P551" s="72">
        <v>1</v>
      </c>
      <c r="Q551" s="72">
        <v>1</v>
      </c>
      <c r="R551" s="72">
        <v>0.777777777777778</v>
      </c>
      <c r="S551" s="74">
        <v>0.9</v>
      </c>
      <c r="T551" s="72">
        <v>1</v>
      </c>
      <c r="U551" s="72">
        <v>1</v>
      </c>
      <c r="V551" s="72">
        <v>1</v>
      </c>
      <c r="W551" s="72">
        <v>0.833333333333333</v>
      </c>
      <c r="X551" s="74">
        <v>0.92</v>
      </c>
      <c r="Y551" s="74">
        <v>0</v>
      </c>
      <c r="Z551" s="74">
        <v>0</v>
      </c>
      <c r="AA551" s="74">
        <v>0</v>
      </c>
      <c r="AB551" s="74">
        <v>0</v>
      </c>
      <c r="AC551" s="74">
        <v>0.92</v>
      </c>
      <c r="AD551" s="72">
        <v>0.995073891625616</v>
      </c>
      <c r="AE551" s="72">
        <v>0.997245179063361</v>
      </c>
      <c r="AF551" s="72">
        <v>0.986138613861386</v>
      </c>
      <c r="AG551" s="72">
        <v>0.991166685786394</v>
      </c>
      <c r="AH551" s="74">
        <v>0.92</v>
      </c>
      <c r="AI551" s="72">
        <v>0.973235195717631</v>
      </c>
      <c r="AJ551" s="72">
        <v>0.970224155235865</v>
      </c>
      <c r="AK551" s="72">
        <v>0.972379603399433</v>
      </c>
      <c r="AL551" s="72">
        <v>0.974106131989336</v>
      </c>
      <c r="AM551" s="71">
        <v>0.99</v>
      </c>
      <c r="AN551" s="76">
        <v>1</v>
      </c>
      <c r="AO551" s="76">
        <v>1</v>
      </c>
      <c r="AP551" s="76">
        <v>1</v>
      </c>
      <c r="AQ551" s="76">
        <v>1</v>
      </c>
      <c r="AR551" s="96">
        <v>0.05</v>
      </c>
      <c r="AS551" s="80">
        <v>0</v>
      </c>
      <c r="AT551" s="80">
        <v>0.0833333333333333</v>
      </c>
      <c r="AU551" s="80">
        <v>0</v>
      </c>
      <c r="AV551" s="80">
        <v>0.0555555555555556</v>
      </c>
      <c r="AW551" s="36"/>
      <c r="AX551" s="34"/>
    </row>
    <row r="552" ht="14.5" spans="1:50">
      <c r="A552" s="32"/>
      <c r="B552" s="36"/>
      <c r="C552" s="91" t="s">
        <v>401</v>
      </c>
      <c r="D552" s="69" t="s">
        <v>19</v>
      </c>
      <c r="E552" s="92" t="s">
        <v>603</v>
      </c>
      <c r="F552" s="92" t="s">
        <v>603</v>
      </c>
      <c r="G552" s="92" t="s">
        <v>603</v>
      </c>
      <c r="H552" s="92" t="s">
        <v>603</v>
      </c>
      <c r="I552" s="71">
        <v>0.9</v>
      </c>
      <c r="J552" s="72">
        <v>0.936170212765957</v>
      </c>
      <c r="K552" s="72">
        <v>0.907407407407407</v>
      </c>
      <c r="L552" s="73">
        <v>0.92156862745098</v>
      </c>
      <c r="M552" s="72">
        <v>0.919213973799127</v>
      </c>
      <c r="N552" s="74">
        <v>0.9</v>
      </c>
      <c r="O552" s="72">
        <v>0</v>
      </c>
      <c r="P552" s="72">
        <v>0</v>
      </c>
      <c r="Q552" s="72">
        <v>0</v>
      </c>
      <c r="R552" s="72">
        <v>1</v>
      </c>
      <c r="S552" s="74">
        <v>0.9</v>
      </c>
      <c r="T552" s="72">
        <v>0</v>
      </c>
      <c r="U552" s="72">
        <v>0</v>
      </c>
      <c r="V552" s="72">
        <v>0</v>
      </c>
      <c r="W552" s="72">
        <v>0</v>
      </c>
      <c r="X552" s="74">
        <v>0.92</v>
      </c>
      <c r="Y552" s="74">
        <v>0</v>
      </c>
      <c r="Z552" s="74">
        <v>0</v>
      </c>
      <c r="AA552" s="74">
        <v>0</v>
      </c>
      <c r="AB552" s="74">
        <v>0</v>
      </c>
      <c r="AC552" s="74">
        <v>0.92</v>
      </c>
      <c r="AD552" s="72">
        <v>0.320777642770352</v>
      </c>
      <c r="AE552" s="72">
        <v>0.995994659546061</v>
      </c>
      <c r="AF552" s="72">
        <v>0.998248686514886</v>
      </c>
      <c r="AG552" s="72">
        <v>0.90395942408377</v>
      </c>
      <c r="AH552" s="74">
        <v>0.92</v>
      </c>
      <c r="AI552" s="72">
        <v>0.963786531130877</v>
      </c>
      <c r="AJ552" s="72">
        <v>0.957794584044889</v>
      </c>
      <c r="AK552" s="72">
        <v>0.961927710843373</v>
      </c>
      <c r="AL552" s="72">
        <v>0.968515250819259</v>
      </c>
      <c r="AM552" s="71">
        <v>0.99</v>
      </c>
      <c r="AN552" s="76">
        <v>1</v>
      </c>
      <c r="AO552" s="76">
        <v>1</v>
      </c>
      <c r="AP552" s="76">
        <v>1</v>
      </c>
      <c r="AQ552" s="76">
        <v>1</v>
      </c>
      <c r="AR552" s="96">
        <v>0.05</v>
      </c>
      <c r="AS552" s="80">
        <v>0</v>
      </c>
      <c r="AT552" s="80">
        <v>0</v>
      </c>
      <c r="AU552" s="80">
        <v>0.0588235294117647</v>
      </c>
      <c r="AV552" s="80">
        <v>0.0458715596330275</v>
      </c>
      <c r="AW552" s="36"/>
      <c r="AX552" s="34"/>
    </row>
    <row r="553" ht="14.5" spans="1:50">
      <c r="A553" s="32"/>
      <c r="B553" s="36"/>
      <c r="C553" s="91" t="s">
        <v>401</v>
      </c>
      <c r="D553" s="69" t="s">
        <v>19</v>
      </c>
      <c r="E553" s="92" t="s">
        <v>604</v>
      </c>
      <c r="F553" s="92" t="s">
        <v>604</v>
      </c>
      <c r="G553" s="92" t="s">
        <v>604</v>
      </c>
      <c r="H553" s="92" t="s">
        <v>604</v>
      </c>
      <c r="I553" s="71">
        <v>0.9</v>
      </c>
      <c r="J553" s="72">
        <v>0.880597014925373</v>
      </c>
      <c r="K553" s="72">
        <v>0.907692307692308</v>
      </c>
      <c r="L553" s="73">
        <v>0.885245901639344</v>
      </c>
      <c r="M553" s="72">
        <v>0.904159132007233</v>
      </c>
      <c r="N553" s="74">
        <v>0.9</v>
      </c>
      <c r="O553" s="72">
        <v>0.5</v>
      </c>
      <c r="P553" s="72">
        <v>0.666666666666667</v>
      </c>
      <c r="Q553" s="72">
        <v>1</v>
      </c>
      <c r="R553" s="72">
        <v>0.454545454545455</v>
      </c>
      <c r="S553" s="74">
        <v>0.9</v>
      </c>
      <c r="T553" s="72">
        <v>0</v>
      </c>
      <c r="U553" s="72">
        <v>0</v>
      </c>
      <c r="V553" s="72">
        <v>0.5</v>
      </c>
      <c r="W553" s="72">
        <v>0.272727272727273</v>
      </c>
      <c r="X553" s="74">
        <v>0.92</v>
      </c>
      <c r="Y553" s="74">
        <v>0</v>
      </c>
      <c r="Z553" s="74">
        <v>0</v>
      </c>
      <c r="AA553" s="74">
        <v>0</v>
      </c>
      <c r="AB553" s="74">
        <v>0</v>
      </c>
      <c r="AC553" s="74">
        <v>0.92</v>
      </c>
      <c r="AD553" s="72">
        <v>0.978593272171254</v>
      </c>
      <c r="AE553" s="72">
        <v>0.92326139088729</v>
      </c>
      <c r="AF553" s="72">
        <v>0.99737532808399</v>
      </c>
      <c r="AG553" s="72">
        <v>0.981510015408321</v>
      </c>
      <c r="AH553" s="74">
        <v>0.92</v>
      </c>
      <c r="AI553" s="72">
        <v>0.97704330836861</v>
      </c>
      <c r="AJ553" s="72">
        <v>0.97670345069189</v>
      </c>
      <c r="AK553" s="72">
        <v>0.964565587734242</v>
      </c>
      <c r="AL553" s="72">
        <v>0.970199098490793</v>
      </c>
      <c r="AM553" s="71">
        <v>0.99</v>
      </c>
      <c r="AN553" s="76">
        <v>1</v>
      </c>
      <c r="AO553" s="76">
        <v>1</v>
      </c>
      <c r="AP553" s="76">
        <v>1</v>
      </c>
      <c r="AQ553" s="76">
        <v>1</v>
      </c>
      <c r="AR553" s="96">
        <v>0.05</v>
      </c>
      <c r="AS553" s="80">
        <v>0</v>
      </c>
      <c r="AT553" s="80">
        <v>0.0625</v>
      </c>
      <c r="AU553" s="80">
        <v>0.0588235294117647</v>
      </c>
      <c r="AV553" s="80">
        <v>0.0470588235294118</v>
      </c>
      <c r="AW553" s="36"/>
      <c r="AX553" s="34"/>
    </row>
    <row r="554" ht="14.5" spans="1:50">
      <c r="A554" s="32"/>
      <c r="B554" s="36"/>
      <c r="C554" s="91" t="s">
        <v>401</v>
      </c>
      <c r="D554" s="69" t="s">
        <v>19</v>
      </c>
      <c r="E554" s="92" t="s">
        <v>605</v>
      </c>
      <c r="F554" s="92" t="s">
        <v>605</v>
      </c>
      <c r="G554" s="92" t="s">
        <v>605</v>
      </c>
      <c r="H554" s="92" t="s">
        <v>605</v>
      </c>
      <c r="I554" s="71">
        <v>0.9</v>
      </c>
      <c r="J554" s="72">
        <v>1</v>
      </c>
      <c r="K554" s="72">
        <v>0.979166666666667</v>
      </c>
      <c r="L554" s="73">
        <v>1</v>
      </c>
      <c r="M554" s="72">
        <v>0.976525821596244</v>
      </c>
      <c r="N554" s="74">
        <v>0.9</v>
      </c>
      <c r="O554" s="72">
        <v>0.949341021416804</v>
      </c>
      <c r="P554" s="72">
        <v>0.954186413902054</v>
      </c>
      <c r="Q554" s="72">
        <v>0.97910592808552</v>
      </c>
      <c r="R554" s="72">
        <v>0.966819608790147</v>
      </c>
      <c r="S554" s="74">
        <v>0.9</v>
      </c>
      <c r="T554" s="72">
        <v>0.948105436573311</v>
      </c>
      <c r="U554" s="72">
        <v>0.933649289099526</v>
      </c>
      <c r="V554" s="72">
        <v>0.965500485908649</v>
      </c>
      <c r="W554" s="72">
        <v>0.944119777831442</v>
      </c>
      <c r="X554" s="74">
        <v>0.92</v>
      </c>
      <c r="Y554" s="74">
        <v>0.936655405405405</v>
      </c>
      <c r="Z554" s="74">
        <v>0.909433962264151</v>
      </c>
      <c r="AA554" s="74">
        <v>0.966594045025418</v>
      </c>
      <c r="AB554" s="74">
        <v>0.934808736375316</v>
      </c>
      <c r="AC554" s="74">
        <v>0.92</v>
      </c>
      <c r="AD554" s="72">
        <v>0.964788732394366</v>
      </c>
      <c r="AE554" s="72">
        <v>0.98469387755102</v>
      </c>
      <c r="AF554" s="72">
        <v>0.984126984126984</v>
      </c>
      <c r="AG554" s="72">
        <v>0.977602905569007</v>
      </c>
      <c r="AH554" s="74">
        <v>0.92</v>
      </c>
      <c r="AI554" s="72">
        <v>0.962685011465499</v>
      </c>
      <c r="AJ554" s="72">
        <v>0.933280850226333</v>
      </c>
      <c r="AK554" s="72">
        <v>0.978414279784143</v>
      </c>
      <c r="AL554" s="72">
        <v>0.957857906935283</v>
      </c>
      <c r="AM554" s="71">
        <v>0.99</v>
      </c>
      <c r="AN554" s="76">
        <v>1</v>
      </c>
      <c r="AO554" s="76">
        <v>1</v>
      </c>
      <c r="AP554" s="76">
        <v>1</v>
      </c>
      <c r="AQ554" s="76">
        <v>1</v>
      </c>
      <c r="AR554" s="96">
        <v>0.05</v>
      </c>
      <c r="AS554" s="80">
        <v>0</v>
      </c>
      <c r="AT554" s="80">
        <v>0</v>
      </c>
      <c r="AU554" s="80">
        <v>0.125</v>
      </c>
      <c r="AV554" s="80">
        <v>0.0357142857142857</v>
      </c>
      <c r="AW554" s="36"/>
      <c r="AX554" s="34"/>
    </row>
    <row r="555" ht="14.5" spans="1:50">
      <c r="A555" s="32"/>
      <c r="B555" s="36"/>
      <c r="C555" s="91" t="s">
        <v>401</v>
      </c>
      <c r="D555" s="69" t="s">
        <v>19</v>
      </c>
      <c r="E555" s="92" t="s">
        <v>606</v>
      </c>
      <c r="F555" s="92" t="s">
        <v>606</v>
      </c>
      <c r="G555" s="92" t="s">
        <v>606</v>
      </c>
      <c r="H555" s="92" t="s">
        <v>606</v>
      </c>
      <c r="I555" s="71">
        <v>0.9</v>
      </c>
      <c r="J555" s="72">
        <v>0.984375</v>
      </c>
      <c r="K555" s="72">
        <v>1</v>
      </c>
      <c r="L555" s="73">
        <v>0.953846153846154</v>
      </c>
      <c r="M555" s="72">
        <v>0.98122866894198</v>
      </c>
      <c r="N555" s="74">
        <v>0.9</v>
      </c>
      <c r="O555" s="72">
        <v>0.972557628979144</v>
      </c>
      <c r="P555" s="72">
        <v>0.980152027027027</v>
      </c>
      <c r="Q555" s="72">
        <v>0.980311730926989</v>
      </c>
      <c r="R555" s="72">
        <v>0.980465935473541</v>
      </c>
      <c r="S555" s="74">
        <v>0.9</v>
      </c>
      <c r="T555" s="72">
        <v>0.934870106110501</v>
      </c>
      <c r="U555" s="72">
        <v>0.941300675675676</v>
      </c>
      <c r="V555" s="72">
        <v>0.942165709598031</v>
      </c>
      <c r="W555" s="72">
        <v>0.941037547033864</v>
      </c>
      <c r="X555" s="74">
        <v>0.92</v>
      </c>
      <c r="Y555" s="74">
        <v>0.946276910922378</v>
      </c>
      <c r="Z555" s="74">
        <v>0.965413231449829</v>
      </c>
      <c r="AA555" s="74">
        <v>0.965942954448702</v>
      </c>
      <c r="AB555" s="74">
        <v>0.964078068080384</v>
      </c>
      <c r="AC555" s="74">
        <v>0.92</v>
      </c>
      <c r="AD555" s="72">
        <v>0.990502035278155</v>
      </c>
      <c r="AE555" s="72">
        <v>1</v>
      </c>
      <c r="AF555" s="72">
        <v>1</v>
      </c>
      <c r="AG555" s="72">
        <v>0.998892426969403</v>
      </c>
      <c r="AH555" s="74">
        <v>0.92</v>
      </c>
      <c r="AI555" s="72">
        <v>0.95695067264574</v>
      </c>
      <c r="AJ555" s="72">
        <v>0.972105048305892</v>
      </c>
      <c r="AK555" s="72">
        <v>0.974409173542162</v>
      </c>
      <c r="AL555" s="72">
        <v>0.972868566618567</v>
      </c>
      <c r="AM555" s="71">
        <v>0.99</v>
      </c>
      <c r="AN555" s="76">
        <v>1</v>
      </c>
      <c r="AO555" s="76">
        <v>1</v>
      </c>
      <c r="AP555" s="76">
        <v>1</v>
      </c>
      <c r="AQ555" s="76">
        <v>1</v>
      </c>
      <c r="AR555" s="96">
        <v>0.05</v>
      </c>
      <c r="AS555" s="80">
        <v>0</v>
      </c>
      <c r="AT555" s="80">
        <v>0.0833333333333333</v>
      </c>
      <c r="AU555" s="80">
        <v>0.0526315789473684</v>
      </c>
      <c r="AV555" s="80">
        <v>0.0414746543778802</v>
      </c>
      <c r="AW555" s="36"/>
      <c r="AX555" s="34"/>
    </row>
    <row r="556" ht="14.5" spans="1:50">
      <c r="A556" s="32"/>
      <c r="B556" s="36"/>
      <c r="C556" s="91" t="s">
        <v>401</v>
      </c>
      <c r="D556" s="69" t="s">
        <v>19</v>
      </c>
      <c r="E556" s="92" t="s">
        <v>607</v>
      </c>
      <c r="F556" s="92" t="s">
        <v>607</v>
      </c>
      <c r="G556" s="92" t="s">
        <v>607</v>
      </c>
      <c r="H556" s="92" t="s">
        <v>607</v>
      </c>
      <c r="I556" s="71">
        <v>0.9</v>
      </c>
      <c r="J556" s="72">
        <v>0.840909090909091</v>
      </c>
      <c r="K556" s="72">
        <v>0.875</v>
      </c>
      <c r="L556" s="73">
        <v>0.962264150943396</v>
      </c>
      <c r="M556" s="72">
        <v>0.875</v>
      </c>
      <c r="N556" s="74">
        <v>0.9</v>
      </c>
      <c r="O556" s="72">
        <v>0.89857433808554</v>
      </c>
      <c r="P556" s="72">
        <v>0.925720060636685</v>
      </c>
      <c r="Q556" s="72">
        <v>0.944469124833407</v>
      </c>
      <c r="R556" s="72">
        <v>0.944021594831401</v>
      </c>
      <c r="S556" s="74">
        <v>0.9</v>
      </c>
      <c r="T556" s="72">
        <v>0.845213849287169</v>
      </c>
      <c r="U556" s="72">
        <v>0.907023749368368</v>
      </c>
      <c r="V556" s="72">
        <v>0.920479786761439</v>
      </c>
      <c r="W556" s="72">
        <v>0.891716081069121</v>
      </c>
      <c r="X556" s="74">
        <v>0.92</v>
      </c>
      <c r="Y556" s="74">
        <v>0.874156545209177</v>
      </c>
      <c r="Z556" s="74">
        <v>0.904084158415842</v>
      </c>
      <c r="AA556" s="74">
        <v>0.890832523485585</v>
      </c>
      <c r="AB556" s="74">
        <v>0.900025615691441</v>
      </c>
      <c r="AC556" s="74">
        <v>0.92</v>
      </c>
      <c r="AD556" s="72">
        <v>0.97752808988764</v>
      </c>
      <c r="AE556" s="72">
        <v>0.966101694915254</v>
      </c>
      <c r="AF556" s="72">
        <v>0.974025974025974</v>
      </c>
      <c r="AG556" s="72">
        <v>0.938307030129125</v>
      </c>
      <c r="AH556" s="74">
        <v>0.92</v>
      </c>
      <c r="AI556" s="72">
        <v>0.907967539653264</v>
      </c>
      <c r="AJ556" s="72">
        <v>0.930558219835028</v>
      </c>
      <c r="AK556" s="72">
        <v>0.929958909226746</v>
      </c>
      <c r="AL556" s="72">
        <v>0.934316058963538</v>
      </c>
      <c r="AM556" s="71">
        <v>0.99</v>
      </c>
      <c r="AN556" s="76">
        <v>1</v>
      </c>
      <c r="AO556" s="76">
        <v>1</v>
      </c>
      <c r="AP556" s="76">
        <v>1</v>
      </c>
      <c r="AQ556" s="76">
        <v>1</v>
      </c>
      <c r="AR556" s="96">
        <v>0.05</v>
      </c>
      <c r="AS556" s="80">
        <v>0.125</v>
      </c>
      <c r="AT556" s="80">
        <v>0.0588235294117647</v>
      </c>
      <c r="AU556" s="80">
        <v>0</v>
      </c>
      <c r="AV556" s="80">
        <v>0.0743243243243243</v>
      </c>
      <c r="AW556" s="36"/>
      <c r="AX556" s="34"/>
    </row>
    <row r="557" ht="14.5" spans="1:50">
      <c r="A557" s="32"/>
      <c r="B557" s="36"/>
      <c r="C557" s="91" t="s">
        <v>401</v>
      </c>
      <c r="D557" s="69" t="s">
        <v>19</v>
      </c>
      <c r="E557" s="92" t="s">
        <v>608</v>
      </c>
      <c r="F557" s="92" t="s">
        <v>608</v>
      </c>
      <c r="G557" s="92" t="s">
        <v>608</v>
      </c>
      <c r="H557" s="92" t="s">
        <v>608</v>
      </c>
      <c r="I557" s="71">
        <v>0.9</v>
      </c>
      <c r="J557" s="72">
        <v>0.954545454545455</v>
      </c>
      <c r="K557" s="72">
        <v>0.880597014925373</v>
      </c>
      <c r="L557" s="73">
        <v>0.888888888888889</v>
      </c>
      <c r="M557" s="72">
        <v>0.928909952606635</v>
      </c>
      <c r="N557" s="74">
        <v>0.9</v>
      </c>
      <c r="O557" s="72">
        <v>0.968329847624739</v>
      </c>
      <c r="P557" s="72">
        <v>0.97684515195369</v>
      </c>
      <c r="Q557" s="72">
        <v>0.98390636430139</v>
      </c>
      <c r="R557" s="72">
        <v>0.979045979674931</v>
      </c>
      <c r="S557" s="74">
        <v>0.9</v>
      </c>
      <c r="T557" s="72">
        <v>0.921720944129071</v>
      </c>
      <c r="U557" s="72">
        <v>0.939218523878437</v>
      </c>
      <c r="V557" s="72">
        <v>0.95171909290417</v>
      </c>
      <c r="W557" s="72">
        <v>0.944586050514747</v>
      </c>
      <c r="X557" s="74">
        <v>0.92</v>
      </c>
      <c r="Y557" s="74">
        <v>0.913632514817951</v>
      </c>
      <c r="Z557" s="74">
        <v>0.948905109489051</v>
      </c>
      <c r="AA557" s="74">
        <v>0.963208993357179</v>
      </c>
      <c r="AB557" s="74">
        <v>0.949368077666868</v>
      </c>
      <c r="AC557" s="74">
        <v>0.92</v>
      </c>
      <c r="AD557" s="72">
        <v>0.993355481727575</v>
      </c>
      <c r="AE557" s="72">
        <v>0.983114446529081</v>
      </c>
      <c r="AF557" s="72">
        <v>0.988993710691824</v>
      </c>
      <c r="AG557" s="72">
        <v>0.988134964775677</v>
      </c>
      <c r="AH557" s="74">
        <v>0.92</v>
      </c>
      <c r="AI557" s="72">
        <v>0.931503889369058</v>
      </c>
      <c r="AJ557" s="72">
        <v>0.957845699352346</v>
      </c>
      <c r="AK557" s="72">
        <v>0.971120389700766</v>
      </c>
      <c r="AL557" s="72">
        <v>0.962075946260966</v>
      </c>
      <c r="AM557" s="71">
        <v>0.99</v>
      </c>
      <c r="AN557" s="76">
        <v>1</v>
      </c>
      <c r="AO557" s="76">
        <v>1</v>
      </c>
      <c r="AP557" s="76">
        <v>1</v>
      </c>
      <c r="AQ557" s="76">
        <v>1</v>
      </c>
      <c r="AR557" s="96">
        <v>0.05</v>
      </c>
      <c r="AS557" s="80">
        <v>0</v>
      </c>
      <c r="AT557" s="80">
        <v>0</v>
      </c>
      <c r="AU557" s="80">
        <v>0.0487804878048781</v>
      </c>
      <c r="AV557" s="80">
        <v>0.030812324929972</v>
      </c>
      <c r="AW557" s="36"/>
      <c r="AX557" s="34"/>
    </row>
    <row r="558" ht="14.5" spans="1:50">
      <c r="A558" s="32"/>
      <c r="B558" s="36"/>
      <c r="C558" s="91" t="s">
        <v>401</v>
      </c>
      <c r="D558" s="69" t="s">
        <v>19</v>
      </c>
      <c r="E558" s="92" t="s">
        <v>609</v>
      </c>
      <c r="F558" s="92" t="s">
        <v>609</v>
      </c>
      <c r="G558" s="92" t="s">
        <v>609</v>
      </c>
      <c r="H558" s="92" t="s">
        <v>609</v>
      </c>
      <c r="I558" s="71">
        <v>0.9</v>
      </c>
      <c r="J558" s="72">
        <v>0.905660377358491</v>
      </c>
      <c r="K558" s="72">
        <v>0.8</v>
      </c>
      <c r="L558" s="73">
        <v>0.868852459016393</v>
      </c>
      <c r="M558" s="72">
        <v>0.862403100775194</v>
      </c>
      <c r="N558" s="74">
        <v>0.9</v>
      </c>
      <c r="O558" s="72">
        <v>0.977979447484319</v>
      </c>
      <c r="P558" s="72">
        <v>0.984779299847793</v>
      </c>
      <c r="Q558" s="72">
        <v>0.974976830398517</v>
      </c>
      <c r="R558" s="72">
        <v>0.952717253610337</v>
      </c>
      <c r="S558" s="74">
        <v>0.9</v>
      </c>
      <c r="T558" s="72">
        <v>0.886827705858802</v>
      </c>
      <c r="U558" s="72">
        <v>0.926788432267884</v>
      </c>
      <c r="V558" s="72">
        <v>0.927710843373494</v>
      </c>
      <c r="W558" s="72">
        <v>0.888063719280466</v>
      </c>
      <c r="X558" s="74">
        <v>0.92</v>
      </c>
      <c r="Y558" s="74">
        <v>0</v>
      </c>
      <c r="Z558" s="74">
        <v>0</v>
      </c>
      <c r="AA558" s="74">
        <v>0</v>
      </c>
      <c r="AB558" s="74">
        <v>0.363636363636364</v>
      </c>
      <c r="AC558" s="74">
        <v>0.92</v>
      </c>
      <c r="AD558" s="72">
        <v>0.901960784313726</v>
      </c>
      <c r="AE558" s="72">
        <v>0.99501246882793</v>
      </c>
      <c r="AF558" s="72">
        <v>0.991640543364681</v>
      </c>
      <c r="AG558" s="72">
        <v>0.987670408981556</v>
      </c>
      <c r="AH558" s="74">
        <v>0.92</v>
      </c>
      <c r="AI558" s="72">
        <v>0.959033893781692</v>
      </c>
      <c r="AJ558" s="72">
        <v>0.974904942965779</v>
      </c>
      <c r="AK558" s="72">
        <v>0.981309854803831</v>
      </c>
      <c r="AL558" s="72">
        <v>0.9722147459747</v>
      </c>
      <c r="AM558" s="71">
        <v>0.99</v>
      </c>
      <c r="AN558" s="76">
        <v>1</v>
      </c>
      <c r="AO558" s="76">
        <v>1</v>
      </c>
      <c r="AP558" s="76">
        <v>1</v>
      </c>
      <c r="AQ558" s="76">
        <v>1</v>
      </c>
      <c r="AR558" s="96">
        <v>0.05</v>
      </c>
      <c r="AS558" s="80">
        <v>0</v>
      </c>
      <c r="AT558" s="80">
        <v>0.037037037037037</v>
      </c>
      <c r="AU558" s="80">
        <v>0.0454545454545455</v>
      </c>
      <c r="AV558" s="80">
        <v>0.0387096774193548</v>
      </c>
      <c r="AW558" s="36"/>
      <c r="AX558" s="34"/>
    </row>
    <row r="559" ht="14.5" spans="1:50">
      <c r="A559" s="32"/>
      <c r="B559" s="36"/>
      <c r="C559" s="91" t="s">
        <v>401</v>
      </c>
      <c r="D559" s="69" t="s">
        <v>19</v>
      </c>
      <c r="E559" s="92" t="s">
        <v>610</v>
      </c>
      <c r="F559" s="92" t="s">
        <v>610</v>
      </c>
      <c r="G559" s="92" t="s">
        <v>610</v>
      </c>
      <c r="H559" s="92" t="s">
        <v>610</v>
      </c>
      <c r="I559" s="71">
        <v>0.9</v>
      </c>
      <c r="J559" s="72">
        <v>1</v>
      </c>
      <c r="K559" s="72">
        <v>0.977777777777778</v>
      </c>
      <c r="L559" s="73">
        <v>1</v>
      </c>
      <c r="M559" s="72">
        <v>0.977722772277228</v>
      </c>
      <c r="N559" s="74">
        <v>0.9</v>
      </c>
      <c r="O559" s="72">
        <v>0.912126537785589</v>
      </c>
      <c r="P559" s="72">
        <v>0.966204986149584</v>
      </c>
      <c r="Q559" s="72">
        <v>0.939876670092497</v>
      </c>
      <c r="R559" s="72">
        <v>0.94014121614501</v>
      </c>
      <c r="S559" s="74">
        <v>0.9</v>
      </c>
      <c r="T559" s="72">
        <v>0.885764499121265</v>
      </c>
      <c r="U559" s="72">
        <v>0.941828254847645</v>
      </c>
      <c r="V559" s="72">
        <v>0.932168550873587</v>
      </c>
      <c r="W559" s="72">
        <v>0.920012646221941</v>
      </c>
      <c r="X559" s="74">
        <v>0.92</v>
      </c>
      <c r="Y559" s="74">
        <v>0.920219501899536</v>
      </c>
      <c r="Z559" s="74">
        <v>0.940907492085825</v>
      </c>
      <c r="AA559" s="74">
        <v>0.933206106870229</v>
      </c>
      <c r="AB559" s="74">
        <v>0.92977026025546</v>
      </c>
      <c r="AC559" s="74">
        <v>0.92</v>
      </c>
      <c r="AD559" s="72">
        <v>0.99825479930192</v>
      </c>
      <c r="AE559" s="72">
        <v>0.998843930635838</v>
      </c>
      <c r="AF559" s="72">
        <v>0.998137802607076</v>
      </c>
      <c r="AG559" s="72">
        <v>0.996910401647786</v>
      </c>
      <c r="AH559" s="74">
        <v>0.92</v>
      </c>
      <c r="AI559" s="72">
        <v>0.928325441239776</v>
      </c>
      <c r="AJ559" s="72">
        <v>0.956774193548387</v>
      </c>
      <c r="AK559" s="72">
        <v>0.950579488300897</v>
      </c>
      <c r="AL559" s="72">
        <v>0.949697374064719</v>
      </c>
      <c r="AM559" s="71">
        <v>0.99</v>
      </c>
      <c r="AN559" s="76">
        <v>1</v>
      </c>
      <c r="AO559" s="76">
        <v>1</v>
      </c>
      <c r="AP559" s="76">
        <v>1</v>
      </c>
      <c r="AQ559" s="76">
        <v>1</v>
      </c>
      <c r="AR559" s="96">
        <v>0.05</v>
      </c>
      <c r="AS559" s="80">
        <v>0.222222222222222</v>
      </c>
      <c r="AT559" s="80">
        <v>0.2</v>
      </c>
      <c r="AU559" s="80">
        <v>0</v>
      </c>
      <c r="AV559" s="80">
        <v>0.0784313725490196</v>
      </c>
      <c r="AW559" s="36"/>
      <c r="AX559" s="34"/>
    </row>
    <row r="560" ht="14.5" spans="1:50">
      <c r="A560" s="32"/>
      <c r="B560" s="36"/>
      <c r="C560" s="91" t="s">
        <v>401</v>
      </c>
      <c r="D560" s="69" t="s">
        <v>19</v>
      </c>
      <c r="E560" s="92" t="s">
        <v>611</v>
      </c>
      <c r="F560" s="92" t="s">
        <v>611</v>
      </c>
      <c r="G560" s="92" t="s">
        <v>611</v>
      </c>
      <c r="H560" s="92" t="s">
        <v>611</v>
      </c>
      <c r="I560" s="71">
        <v>0.9</v>
      </c>
      <c r="J560" s="72">
        <v>0.939393939393939</v>
      </c>
      <c r="K560" s="72">
        <v>0.941176470588235</v>
      </c>
      <c r="L560" s="73">
        <v>0.952380952380952</v>
      </c>
      <c r="M560" s="72">
        <v>0.961538461538462</v>
      </c>
      <c r="N560" s="74">
        <v>0.9</v>
      </c>
      <c r="O560" s="72">
        <v>0.905882352941176</v>
      </c>
      <c r="P560" s="72">
        <v>0.949164851125635</v>
      </c>
      <c r="Q560" s="72">
        <v>0.941533788914199</v>
      </c>
      <c r="R560" s="72">
        <v>0.925951605075227</v>
      </c>
      <c r="S560" s="74">
        <v>0.9</v>
      </c>
      <c r="T560" s="72">
        <v>0.855727554179567</v>
      </c>
      <c r="U560" s="72">
        <v>0.899055918663762</v>
      </c>
      <c r="V560" s="72">
        <v>0.911921032649962</v>
      </c>
      <c r="W560" s="72">
        <v>0.904388823407058</v>
      </c>
      <c r="X560" s="74">
        <v>0.92</v>
      </c>
      <c r="Y560" s="74">
        <v>0.856341189674523</v>
      </c>
      <c r="Z560" s="74">
        <v>0.867891204521371</v>
      </c>
      <c r="AA560" s="74">
        <v>0.95079086115993</v>
      </c>
      <c r="AB560" s="74">
        <v>0.909561258278146</v>
      </c>
      <c r="AC560" s="74">
        <v>0.92</v>
      </c>
      <c r="AD560" s="72">
        <v>0.993377483443709</v>
      </c>
      <c r="AE560" s="72">
        <v>0.992207792207792</v>
      </c>
      <c r="AF560" s="72">
        <v>0.99320652173913</v>
      </c>
      <c r="AG560" s="72">
        <v>0.990302246646194</v>
      </c>
      <c r="AH560" s="74">
        <v>0.92</v>
      </c>
      <c r="AI560" s="72">
        <v>0.884095149253731</v>
      </c>
      <c r="AJ560" s="72">
        <v>0.897125207887859</v>
      </c>
      <c r="AK560" s="72">
        <v>0.963016330451489</v>
      </c>
      <c r="AL560" s="72">
        <v>0.932414222037939</v>
      </c>
      <c r="AM560" s="71">
        <v>0.99</v>
      </c>
      <c r="AN560" s="76">
        <v>1</v>
      </c>
      <c r="AO560" s="76">
        <v>1</v>
      </c>
      <c r="AP560" s="76">
        <v>1</v>
      </c>
      <c r="AQ560" s="76">
        <v>1</v>
      </c>
      <c r="AR560" s="96">
        <v>0.05</v>
      </c>
      <c r="AS560" s="80">
        <v>0</v>
      </c>
      <c r="AT560" s="80">
        <v>0</v>
      </c>
      <c r="AU560" s="80">
        <v>0</v>
      </c>
      <c r="AV560" s="80">
        <v>0.00833333333333333</v>
      </c>
      <c r="AW560" s="36"/>
      <c r="AX560" s="34"/>
    </row>
    <row r="561" ht="14.5" spans="1:50">
      <c r="A561" s="32"/>
      <c r="B561" s="36"/>
      <c r="C561" s="91" t="s">
        <v>401</v>
      </c>
      <c r="D561" s="69" t="s">
        <v>19</v>
      </c>
      <c r="E561" s="92" t="s">
        <v>612</v>
      </c>
      <c r="F561" s="92" t="s">
        <v>612</v>
      </c>
      <c r="G561" s="92" t="s">
        <v>612</v>
      </c>
      <c r="H561" s="92" t="s">
        <v>612</v>
      </c>
      <c r="I561" s="71">
        <v>0.9</v>
      </c>
      <c r="J561" s="72">
        <v>0.96875</v>
      </c>
      <c r="K561" s="72">
        <v>0.903225806451613</v>
      </c>
      <c r="L561" s="73">
        <v>0.925</v>
      </c>
      <c r="M561" s="72">
        <v>0.933753943217666</v>
      </c>
      <c r="N561" s="74">
        <v>0.9</v>
      </c>
      <c r="O561" s="72">
        <v>0.924528301886792</v>
      </c>
      <c r="P561" s="72">
        <v>0.907185628742515</v>
      </c>
      <c r="Q561" s="72">
        <v>0.956303724928367</v>
      </c>
      <c r="R561" s="72">
        <v>0.933903576982893</v>
      </c>
      <c r="S561" s="74">
        <v>0.9</v>
      </c>
      <c r="T561" s="72">
        <v>0.916352201257862</v>
      </c>
      <c r="U561" s="72">
        <v>0.902694610778443</v>
      </c>
      <c r="V561" s="72">
        <v>0.952005730659026</v>
      </c>
      <c r="W561" s="72">
        <v>0.931146613883783</v>
      </c>
      <c r="X561" s="74">
        <v>0.92</v>
      </c>
      <c r="Y561" s="74">
        <v>0.891921397379913</v>
      </c>
      <c r="Z561" s="74">
        <v>0.873347547974414</v>
      </c>
      <c r="AA561" s="74">
        <v>0.946360153256705</v>
      </c>
      <c r="AB561" s="74">
        <v>0.916867074770442</v>
      </c>
      <c r="AC561" s="74">
        <v>0.92</v>
      </c>
      <c r="AD561" s="72">
        <v>0.995073891625616</v>
      </c>
      <c r="AE561" s="72">
        <v>0.990936555891239</v>
      </c>
      <c r="AF561" s="72">
        <v>0.996389891696751</v>
      </c>
      <c r="AG561" s="72">
        <v>0.990677966101695</v>
      </c>
      <c r="AH561" s="74">
        <v>0.92</v>
      </c>
      <c r="AI561" s="72">
        <v>0.918468731735827</v>
      </c>
      <c r="AJ561" s="72">
        <v>0.897582178755773</v>
      </c>
      <c r="AK561" s="72">
        <v>0.960435779816514</v>
      </c>
      <c r="AL561" s="72">
        <v>0.938724584103512</v>
      </c>
      <c r="AM561" s="71">
        <v>0.99</v>
      </c>
      <c r="AN561" s="76">
        <v>1</v>
      </c>
      <c r="AO561" s="76">
        <v>1</v>
      </c>
      <c r="AP561" s="76">
        <v>1</v>
      </c>
      <c r="AQ561" s="76">
        <v>1</v>
      </c>
      <c r="AR561" s="96">
        <v>0.05</v>
      </c>
      <c r="AS561" s="80">
        <v>0</v>
      </c>
      <c r="AT561" s="80">
        <v>0</v>
      </c>
      <c r="AU561" s="80">
        <v>0.0769230769230769</v>
      </c>
      <c r="AV561" s="80">
        <v>0.0151515151515152</v>
      </c>
      <c r="AW561" s="36"/>
      <c r="AX561" s="34"/>
    </row>
    <row r="562" ht="14.5" spans="1:50">
      <c r="A562" s="32"/>
      <c r="B562" s="36"/>
      <c r="C562" s="91" t="s">
        <v>401</v>
      </c>
      <c r="D562" s="69" t="s">
        <v>19</v>
      </c>
      <c r="E562" s="92" t="s">
        <v>613</v>
      </c>
      <c r="F562" s="92" t="s">
        <v>613</v>
      </c>
      <c r="G562" s="92" t="s">
        <v>613</v>
      </c>
      <c r="H562" s="92" t="s">
        <v>613</v>
      </c>
      <c r="I562" s="71">
        <v>0.9</v>
      </c>
      <c r="J562" s="72">
        <v>1</v>
      </c>
      <c r="K562" s="72">
        <v>1</v>
      </c>
      <c r="L562" s="73">
        <v>1</v>
      </c>
      <c r="M562" s="72">
        <v>0.989010989010989</v>
      </c>
      <c r="N562" s="74">
        <v>0.9</v>
      </c>
      <c r="O562" s="72">
        <v>0.947614593077643</v>
      </c>
      <c r="P562" s="72">
        <v>0.941655359565807</v>
      </c>
      <c r="Q562" s="72">
        <v>0.951592356687898</v>
      </c>
      <c r="R562" s="72">
        <v>0.933138856476079</v>
      </c>
      <c r="S562" s="74">
        <v>0.9</v>
      </c>
      <c r="T562" s="72">
        <v>0.932647333956969</v>
      </c>
      <c r="U562" s="72">
        <v>0.92944369063772</v>
      </c>
      <c r="V562" s="72">
        <v>0.921019108280255</v>
      </c>
      <c r="W562" s="72">
        <v>0.922870478413069</v>
      </c>
      <c r="X562" s="74">
        <v>0.92</v>
      </c>
      <c r="Y562" s="74">
        <v>0.921086675291074</v>
      </c>
      <c r="Z562" s="74">
        <v>0.949704142011834</v>
      </c>
      <c r="AA562" s="74">
        <v>0.959898154042012</v>
      </c>
      <c r="AB562" s="74">
        <v>0.948734729493892</v>
      </c>
      <c r="AC562" s="74">
        <v>0.92</v>
      </c>
      <c r="AD562" s="72">
        <v>1</v>
      </c>
      <c r="AE562" s="72">
        <v>0.991341991341991</v>
      </c>
      <c r="AF562" s="72">
        <v>0.982758620689655</v>
      </c>
      <c r="AG562" s="72">
        <v>0.982248520710059</v>
      </c>
      <c r="AH562" s="74">
        <v>0.92</v>
      </c>
      <c r="AI562" s="72">
        <v>0.941491395793499</v>
      </c>
      <c r="AJ562" s="72">
        <v>0.955107084019769</v>
      </c>
      <c r="AK562" s="72">
        <v>0.969478592623993</v>
      </c>
      <c r="AL562" s="72">
        <v>0.960426179604262</v>
      </c>
      <c r="AM562" s="71">
        <v>0.99</v>
      </c>
      <c r="AN562" s="76">
        <v>1</v>
      </c>
      <c r="AO562" s="76">
        <v>1</v>
      </c>
      <c r="AP562" s="76">
        <v>1</v>
      </c>
      <c r="AQ562" s="76">
        <v>1</v>
      </c>
      <c r="AR562" s="96">
        <v>0.05</v>
      </c>
      <c r="AS562" s="80">
        <v>0</v>
      </c>
      <c r="AT562" s="80">
        <v>0</v>
      </c>
      <c r="AU562" s="80">
        <v>0</v>
      </c>
      <c r="AV562" s="80">
        <v>0.06</v>
      </c>
      <c r="AW562" s="36"/>
      <c r="AX562" s="34"/>
    </row>
    <row r="563" ht="14.5" spans="1:50">
      <c r="A563" s="32"/>
      <c r="B563" s="36"/>
      <c r="C563" s="91" t="s">
        <v>401</v>
      </c>
      <c r="D563" s="69" t="s">
        <v>19</v>
      </c>
      <c r="E563" s="92" t="s">
        <v>614</v>
      </c>
      <c r="F563" s="92" t="s">
        <v>614</v>
      </c>
      <c r="G563" s="92" t="s">
        <v>614</v>
      </c>
      <c r="H563" s="92" t="s">
        <v>614</v>
      </c>
      <c r="I563" s="71">
        <v>0.9</v>
      </c>
      <c r="J563" s="72">
        <v>0.936708860759494</v>
      </c>
      <c r="K563" s="72">
        <v>0.963414634146341</v>
      </c>
      <c r="L563" s="73">
        <v>0.968085106382979</v>
      </c>
      <c r="M563" s="72">
        <v>0.941970310391363</v>
      </c>
      <c r="N563" s="74">
        <v>0.9</v>
      </c>
      <c r="O563" s="72">
        <v>0.978982565082398</v>
      </c>
      <c r="P563" s="72">
        <v>0.978862756772849</v>
      </c>
      <c r="Q563" s="72">
        <v>0.975829262021085</v>
      </c>
      <c r="R563" s="72">
        <v>0.975904585381578</v>
      </c>
      <c r="S563" s="74">
        <v>0.9</v>
      </c>
      <c r="T563" s="72">
        <v>0.941246716025794</v>
      </c>
      <c r="U563" s="72">
        <v>0.945519499851146</v>
      </c>
      <c r="V563" s="72">
        <v>0.936230393417331</v>
      </c>
      <c r="W563" s="72">
        <v>0.936658876621807</v>
      </c>
      <c r="X563" s="74">
        <v>0.92</v>
      </c>
      <c r="Y563" s="74">
        <v>0.970605526161082</v>
      </c>
      <c r="Z563" s="74">
        <v>0.974019686945296</v>
      </c>
      <c r="AA563" s="74">
        <v>0.967044463818657</v>
      </c>
      <c r="AB563" s="74">
        <v>0.968051727793089</v>
      </c>
      <c r="AC563" s="74">
        <v>0.92</v>
      </c>
      <c r="AD563" s="72">
        <v>0.998842592592593</v>
      </c>
      <c r="AE563" s="72">
        <v>1</v>
      </c>
      <c r="AF563" s="72">
        <v>1</v>
      </c>
      <c r="AG563" s="72">
        <v>0.999167013744273</v>
      </c>
      <c r="AH563" s="74">
        <v>0.92</v>
      </c>
      <c r="AI563" s="72">
        <v>0.980423792621276</v>
      </c>
      <c r="AJ563" s="72">
        <v>0.980664715719064</v>
      </c>
      <c r="AK563" s="72">
        <v>0.978102947281029</v>
      </c>
      <c r="AL563" s="72">
        <v>0.979095396489068</v>
      </c>
      <c r="AM563" s="71">
        <v>0.99</v>
      </c>
      <c r="AN563" s="76">
        <v>1</v>
      </c>
      <c r="AO563" s="76">
        <v>1</v>
      </c>
      <c r="AP563" s="76">
        <v>1</v>
      </c>
      <c r="AQ563" s="76">
        <v>1</v>
      </c>
      <c r="AR563" s="96">
        <v>0.05</v>
      </c>
      <c r="AS563" s="80">
        <v>0.0588235294117647</v>
      </c>
      <c r="AT563" s="80">
        <v>0</v>
      </c>
      <c r="AU563" s="80">
        <v>0.032258064516129</v>
      </c>
      <c r="AV563" s="80">
        <v>0.0416666666666667</v>
      </c>
      <c r="AW563" s="36"/>
      <c r="AX563" s="34"/>
    </row>
    <row r="564" ht="14.5" spans="1:50">
      <c r="A564" s="32"/>
      <c r="B564" s="36"/>
      <c r="C564" s="91" t="s">
        <v>401</v>
      </c>
      <c r="D564" s="69" t="s">
        <v>19</v>
      </c>
      <c r="E564" s="92" t="s">
        <v>615</v>
      </c>
      <c r="F564" s="92" t="s">
        <v>615</v>
      </c>
      <c r="G564" s="92" t="s">
        <v>615</v>
      </c>
      <c r="H564" s="92" t="s">
        <v>615</v>
      </c>
      <c r="I564" s="71">
        <v>0.9</v>
      </c>
      <c r="J564" s="72">
        <v>0.931034482758621</v>
      </c>
      <c r="K564" s="72">
        <v>0.950819672131147</v>
      </c>
      <c r="L564" s="73">
        <v>0.970588235294118</v>
      </c>
      <c r="M564" s="72">
        <v>0.954545454545455</v>
      </c>
      <c r="N564" s="74">
        <v>0.9</v>
      </c>
      <c r="O564" s="72">
        <v>0.964344262295082</v>
      </c>
      <c r="P564" s="72">
        <v>0.955889253871422</v>
      </c>
      <c r="Q564" s="72">
        <v>0.959501557632399</v>
      </c>
      <c r="R564" s="72">
        <v>0.961200521966072</v>
      </c>
      <c r="S564" s="74">
        <v>0.9</v>
      </c>
      <c r="T564" s="72">
        <v>0.955327868852459</v>
      </c>
      <c r="U564" s="72">
        <v>0.942280619427499</v>
      </c>
      <c r="V564" s="72">
        <v>0.946150422785937</v>
      </c>
      <c r="W564" s="72">
        <v>0.950543714658547</v>
      </c>
      <c r="X564" s="74">
        <v>0.92</v>
      </c>
      <c r="Y564" s="74">
        <v>0.953515398024404</v>
      </c>
      <c r="Z564" s="74">
        <v>0.953921568627451</v>
      </c>
      <c r="AA564" s="74">
        <v>0.966195622055971</v>
      </c>
      <c r="AB564" s="74">
        <v>0.962325480605516</v>
      </c>
      <c r="AC564" s="74">
        <v>0.92</v>
      </c>
      <c r="AD564" s="72">
        <v>0.986702127659574</v>
      </c>
      <c r="AE564" s="72">
        <v>0.979638009049774</v>
      </c>
      <c r="AF564" s="72">
        <v>0.9723991507431</v>
      </c>
      <c r="AG564" s="72">
        <v>0.96692045156209</v>
      </c>
      <c r="AH564" s="74">
        <v>0.92</v>
      </c>
      <c r="AI564" s="72">
        <v>0.967199184228416</v>
      </c>
      <c r="AJ564" s="72">
        <v>0.964757000321854</v>
      </c>
      <c r="AK564" s="72">
        <v>0.975601433202525</v>
      </c>
      <c r="AL564" s="72">
        <v>0.972248336708128</v>
      </c>
      <c r="AM564" s="71">
        <v>0.99</v>
      </c>
      <c r="AN564" s="76">
        <v>1</v>
      </c>
      <c r="AO564" s="76">
        <v>1</v>
      </c>
      <c r="AP564" s="76">
        <v>1</v>
      </c>
      <c r="AQ564" s="76">
        <v>1</v>
      </c>
      <c r="AR564" s="96">
        <v>0.05</v>
      </c>
      <c r="AS564" s="80">
        <v>0</v>
      </c>
      <c r="AT564" s="80">
        <v>0.0588235294117647</v>
      </c>
      <c r="AU564" s="80">
        <v>0</v>
      </c>
      <c r="AV564" s="80">
        <v>0.05</v>
      </c>
      <c r="AW564" s="36"/>
      <c r="AX564" s="34"/>
    </row>
    <row r="565" ht="14.5" spans="1:50">
      <c r="A565" s="32"/>
      <c r="B565" s="36"/>
      <c r="C565" s="91" t="s">
        <v>401</v>
      </c>
      <c r="D565" s="69" t="s">
        <v>19</v>
      </c>
      <c r="E565" s="92" t="s">
        <v>616</v>
      </c>
      <c r="F565" s="92" t="s">
        <v>616</v>
      </c>
      <c r="G565" s="92" t="s">
        <v>616</v>
      </c>
      <c r="H565" s="92" t="s">
        <v>616</v>
      </c>
      <c r="I565" s="71">
        <v>0.9</v>
      </c>
      <c r="J565" s="72">
        <v>0.96</v>
      </c>
      <c r="K565" s="72">
        <v>1</v>
      </c>
      <c r="L565" s="73">
        <v>0.962962962962963</v>
      </c>
      <c r="M565" s="72">
        <v>0.967078189300412</v>
      </c>
      <c r="N565" s="74">
        <v>0.9</v>
      </c>
      <c r="O565" s="72">
        <v>0.939032055311125</v>
      </c>
      <c r="P565" s="72">
        <v>0.945540647198106</v>
      </c>
      <c r="Q565" s="72">
        <v>0.954819277108434</v>
      </c>
      <c r="R565" s="72">
        <v>0.960586343579388</v>
      </c>
      <c r="S565" s="74">
        <v>0.9</v>
      </c>
      <c r="T565" s="72">
        <v>0.932746700188561</v>
      </c>
      <c r="U565" s="72">
        <v>0.940805051302289</v>
      </c>
      <c r="V565" s="72">
        <v>0.947289156626506</v>
      </c>
      <c r="W565" s="72">
        <v>0.939720290180241</v>
      </c>
      <c r="X565" s="74">
        <v>0.92</v>
      </c>
      <c r="Y565" s="74">
        <v>1</v>
      </c>
      <c r="Z565" s="74">
        <v>0.912465373961219</v>
      </c>
      <c r="AA565" s="74">
        <v>0.881773399014778</v>
      </c>
      <c r="AB565" s="74">
        <v>0.882199754901961</v>
      </c>
      <c r="AC565" s="74">
        <v>0.92</v>
      </c>
      <c r="AD565" s="72">
        <v>0.985029940119761</v>
      </c>
      <c r="AE565" s="72">
        <v>0.991614255765199</v>
      </c>
      <c r="AF565" s="72">
        <v>0.982367758186398</v>
      </c>
      <c r="AG565" s="72">
        <v>0.989809969705315</v>
      </c>
      <c r="AH565" s="74">
        <v>0.92</v>
      </c>
      <c r="AI565" s="72">
        <v>0.969565217391304</v>
      </c>
      <c r="AJ565" s="72">
        <v>0.940774487471526</v>
      </c>
      <c r="AK565" s="72">
        <v>0.926351351351351</v>
      </c>
      <c r="AL565" s="72">
        <v>0.933275399554162</v>
      </c>
      <c r="AM565" s="71">
        <v>0.99</v>
      </c>
      <c r="AN565" s="76">
        <v>1</v>
      </c>
      <c r="AO565" s="76">
        <v>1</v>
      </c>
      <c r="AP565" s="76">
        <v>1</v>
      </c>
      <c r="AQ565" s="76">
        <v>1</v>
      </c>
      <c r="AR565" s="96">
        <v>0.05</v>
      </c>
      <c r="AS565" s="80">
        <v>0.333333333333333</v>
      </c>
      <c r="AT565" s="80">
        <v>0</v>
      </c>
      <c r="AU565" s="80">
        <v>0</v>
      </c>
      <c r="AV565" s="80">
        <v>0.0943396226415094</v>
      </c>
      <c r="AW565" s="36"/>
      <c r="AX565" s="34"/>
    </row>
    <row r="566" ht="14.5" spans="1:50">
      <c r="A566" s="32"/>
      <c r="B566" s="36"/>
      <c r="C566" s="91" t="s">
        <v>401</v>
      </c>
      <c r="D566" s="69" t="s">
        <v>19</v>
      </c>
      <c r="E566" s="92" t="s">
        <v>617</v>
      </c>
      <c r="F566" s="92" t="s">
        <v>617</v>
      </c>
      <c r="G566" s="92" t="s">
        <v>617</v>
      </c>
      <c r="H566" s="92" t="s">
        <v>617</v>
      </c>
      <c r="I566" s="71">
        <v>0.9</v>
      </c>
      <c r="J566" s="72">
        <v>0.972222222222222</v>
      </c>
      <c r="K566" s="72">
        <v>0.972222222222222</v>
      </c>
      <c r="L566" s="73">
        <v>0.979166666666667</v>
      </c>
      <c r="M566" s="72">
        <v>0.964285714285714</v>
      </c>
      <c r="N566" s="74">
        <v>0.9</v>
      </c>
      <c r="O566" s="72">
        <v>0.918593894542091</v>
      </c>
      <c r="P566" s="72">
        <v>0.952523738130934</v>
      </c>
      <c r="Q566" s="72">
        <v>0.9447391688771</v>
      </c>
      <c r="R566" s="72">
        <v>0.954023536137977</v>
      </c>
      <c r="S566" s="74">
        <v>0.9</v>
      </c>
      <c r="T566" s="72">
        <v>0.9472710453284</v>
      </c>
      <c r="U566" s="72">
        <v>0.957021489255372</v>
      </c>
      <c r="V566" s="72">
        <v>0.961096374889478</v>
      </c>
      <c r="W566" s="72">
        <v>0.95545285625804</v>
      </c>
      <c r="X566" s="74">
        <v>0.92</v>
      </c>
      <c r="Y566" s="74">
        <v>0.950376454483231</v>
      </c>
      <c r="Z566" s="74">
        <v>0.943961642193587</v>
      </c>
      <c r="AA566" s="74">
        <v>0.97280701754386</v>
      </c>
      <c r="AB566" s="74">
        <v>0.960529100529101</v>
      </c>
      <c r="AC566" s="74">
        <v>0.92</v>
      </c>
      <c r="AD566" s="72">
        <v>0.996406570841889</v>
      </c>
      <c r="AE566" s="72">
        <v>0.996037463976945</v>
      </c>
      <c r="AF566" s="72">
        <v>0.998410806515693</v>
      </c>
      <c r="AG566" s="72">
        <v>0.995825523939342</v>
      </c>
      <c r="AH566" s="74">
        <v>0.92</v>
      </c>
      <c r="AI566" s="72">
        <v>0.956315526709935</v>
      </c>
      <c r="AJ566" s="72">
        <v>0.958847736625514</v>
      </c>
      <c r="AK566" s="72">
        <v>0.979433995429777</v>
      </c>
      <c r="AL566" s="72">
        <v>0.9722323490096</v>
      </c>
      <c r="AM566" s="71">
        <v>0.99</v>
      </c>
      <c r="AN566" s="76">
        <v>1</v>
      </c>
      <c r="AO566" s="76">
        <v>1</v>
      </c>
      <c r="AP566" s="76">
        <v>1</v>
      </c>
      <c r="AQ566" s="76">
        <v>1</v>
      </c>
      <c r="AR566" s="96">
        <v>0.05</v>
      </c>
      <c r="AS566" s="80">
        <v>0.0555555555555556</v>
      </c>
      <c r="AT566" s="80">
        <v>0</v>
      </c>
      <c r="AU566" s="80">
        <v>0.04</v>
      </c>
      <c r="AV566" s="80">
        <v>0.0282485875706215</v>
      </c>
      <c r="AW566" s="36"/>
      <c r="AX566" s="34"/>
    </row>
    <row r="567" ht="14.5" spans="1:50">
      <c r="A567" s="32"/>
      <c r="B567" s="36"/>
      <c r="C567" s="91" t="s">
        <v>401</v>
      </c>
      <c r="D567" s="69" t="s">
        <v>19</v>
      </c>
      <c r="E567" s="92" t="s">
        <v>618</v>
      </c>
      <c r="F567" s="92" t="s">
        <v>618</v>
      </c>
      <c r="G567" s="92" t="s">
        <v>618</v>
      </c>
      <c r="H567" s="92" t="s">
        <v>618</v>
      </c>
      <c r="I567" s="71">
        <v>0.9</v>
      </c>
      <c r="J567" s="72">
        <v>0.931818181818182</v>
      </c>
      <c r="K567" s="72">
        <v>0.926829268292683</v>
      </c>
      <c r="L567" s="73">
        <v>0.977272727272727</v>
      </c>
      <c r="M567" s="72">
        <v>0.933497536945813</v>
      </c>
      <c r="N567" s="74">
        <v>0.9</v>
      </c>
      <c r="O567" s="72">
        <v>0.859121298949379</v>
      </c>
      <c r="P567" s="72">
        <v>0.815189873417722</v>
      </c>
      <c r="Q567" s="72">
        <v>0.871851040525739</v>
      </c>
      <c r="R567" s="72">
        <v>0.886856223175966</v>
      </c>
      <c r="S567" s="74">
        <v>0.9</v>
      </c>
      <c r="T567" s="72">
        <v>0.861031518624642</v>
      </c>
      <c r="U567" s="72">
        <v>0.848101265822785</v>
      </c>
      <c r="V567" s="72">
        <v>0.862541073384447</v>
      </c>
      <c r="W567" s="72">
        <v>0.866523605150215</v>
      </c>
      <c r="X567" s="74">
        <v>0.92</v>
      </c>
      <c r="Y567" s="74">
        <v>0.884046692607004</v>
      </c>
      <c r="Z567" s="74">
        <v>0.873953842252092</v>
      </c>
      <c r="AA567" s="74">
        <v>0.879209926563687</v>
      </c>
      <c r="AB567" s="74">
        <v>0.898546903380793</v>
      </c>
      <c r="AC567" s="74">
        <v>0.92</v>
      </c>
      <c r="AD567" s="72">
        <v>0.993006993006993</v>
      </c>
      <c r="AE567" s="72">
        <v>0.996770721205597</v>
      </c>
      <c r="AF567" s="72">
        <v>0.999052132701422</v>
      </c>
      <c r="AG567" s="72">
        <v>0.997823075400752</v>
      </c>
      <c r="AH567" s="74">
        <v>0.92</v>
      </c>
      <c r="AI567" s="72">
        <v>0.910084033613445</v>
      </c>
      <c r="AJ567" s="72">
        <v>0.886800422386484</v>
      </c>
      <c r="AK567" s="72">
        <v>0.9042921426099</v>
      </c>
      <c r="AL567" s="72">
        <v>0.92520922482675</v>
      </c>
      <c r="AM567" s="71">
        <v>0.99</v>
      </c>
      <c r="AN567" s="76">
        <v>1</v>
      </c>
      <c r="AO567" s="76">
        <v>1</v>
      </c>
      <c r="AP567" s="76">
        <v>1</v>
      </c>
      <c r="AQ567" s="76">
        <v>1</v>
      </c>
      <c r="AR567" s="96">
        <v>0.05</v>
      </c>
      <c r="AS567" s="80">
        <v>0.0625</v>
      </c>
      <c r="AT567" s="80">
        <v>0.0526315789473684</v>
      </c>
      <c r="AU567" s="80">
        <v>0</v>
      </c>
      <c r="AV567" s="80">
        <v>0.00947867298578199</v>
      </c>
      <c r="AW567" s="36"/>
      <c r="AX567" s="34"/>
    </row>
    <row r="568" ht="14.5" spans="1:50">
      <c r="A568" s="32"/>
      <c r="B568" s="36"/>
      <c r="C568" s="91" t="s">
        <v>401</v>
      </c>
      <c r="D568" s="69" t="s">
        <v>19</v>
      </c>
      <c r="E568" s="92" t="s">
        <v>619</v>
      </c>
      <c r="F568" s="92" t="s">
        <v>619</v>
      </c>
      <c r="G568" s="92" t="s">
        <v>619</v>
      </c>
      <c r="H568" s="92" t="s">
        <v>619</v>
      </c>
      <c r="I568" s="71">
        <v>0.9</v>
      </c>
      <c r="J568" s="72">
        <v>0.816901408450704</v>
      </c>
      <c r="K568" s="72">
        <v>0.902777777777778</v>
      </c>
      <c r="L568" s="73">
        <v>0.921052631578947</v>
      </c>
      <c r="M568" s="72">
        <v>0.900302114803625</v>
      </c>
      <c r="N568" s="74">
        <v>0.9</v>
      </c>
      <c r="O568" s="72">
        <v>0.898856640281442</v>
      </c>
      <c r="P568" s="72">
        <v>0.895924553721792</v>
      </c>
      <c r="Q568" s="72">
        <v>0.862815884476534</v>
      </c>
      <c r="R568" s="72">
        <v>0.90782580748835</v>
      </c>
      <c r="S568" s="74">
        <v>0.9</v>
      </c>
      <c r="T568" s="72">
        <v>0.872764585165641</v>
      </c>
      <c r="U568" s="72">
        <v>0.877399797911755</v>
      </c>
      <c r="V568" s="72">
        <v>0.891696750902527</v>
      </c>
      <c r="W568" s="72">
        <v>0.894359633617226</v>
      </c>
      <c r="X568" s="74">
        <v>0.92</v>
      </c>
      <c r="Y568" s="74">
        <v>0.920607525025889</v>
      </c>
      <c r="Z568" s="74">
        <v>0.933746026434666</v>
      </c>
      <c r="AA568" s="74">
        <v>0.954710458081245</v>
      </c>
      <c r="AB568" s="74">
        <v>0.951161057740721</v>
      </c>
      <c r="AC568" s="74">
        <v>0.92</v>
      </c>
      <c r="AD568" s="72">
        <v>0.995753715498938</v>
      </c>
      <c r="AE568" s="72">
        <v>0.834506225349934</v>
      </c>
      <c r="AF568" s="72">
        <v>0.988567280646039</v>
      </c>
      <c r="AG568" s="72">
        <v>0.952302054073034</v>
      </c>
      <c r="AH568" s="74">
        <v>0.92</v>
      </c>
      <c r="AI568" s="72">
        <v>0.931285280069475</v>
      </c>
      <c r="AJ568" s="72">
        <v>0.944605762787581</v>
      </c>
      <c r="AK568" s="72">
        <v>0.961673261729791</v>
      </c>
      <c r="AL568" s="72">
        <v>0.96127404916168</v>
      </c>
      <c r="AM568" s="71">
        <v>0.99</v>
      </c>
      <c r="AN568" s="76">
        <v>1</v>
      </c>
      <c r="AO568" s="76">
        <v>1</v>
      </c>
      <c r="AP568" s="76">
        <v>1</v>
      </c>
      <c r="AQ568" s="76">
        <v>1</v>
      </c>
      <c r="AR568" s="96">
        <v>0.05</v>
      </c>
      <c r="AS568" s="80">
        <v>0.0714285714285714</v>
      </c>
      <c r="AT568" s="80">
        <v>0.1</v>
      </c>
      <c r="AU568" s="80">
        <v>0</v>
      </c>
      <c r="AV568" s="80">
        <v>0.0493827160493827</v>
      </c>
      <c r="AW568" s="36"/>
      <c r="AX568" s="34"/>
    </row>
    <row r="569" ht="14.5" spans="1:50">
      <c r="A569" s="32"/>
      <c r="B569" s="36"/>
      <c r="C569" s="91" t="s">
        <v>401</v>
      </c>
      <c r="D569" s="69" t="s">
        <v>19</v>
      </c>
      <c r="E569" s="92" t="s">
        <v>620</v>
      </c>
      <c r="F569" s="92" t="s">
        <v>620</v>
      </c>
      <c r="G569" s="92" t="s">
        <v>620</v>
      </c>
      <c r="H569" s="92" t="s">
        <v>620</v>
      </c>
      <c r="I569" s="71">
        <v>0.9</v>
      </c>
      <c r="J569" s="72">
        <v>0.931818181818182</v>
      </c>
      <c r="K569" s="72">
        <v>0.977272727272727</v>
      </c>
      <c r="L569" s="73">
        <v>0.956521739130435</v>
      </c>
      <c r="M569" s="72">
        <v>0.954198473282443</v>
      </c>
      <c r="N569" s="74">
        <v>0.9</v>
      </c>
      <c r="O569" s="72">
        <v>0.962424849699399</v>
      </c>
      <c r="P569" s="72">
        <v>0.950140056022409</v>
      </c>
      <c r="Q569" s="72">
        <v>0.953064605190503</v>
      </c>
      <c r="R569" s="72">
        <v>0.956804918716132</v>
      </c>
      <c r="S569" s="74">
        <v>0.9</v>
      </c>
      <c r="T569" s="72">
        <v>0.898797595190381</v>
      </c>
      <c r="U569" s="72">
        <v>0.911484593837535</v>
      </c>
      <c r="V569" s="72">
        <v>0.917725013804528</v>
      </c>
      <c r="W569" s="72">
        <v>0.915694039182993</v>
      </c>
      <c r="X569" s="74">
        <v>0.92</v>
      </c>
      <c r="Y569" s="74">
        <v>0.929879644165358</v>
      </c>
      <c r="Z569" s="74">
        <v>0.943922651933702</v>
      </c>
      <c r="AA569" s="74">
        <v>0.955665024630542</v>
      </c>
      <c r="AB569" s="74">
        <v>0.95222950194008</v>
      </c>
      <c r="AC569" s="74">
        <v>0.92</v>
      </c>
      <c r="AD569" s="72">
        <v>0.953691275167785</v>
      </c>
      <c r="AE569" s="72">
        <v>0.994974874371859</v>
      </c>
      <c r="AF569" s="72">
        <v>0.992656875834446</v>
      </c>
      <c r="AG569" s="72">
        <v>0.98452133194589</v>
      </c>
      <c r="AH569" s="74">
        <v>0.92</v>
      </c>
      <c r="AI569" s="72">
        <v>0.942429970785358</v>
      </c>
      <c r="AJ569" s="72">
        <v>0.95452865064695</v>
      </c>
      <c r="AK569" s="72">
        <v>0.965484543902902</v>
      </c>
      <c r="AL569" s="72">
        <v>0.964165269697269</v>
      </c>
      <c r="AM569" s="71">
        <v>0.99</v>
      </c>
      <c r="AN569" s="76">
        <v>1</v>
      </c>
      <c r="AO569" s="76">
        <v>1</v>
      </c>
      <c r="AP569" s="76">
        <v>1</v>
      </c>
      <c r="AQ569" s="76">
        <v>1</v>
      </c>
      <c r="AR569" s="96">
        <v>0.05</v>
      </c>
      <c r="AS569" s="80">
        <v>0</v>
      </c>
      <c r="AT569" s="80">
        <v>0.0454545454545455</v>
      </c>
      <c r="AU569" s="80">
        <v>0.133333333333333</v>
      </c>
      <c r="AV569" s="80">
        <v>0.0601092896174863</v>
      </c>
      <c r="AW569" s="36"/>
      <c r="AX569" s="34"/>
    </row>
    <row r="570" ht="14.5" spans="1:50">
      <c r="A570" s="32"/>
      <c r="B570" s="36"/>
      <c r="C570" s="91" t="s">
        <v>401</v>
      </c>
      <c r="D570" s="69" t="s">
        <v>19</v>
      </c>
      <c r="E570" s="92" t="s">
        <v>621</v>
      </c>
      <c r="F570" s="92" t="s">
        <v>621</v>
      </c>
      <c r="G570" s="92" t="s">
        <v>621</v>
      </c>
      <c r="H570" s="92" t="s">
        <v>621</v>
      </c>
      <c r="I570" s="71">
        <v>0.9</v>
      </c>
      <c r="J570" s="72">
        <v>1</v>
      </c>
      <c r="K570" s="72">
        <v>1</v>
      </c>
      <c r="L570" s="73">
        <v>0.904761904761905</v>
      </c>
      <c r="M570" s="72">
        <v>0.923529411764706</v>
      </c>
      <c r="N570" s="74">
        <v>0.9</v>
      </c>
      <c r="O570" s="72">
        <v>0.964408233276158</v>
      </c>
      <c r="P570" s="72">
        <v>0.975858369098712</v>
      </c>
      <c r="Q570" s="72">
        <v>0.974279835390947</v>
      </c>
      <c r="R570" s="72">
        <v>0.960536999945867</v>
      </c>
      <c r="S570" s="74">
        <v>0.9</v>
      </c>
      <c r="T570" s="72">
        <v>0.945111492281304</v>
      </c>
      <c r="U570" s="72">
        <v>0.960836909871245</v>
      </c>
      <c r="V570" s="72">
        <v>0.96141975308642</v>
      </c>
      <c r="W570" s="72">
        <v>0.927082769447302</v>
      </c>
      <c r="X570" s="74">
        <v>0.92</v>
      </c>
      <c r="Y570" s="74">
        <v>0</v>
      </c>
      <c r="Z570" s="74">
        <v>1</v>
      </c>
      <c r="AA570" s="74">
        <v>0</v>
      </c>
      <c r="AB570" s="74">
        <v>0.2</v>
      </c>
      <c r="AC570" s="74">
        <v>0.92</v>
      </c>
      <c r="AD570" s="72">
        <v>1</v>
      </c>
      <c r="AE570" s="72">
        <v>0.814814814814815</v>
      </c>
      <c r="AF570" s="72">
        <v>0.862068965517241</v>
      </c>
      <c r="AG570" s="72">
        <v>0.907120743034056</v>
      </c>
      <c r="AH570" s="74">
        <v>0.92</v>
      </c>
      <c r="AI570" s="72">
        <v>0.969178082191781</v>
      </c>
      <c r="AJ570" s="72">
        <v>0.986058981233244</v>
      </c>
      <c r="AK570" s="72">
        <v>0.989711934156379</v>
      </c>
      <c r="AL570" s="72">
        <v>0.976676227068564</v>
      </c>
      <c r="AM570" s="71">
        <v>0.99</v>
      </c>
      <c r="AN570" s="76">
        <v>1</v>
      </c>
      <c r="AO570" s="76">
        <v>1</v>
      </c>
      <c r="AP570" s="76">
        <v>1</v>
      </c>
      <c r="AQ570" s="76">
        <v>1</v>
      </c>
      <c r="AR570" s="96">
        <v>0.05</v>
      </c>
      <c r="AS570" s="80">
        <v>0</v>
      </c>
      <c r="AT570" s="80">
        <v>0</v>
      </c>
      <c r="AU570" s="80">
        <v>0</v>
      </c>
      <c r="AV570" s="80">
        <v>0.08</v>
      </c>
      <c r="AW570" s="36"/>
      <c r="AX570" s="34"/>
    </row>
    <row r="571" ht="14.5" spans="1:50">
      <c r="A571" s="32"/>
      <c r="B571" s="36"/>
      <c r="C571" s="91" t="s">
        <v>401</v>
      </c>
      <c r="D571" s="69" t="s">
        <v>19</v>
      </c>
      <c r="E571" s="92" t="s">
        <v>622</v>
      </c>
      <c r="F571" s="92" t="s">
        <v>622</v>
      </c>
      <c r="G571" s="92" t="s">
        <v>622</v>
      </c>
      <c r="H571" s="92" t="s">
        <v>622</v>
      </c>
      <c r="I571" s="71">
        <v>0.9</v>
      </c>
      <c r="J571" s="72">
        <v>0.723404255319149</v>
      </c>
      <c r="K571" s="72">
        <v>0.8</v>
      </c>
      <c r="L571" s="73">
        <v>0.846153846153846</v>
      </c>
      <c r="M571" s="72">
        <v>0.813679245283019</v>
      </c>
      <c r="N571" s="74">
        <v>0.9</v>
      </c>
      <c r="O571" s="72">
        <v>0.777527245396467</v>
      </c>
      <c r="P571" s="72">
        <v>0.873166522864538</v>
      </c>
      <c r="Q571" s="72">
        <v>0.830436625688851</v>
      </c>
      <c r="R571" s="72">
        <v>0.830434967473107</v>
      </c>
      <c r="S571" s="74">
        <v>0.9</v>
      </c>
      <c r="T571" s="72">
        <v>0.877489665539271</v>
      </c>
      <c r="U571" s="72">
        <v>0.919327006039689</v>
      </c>
      <c r="V571" s="72">
        <v>0.916490038151759</v>
      </c>
      <c r="W571" s="72">
        <v>0.907223946596369</v>
      </c>
      <c r="X571" s="74">
        <v>0.92</v>
      </c>
      <c r="Y571" s="74">
        <v>0.902671755725191</v>
      </c>
      <c r="Z571" s="74">
        <v>0.917664233576642</v>
      </c>
      <c r="AA571" s="74">
        <v>0.958794587945879</v>
      </c>
      <c r="AB571" s="74">
        <v>0.938133766738508</v>
      </c>
      <c r="AC571" s="74">
        <v>0.92</v>
      </c>
      <c r="AD571" s="72">
        <v>1</v>
      </c>
      <c r="AE571" s="72">
        <v>0.995359628770302</v>
      </c>
      <c r="AF571" s="72">
        <v>0.906735751295337</v>
      </c>
      <c r="AG571" s="72">
        <v>0.929714955095666</v>
      </c>
      <c r="AH571" s="74">
        <v>0.92</v>
      </c>
      <c r="AI571" s="72">
        <v>0.92167326562231</v>
      </c>
      <c r="AJ571" s="72">
        <v>0.936706659711355</v>
      </c>
      <c r="AK571" s="72">
        <v>0.968660968660969</v>
      </c>
      <c r="AL571" s="72">
        <v>0.955049249214518</v>
      </c>
      <c r="AM571" s="71">
        <v>0.99</v>
      </c>
      <c r="AN571" s="76">
        <v>1</v>
      </c>
      <c r="AO571" s="76">
        <v>1</v>
      </c>
      <c r="AP571" s="76">
        <v>1</v>
      </c>
      <c r="AQ571" s="76">
        <v>1</v>
      </c>
      <c r="AR571" s="96">
        <v>0.05</v>
      </c>
      <c r="AS571" s="80">
        <v>0</v>
      </c>
      <c r="AT571" s="80">
        <v>0.111111111111111</v>
      </c>
      <c r="AU571" s="80">
        <v>0.166666666666667</v>
      </c>
      <c r="AV571" s="80">
        <v>0.087431693989071</v>
      </c>
      <c r="AW571" s="36"/>
      <c r="AX571" s="34"/>
    </row>
    <row r="572" ht="14.5" spans="1:50">
      <c r="A572" s="32"/>
      <c r="B572" s="36"/>
      <c r="C572" s="91" t="s">
        <v>401</v>
      </c>
      <c r="D572" s="69" t="s">
        <v>19</v>
      </c>
      <c r="E572" s="92" t="s">
        <v>623</v>
      </c>
      <c r="F572" s="92" t="s">
        <v>623</v>
      </c>
      <c r="G572" s="92" t="s">
        <v>623</v>
      </c>
      <c r="H572" s="92" t="s">
        <v>623</v>
      </c>
      <c r="I572" s="71">
        <v>0.9</v>
      </c>
      <c r="J572" s="72">
        <v>1</v>
      </c>
      <c r="K572" s="72">
        <v>1</v>
      </c>
      <c r="L572" s="73">
        <v>0.98</v>
      </c>
      <c r="M572" s="72">
        <v>0.984581497797357</v>
      </c>
      <c r="N572" s="74">
        <v>0.9</v>
      </c>
      <c r="O572" s="72">
        <v>0.985333333333333</v>
      </c>
      <c r="P572" s="72">
        <v>0.981225109046084</v>
      </c>
      <c r="Q572" s="72">
        <v>0.987194189602447</v>
      </c>
      <c r="R572" s="72">
        <v>0.982124183651323</v>
      </c>
      <c r="S572" s="74">
        <v>0.9</v>
      </c>
      <c r="T572" s="72">
        <v>0.825</v>
      </c>
      <c r="U572" s="72">
        <v>0.872179025222833</v>
      </c>
      <c r="V572" s="72">
        <v>0.89315749235474</v>
      </c>
      <c r="W572" s="72">
        <v>0.871771599944755</v>
      </c>
      <c r="X572" s="74">
        <v>0.92</v>
      </c>
      <c r="Y572" s="74">
        <v>0</v>
      </c>
      <c r="Z572" s="74">
        <v>0</v>
      </c>
      <c r="AA572" s="74">
        <v>1</v>
      </c>
      <c r="AB572" s="74">
        <v>0.868421052631579</v>
      </c>
      <c r="AC572" s="74">
        <v>0.92</v>
      </c>
      <c r="AD572" s="72">
        <v>0.98977675777175</v>
      </c>
      <c r="AE572" s="72">
        <v>0.992597577388964</v>
      </c>
      <c r="AF572" s="72">
        <v>0.993006993006993</v>
      </c>
      <c r="AG572" s="72">
        <v>0.990990521820644</v>
      </c>
      <c r="AH572" s="74">
        <v>0.92</v>
      </c>
      <c r="AI572" s="72">
        <v>0.966172304615897</v>
      </c>
      <c r="AJ572" s="72">
        <v>0.964928909952607</v>
      </c>
      <c r="AK572" s="72">
        <v>0.968493412258927</v>
      </c>
      <c r="AL572" s="72">
        <v>0.971691046011907</v>
      </c>
      <c r="AM572" s="71">
        <v>0.99</v>
      </c>
      <c r="AN572" s="76">
        <v>1</v>
      </c>
      <c r="AO572" s="76">
        <v>1</v>
      </c>
      <c r="AP572" s="76">
        <v>1</v>
      </c>
      <c r="AQ572" s="76">
        <v>1</v>
      </c>
      <c r="AR572" s="96">
        <v>0.05</v>
      </c>
      <c r="AS572" s="80">
        <v>0.0434782608695652</v>
      </c>
      <c r="AT572" s="80">
        <v>0.05</v>
      </c>
      <c r="AU572" s="80">
        <v>0</v>
      </c>
      <c r="AV572" s="80">
        <v>0.0254777070063694</v>
      </c>
      <c r="AW572" s="36"/>
      <c r="AX572" s="34"/>
    </row>
    <row r="573" ht="14.5" spans="1:50">
      <c r="A573" s="32"/>
      <c r="B573" s="36"/>
      <c r="C573" s="91" t="s">
        <v>401</v>
      </c>
      <c r="D573" s="69" t="s">
        <v>19</v>
      </c>
      <c r="E573" s="92" t="s">
        <v>624</v>
      </c>
      <c r="F573" s="92" t="s">
        <v>624</v>
      </c>
      <c r="G573" s="92" t="s">
        <v>624</v>
      </c>
      <c r="H573" s="92" t="s">
        <v>624</v>
      </c>
      <c r="I573" s="71">
        <v>0.9</v>
      </c>
      <c r="J573" s="72">
        <v>1</v>
      </c>
      <c r="K573" s="72">
        <v>1</v>
      </c>
      <c r="L573" s="73">
        <v>1</v>
      </c>
      <c r="M573" s="72">
        <v>0.995833333333333</v>
      </c>
      <c r="N573" s="74">
        <v>0.9</v>
      </c>
      <c r="O573" s="72">
        <v>0.990530303030303</v>
      </c>
      <c r="P573" s="72">
        <v>0.993630573248408</v>
      </c>
      <c r="Q573" s="72">
        <v>0.993924050632911</v>
      </c>
      <c r="R573" s="72">
        <v>0.98940404776588</v>
      </c>
      <c r="S573" s="74">
        <v>0.9</v>
      </c>
      <c r="T573" s="72">
        <v>0.899147727272727</v>
      </c>
      <c r="U573" s="72">
        <v>0.953097857556456</v>
      </c>
      <c r="V573" s="72">
        <v>0.95493670886076</v>
      </c>
      <c r="W573" s="72">
        <v>0.891741884846106</v>
      </c>
      <c r="X573" s="74">
        <v>0.92</v>
      </c>
      <c r="Y573" s="74">
        <v>0.841402337228714</v>
      </c>
      <c r="Z573" s="74">
        <v>0.892100192678227</v>
      </c>
      <c r="AA573" s="74">
        <v>0.934393638170974</v>
      </c>
      <c r="AB573" s="74">
        <v>0.86432384341637</v>
      </c>
      <c r="AC573" s="74">
        <v>0.92</v>
      </c>
      <c r="AD573" s="72">
        <v>1</v>
      </c>
      <c r="AE573" s="72">
        <v>0.996147495872317</v>
      </c>
      <c r="AF573" s="72">
        <v>0.989240080699395</v>
      </c>
      <c r="AG573" s="72">
        <v>0.993040722111211</v>
      </c>
      <c r="AH573" s="74">
        <v>0.92</v>
      </c>
      <c r="AI573" s="72">
        <v>0.949852507374631</v>
      </c>
      <c r="AJ573" s="72">
        <v>0.965716829919858</v>
      </c>
      <c r="AK573" s="72">
        <v>0.978208232445521</v>
      </c>
      <c r="AL573" s="72">
        <v>0.961135488492881</v>
      </c>
      <c r="AM573" s="71">
        <v>0.99</v>
      </c>
      <c r="AN573" s="76">
        <v>1</v>
      </c>
      <c r="AO573" s="76">
        <v>1</v>
      </c>
      <c r="AP573" s="76">
        <v>1</v>
      </c>
      <c r="AQ573" s="76">
        <v>1</v>
      </c>
      <c r="AR573" s="96">
        <v>0.05</v>
      </c>
      <c r="AS573" s="80">
        <v>0</v>
      </c>
      <c r="AT573" s="80">
        <v>0.285714285714286</v>
      </c>
      <c r="AU573" s="80">
        <v>0.0714285714285714</v>
      </c>
      <c r="AV573" s="80">
        <v>0.0705882352941176</v>
      </c>
      <c r="AW573" s="36"/>
      <c r="AX573" s="34"/>
    </row>
    <row r="574" ht="14.5" spans="1:50">
      <c r="A574" s="32"/>
      <c r="B574" s="36"/>
      <c r="C574" s="91" t="s">
        <v>401</v>
      </c>
      <c r="D574" s="69" t="s">
        <v>19</v>
      </c>
      <c r="E574" s="92" t="s">
        <v>625</v>
      </c>
      <c r="F574" s="92" t="s">
        <v>625</v>
      </c>
      <c r="G574" s="92" t="s">
        <v>625</v>
      </c>
      <c r="H574" s="92" t="s">
        <v>625</v>
      </c>
      <c r="I574" s="71">
        <v>0.9</v>
      </c>
      <c r="J574" s="72">
        <v>1</v>
      </c>
      <c r="K574" s="72">
        <v>1</v>
      </c>
      <c r="L574" s="73">
        <v>0.96551724137931</v>
      </c>
      <c r="M574" s="72">
        <v>0.979674796747967</v>
      </c>
      <c r="N574" s="74">
        <v>0.9</v>
      </c>
      <c r="O574" s="72">
        <v>0.989144594007816</v>
      </c>
      <c r="P574" s="72">
        <v>0.989606126914661</v>
      </c>
      <c r="Q574" s="72">
        <v>0.98906324298621</v>
      </c>
      <c r="R574" s="72">
        <v>0.98877636249739</v>
      </c>
      <c r="S574" s="74">
        <v>0.9</v>
      </c>
      <c r="T574" s="72">
        <v>0.874511506730352</v>
      </c>
      <c r="U574" s="72">
        <v>0.957877461706783</v>
      </c>
      <c r="V574" s="72">
        <v>0.968140751307656</v>
      </c>
      <c r="W574" s="72">
        <v>0.911254959281687</v>
      </c>
      <c r="X574" s="74">
        <v>0.92</v>
      </c>
      <c r="Y574" s="74">
        <v>0.86618444846293</v>
      </c>
      <c r="Z574" s="74">
        <v>0.918533604887984</v>
      </c>
      <c r="AA574" s="74">
        <v>0.943478260869565</v>
      </c>
      <c r="AB574" s="74">
        <v>0.891230455472468</v>
      </c>
      <c r="AC574" s="74">
        <v>0.92</v>
      </c>
      <c r="AD574" s="72">
        <v>0.99892158373132</v>
      </c>
      <c r="AE574" s="72">
        <v>0.997952755905512</v>
      </c>
      <c r="AF574" s="72">
        <v>0.999039253362613</v>
      </c>
      <c r="AG574" s="72">
        <v>0.998043931377265</v>
      </c>
      <c r="AH574" s="74">
        <v>0.92</v>
      </c>
      <c r="AI574" s="72">
        <v>0.956278419027632</v>
      </c>
      <c r="AJ574" s="72">
        <v>0.968089693833549</v>
      </c>
      <c r="AK574" s="72">
        <v>0.981676413255361</v>
      </c>
      <c r="AL574" s="72">
        <v>0.963693430037749</v>
      </c>
      <c r="AM574" s="71">
        <v>0.99</v>
      </c>
      <c r="AN574" s="76">
        <v>1</v>
      </c>
      <c r="AO574" s="76">
        <v>1</v>
      </c>
      <c r="AP574" s="76">
        <v>1</v>
      </c>
      <c r="AQ574" s="76">
        <v>1</v>
      </c>
      <c r="AR574" s="96">
        <v>0.05</v>
      </c>
      <c r="AS574" s="80">
        <v>0.166666666666667</v>
      </c>
      <c r="AT574" s="80">
        <v>0</v>
      </c>
      <c r="AU574" s="80">
        <v>0</v>
      </c>
      <c r="AV574" s="80">
        <v>0.0615384615384615</v>
      </c>
      <c r="AW574" s="36"/>
      <c r="AX574" s="34"/>
    </row>
    <row r="575" ht="14.5" spans="1:50">
      <c r="A575" s="32"/>
      <c r="B575" s="36"/>
      <c r="C575" s="91" t="s">
        <v>401</v>
      </c>
      <c r="D575" s="69" t="s">
        <v>19</v>
      </c>
      <c r="E575" s="92" t="s">
        <v>626</v>
      </c>
      <c r="F575" s="92" t="s">
        <v>626</v>
      </c>
      <c r="G575" s="92" t="s">
        <v>626</v>
      </c>
      <c r="H575" s="92" t="s">
        <v>626</v>
      </c>
      <c r="I575" s="71">
        <v>0.9</v>
      </c>
      <c r="J575" s="72">
        <v>0.977777777777778</v>
      </c>
      <c r="K575" s="72">
        <v>0.979166666666667</v>
      </c>
      <c r="L575" s="73">
        <v>0.958333333333333</v>
      </c>
      <c r="M575" s="72">
        <v>0.990804597701149</v>
      </c>
      <c r="N575" s="74">
        <v>0.9</v>
      </c>
      <c r="O575" s="72">
        <v>0</v>
      </c>
      <c r="P575" s="72">
        <v>1</v>
      </c>
      <c r="Q575" s="72">
        <v>0</v>
      </c>
      <c r="R575" s="72">
        <v>0.333333333333333</v>
      </c>
      <c r="S575" s="74">
        <v>0.9</v>
      </c>
      <c r="T575" s="72">
        <v>0</v>
      </c>
      <c r="U575" s="72">
        <v>0</v>
      </c>
      <c r="V575" s="72">
        <v>0</v>
      </c>
      <c r="W575" s="72">
        <v>0</v>
      </c>
      <c r="X575" s="74">
        <v>0.92</v>
      </c>
      <c r="Y575" s="74">
        <v>0</v>
      </c>
      <c r="Z575" s="74">
        <v>0</v>
      </c>
      <c r="AA575" s="74">
        <v>0</v>
      </c>
      <c r="AB575" s="74">
        <v>0</v>
      </c>
      <c r="AC575" s="74">
        <v>0.92</v>
      </c>
      <c r="AD575" s="72">
        <v>0.99746192893401</v>
      </c>
      <c r="AE575" s="72">
        <v>0.995642701525055</v>
      </c>
      <c r="AF575" s="72">
        <v>0.989270386266094</v>
      </c>
      <c r="AG575" s="72">
        <v>0.991416309012876</v>
      </c>
      <c r="AH575" s="74">
        <v>0.92</v>
      </c>
      <c r="AI575" s="72">
        <v>0.924528301886792</v>
      </c>
      <c r="AJ575" s="72">
        <v>0.976538908246225</v>
      </c>
      <c r="AK575" s="72">
        <v>0.964302059496568</v>
      </c>
      <c r="AL575" s="72">
        <v>0.967413294797688</v>
      </c>
      <c r="AM575" s="71">
        <v>0.99</v>
      </c>
      <c r="AN575" s="76">
        <v>1</v>
      </c>
      <c r="AO575" s="76">
        <v>1</v>
      </c>
      <c r="AP575" s="76">
        <v>1</v>
      </c>
      <c r="AQ575" s="76">
        <v>1</v>
      </c>
      <c r="AR575" s="96">
        <v>0.05</v>
      </c>
      <c r="AS575" s="80">
        <v>0</v>
      </c>
      <c r="AT575" s="80">
        <v>0</v>
      </c>
      <c r="AU575" s="80">
        <v>0.1</v>
      </c>
      <c r="AV575" s="80">
        <v>0.0483870967741935</v>
      </c>
      <c r="AW575" s="36"/>
      <c r="AX575" s="34"/>
    </row>
    <row r="576" ht="14.5" spans="1:50">
      <c r="A576" s="32"/>
      <c r="B576" s="36"/>
      <c r="C576" s="91" t="s">
        <v>401</v>
      </c>
      <c r="D576" s="69" t="s">
        <v>19</v>
      </c>
      <c r="E576" s="92" t="s">
        <v>627</v>
      </c>
      <c r="F576" s="92" t="s">
        <v>627</v>
      </c>
      <c r="G576" s="92" t="s">
        <v>627</v>
      </c>
      <c r="H576" s="92" t="s">
        <v>627</v>
      </c>
      <c r="I576" s="71">
        <v>0.9</v>
      </c>
      <c r="J576" s="72">
        <v>1</v>
      </c>
      <c r="K576" s="72">
        <v>1</v>
      </c>
      <c r="L576" s="73">
        <v>1</v>
      </c>
      <c r="M576" s="72">
        <v>0.986206896551724</v>
      </c>
      <c r="N576" s="74">
        <v>0.9</v>
      </c>
      <c r="O576" s="72">
        <v>0.969421487603306</v>
      </c>
      <c r="P576" s="72">
        <v>0.983435047951177</v>
      </c>
      <c r="Q576" s="72">
        <v>0.986765922249793</v>
      </c>
      <c r="R576" s="72">
        <v>0.984723106301719</v>
      </c>
      <c r="S576" s="74">
        <v>0.9</v>
      </c>
      <c r="T576" s="72">
        <v>0.941322314049587</v>
      </c>
      <c r="U576" s="72">
        <v>0.951176983435048</v>
      </c>
      <c r="V576" s="72">
        <v>0.958643507030604</v>
      </c>
      <c r="W576" s="72">
        <v>0.944166590888424</v>
      </c>
      <c r="X576" s="74">
        <v>0.92</v>
      </c>
      <c r="Y576" s="74">
        <v>0.951945080091533</v>
      </c>
      <c r="Z576" s="74">
        <v>0.96401028277635</v>
      </c>
      <c r="AA576" s="74">
        <v>0.973809523809524</v>
      </c>
      <c r="AB576" s="74">
        <v>0.953092321481924</v>
      </c>
      <c r="AC576" s="74">
        <v>0.92</v>
      </c>
      <c r="AD576" s="72">
        <v>0.997211497211497</v>
      </c>
      <c r="AE576" s="72">
        <v>0.996716601682742</v>
      </c>
      <c r="AF576" s="72">
        <v>0.996569468267582</v>
      </c>
      <c r="AG576" s="72">
        <v>0.908447881240867</v>
      </c>
      <c r="AH576" s="74">
        <v>0.92</v>
      </c>
      <c r="AI576" s="72">
        <v>0.958787878787879</v>
      </c>
      <c r="AJ576" s="72">
        <v>0.97462589459987</v>
      </c>
      <c r="AK576" s="72">
        <v>0.980356046654389</v>
      </c>
      <c r="AL576" s="72">
        <v>0.975747438845913</v>
      </c>
      <c r="AM576" s="71">
        <v>0.99</v>
      </c>
      <c r="AN576" s="76">
        <v>1</v>
      </c>
      <c r="AO576" s="76">
        <v>1</v>
      </c>
      <c r="AP576" s="76">
        <v>1</v>
      </c>
      <c r="AQ576" s="76">
        <v>1</v>
      </c>
      <c r="AR576" s="96">
        <v>0.05</v>
      </c>
      <c r="AS576" s="80">
        <v>0.125</v>
      </c>
      <c r="AT576" s="80">
        <v>0</v>
      </c>
      <c r="AU576" s="80">
        <v>0</v>
      </c>
      <c r="AV576" s="80">
        <v>0.0181818181818182</v>
      </c>
      <c r="AW576" s="36"/>
      <c r="AX576" s="34"/>
    </row>
    <row r="577" ht="14.5" spans="1:50">
      <c r="A577" s="32"/>
      <c r="B577" s="36"/>
      <c r="C577" s="91" t="s">
        <v>401</v>
      </c>
      <c r="D577" s="69" t="s">
        <v>19</v>
      </c>
      <c r="E577" s="92" t="s">
        <v>628</v>
      </c>
      <c r="F577" s="92" t="s">
        <v>628</v>
      </c>
      <c r="G577" s="92" t="s">
        <v>628</v>
      </c>
      <c r="H577" s="92" t="s">
        <v>628</v>
      </c>
      <c r="I577" s="71">
        <v>0.9</v>
      </c>
      <c r="J577" s="72">
        <v>1</v>
      </c>
      <c r="K577" s="72">
        <v>1</v>
      </c>
      <c r="L577" s="73">
        <v>1</v>
      </c>
      <c r="M577" s="72">
        <v>0.981735159817352</v>
      </c>
      <c r="N577" s="74">
        <v>0.9</v>
      </c>
      <c r="O577" s="72">
        <v>0.987068965517241</v>
      </c>
      <c r="P577" s="72">
        <v>0.992477162815691</v>
      </c>
      <c r="Q577" s="72">
        <v>0.988961364776718</v>
      </c>
      <c r="R577" s="72">
        <v>0.98784229064879</v>
      </c>
      <c r="S577" s="74">
        <v>0.9</v>
      </c>
      <c r="T577" s="72">
        <v>0.927801724137931</v>
      </c>
      <c r="U577" s="72">
        <v>0.968833960236432</v>
      </c>
      <c r="V577" s="72">
        <v>0.952834922227797</v>
      </c>
      <c r="W577" s="72">
        <v>0.949835245994773</v>
      </c>
      <c r="X577" s="74">
        <v>0.92</v>
      </c>
      <c r="Y577" s="74">
        <v>0.926108374384236</v>
      </c>
      <c r="Z577" s="74">
        <v>0.978052126200274</v>
      </c>
      <c r="AA577" s="74">
        <v>0.984042553191489</v>
      </c>
      <c r="AB577" s="74">
        <v>0.971007206301324</v>
      </c>
      <c r="AC577" s="74">
        <v>0.92</v>
      </c>
      <c r="AD577" s="72">
        <v>0.991990141712877</v>
      </c>
      <c r="AE577" s="72">
        <v>0.985995927893927</v>
      </c>
      <c r="AF577" s="72">
        <v>0.98082330446519</v>
      </c>
      <c r="AG577" s="72">
        <v>0.911787189409248</v>
      </c>
      <c r="AH577" s="74">
        <v>0.92</v>
      </c>
      <c r="AI577" s="72">
        <v>0.95806813927368</v>
      </c>
      <c r="AJ577" s="72">
        <v>0.988416988416988</v>
      </c>
      <c r="AK577" s="72">
        <v>0.987249544626594</v>
      </c>
      <c r="AL577" s="72">
        <v>0.982779097387173</v>
      </c>
      <c r="AM577" s="71">
        <v>0.99</v>
      </c>
      <c r="AN577" s="76">
        <v>1</v>
      </c>
      <c r="AO577" s="76">
        <v>1</v>
      </c>
      <c r="AP577" s="76">
        <v>1</v>
      </c>
      <c r="AQ577" s="76">
        <v>1</v>
      </c>
      <c r="AR577" s="96">
        <v>0.05</v>
      </c>
      <c r="AS577" s="80">
        <v>0.0714285714285714</v>
      </c>
      <c r="AT577" s="80">
        <v>0.1</v>
      </c>
      <c r="AU577" s="80">
        <v>0.222222222222222</v>
      </c>
      <c r="AV577" s="80">
        <v>0.0581395348837209</v>
      </c>
      <c r="AW577" s="36"/>
      <c r="AX577" s="34"/>
    </row>
    <row r="578" ht="14.5" spans="1:50">
      <c r="A578" s="32"/>
      <c r="B578" s="36"/>
      <c r="C578" s="91" t="s">
        <v>401</v>
      </c>
      <c r="D578" s="69" t="s">
        <v>19</v>
      </c>
      <c r="E578" s="92" t="s">
        <v>629</v>
      </c>
      <c r="F578" s="92" t="s">
        <v>629</v>
      </c>
      <c r="G578" s="92" t="s">
        <v>629</v>
      </c>
      <c r="H578" s="92" t="s">
        <v>629</v>
      </c>
      <c r="I578" s="71">
        <v>0.9</v>
      </c>
      <c r="J578" s="72">
        <v>1</v>
      </c>
      <c r="K578" s="72">
        <v>0.981818181818182</v>
      </c>
      <c r="L578" s="73">
        <v>1</v>
      </c>
      <c r="M578" s="72">
        <v>0.985294117647059</v>
      </c>
      <c r="N578" s="74">
        <v>0.9</v>
      </c>
      <c r="O578" s="72">
        <v>0.95962441314554</v>
      </c>
      <c r="P578" s="72">
        <v>0.939393939393939</v>
      </c>
      <c r="Q578" s="72">
        <v>0.980616302186879</v>
      </c>
      <c r="R578" s="72">
        <v>0.970474202206979</v>
      </c>
      <c r="S578" s="74">
        <v>0.9</v>
      </c>
      <c r="T578" s="72">
        <v>0.833568075117371</v>
      </c>
      <c r="U578" s="72">
        <v>0.888468013468014</v>
      </c>
      <c r="V578" s="72">
        <v>0.938866799204771</v>
      </c>
      <c r="W578" s="72">
        <v>0.900821516687905</v>
      </c>
      <c r="X578" s="74">
        <v>0.92</v>
      </c>
      <c r="Y578" s="74">
        <v>0.683565004088307</v>
      </c>
      <c r="Z578" s="74">
        <v>0.84339457567804</v>
      </c>
      <c r="AA578" s="74">
        <v>1</v>
      </c>
      <c r="AB578" s="74">
        <v>0.806932369876934</v>
      </c>
      <c r="AC578" s="74">
        <v>0.92</v>
      </c>
      <c r="AD578" s="72">
        <v>0.978439282236751</v>
      </c>
      <c r="AE578" s="72">
        <v>0.975350692421458</v>
      </c>
      <c r="AF578" s="72">
        <v>0.987186988064592</v>
      </c>
      <c r="AG578" s="72">
        <v>0.981357998988787</v>
      </c>
      <c r="AH578" s="74">
        <v>0.92</v>
      </c>
      <c r="AI578" s="72">
        <v>0.900419478387744</v>
      </c>
      <c r="AJ578" s="72">
        <v>0.953519932145886</v>
      </c>
      <c r="AK578" s="72">
        <v>0.983730252298986</v>
      </c>
      <c r="AL578" s="72">
        <v>0.946578067280159</v>
      </c>
      <c r="AM578" s="71">
        <v>0.99</v>
      </c>
      <c r="AN578" s="76">
        <v>1</v>
      </c>
      <c r="AO578" s="76">
        <v>1</v>
      </c>
      <c r="AP578" s="76">
        <v>1</v>
      </c>
      <c r="AQ578" s="76">
        <v>1</v>
      </c>
      <c r="AR578" s="96">
        <v>0.05</v>
      </c>
      <c r="AS578" s="80">
        <v>0.0476190476190476</v>
      </c>
      <c r="AT578" s="80">
        <v>0.111111111111111</v>
      </c>
      <c r="AU578" s="80">
        <v>0.0434782608695652</v>
      </c>
      <c r="AV578" s="80">
        <v>0.0185185185185185</v>
      </c>
      <c r="AW578" s="36"/>
      <c r="AX578" s="34"/>
    </row>
    <row r="579" ht="14.5" spans="1:50">
      <c r="A579" s="32"/>
      <c r="B579" s="36"/>
      <c r="C579" s="91" t="s">
        <v>401</v>
      </c>
      <c r="D579" s="69" t="s">
        <v>19</v>
      </c>
      <c r="E579" s="92" t="s">
        <v>630</v>
      </c>
      <c r="F579" s="92" t="s">
        <v>630</v>
      </c>
      <c r="G579" s="92" t="s">
        <v>630</v>
      </c>
      <c r="H579" s="92" t="s">
        <v>630</v>
      </c>
      <c r="I579" s="71">
        <v>0.9</v>
      </c>
      <c r="J579" s="72">
        <v>0.821428571428571</v>
      </c>
      <c r="K579" s="72">
        <v>0.964285714285714</v>
      </c>
      <c r="L579" s="73">
        <v>0.9</v>
      </c>
      <c r="M579" s="72">
        <v>0.883534136546185</v>
      </c>
      <c r="N579" s="74">
        <v>0.9</v>
      </c>
      <c r="O579" s="72">
        <v>0.980074142724745</v>
      </c>
      <c r="P579" s="72">
        <v>0.987396994667959</v>
      </c>
      <c r="Q579" s="72">
        <v>0.988038277511962</v>
      </c>
      <c r="R579" s="72">
        <v>0.976867494931642</v>
      </c>
      <c r="S579" s="74">
        <v>0.9</v>
      </c>
      <c r="T579" s="72">
        <v>0.855885078776645</v>
      </c>
      <c r="U579" s="72">
        <v>0.938923897237033</v>
      </c>
      <c r="V579" s="72">
        <v>0.930622009569378</v>
      </c>
      <c r="W579" s="72">
        <v>0.876384051567292</v>
      </c>
      <c r="X579" s="74">
        <v>0.92</v>
      </c>
      <c r="Y579" s="74">
        <v>0.883787661406026</v>
      </c>
      <c r="Z579" s="74">
        <v>0.951492537313433</v>
      </c>
      <c r="AA579" s="74">
        <v>0.930451127819549</v>
      </c>
      <c r="AB579" s="74">
        <v>0.917682926829268</v>
      </c>
      <c r="AC579" s="74">
        <v>0.92</v>
      </c>
      <c r="AD579" s="72">
        <v>0.998031496062992</v>
      </c>
      <c r="AE579" s="72">
        <v>0.956143896523848</v>
      </c>
      <c r="AF579" s="72">
        <v>0.99401453612655</v>
      </c>
      <c r="AG579" s="72">
        <v>0.983203011873733</v>
      </c>
      <c r="AH579" s="74">
        <v>0.92</v>
      </c>
      <c r="AI579" s="72">
        <v>0.933473389355742</v>
      </c>
      <c r="AJ579" s="72">
        <v>0.975759907656791</v>
      </c>
      <c r="AK579" s="72">
        <v>0.972158657513349</v>
      </c>
      <c r="AL579" s="72">
        <v>0.962915442241629</v>
      </c>
      <c r="AM579" s="71">
        <v>0.99</v>
      </c>
      <c r="AN579" s="76">
        <v>1</v>
      </c>
      <c r="AO579" s="76">
        <v>1</v>
      </c>
      <c r="AP579" s="76">
        <v>1</v>
      </c>
      <c r="AQ579" s="76">
        <v>1</v>
      </c>
      <c r="AR579" s="96">
        <v>0.05</v>
      </c>
      <c r="AS579" s="80">
        <v>0.153846153846154</v>
      </c>
      <c r="AT579" s="80">
        <v>0.181818181818182</v>
      </c>
      <c r="AU579" s="80">
        <v>0.0909090909090909</v>
      </c>
      <c r="AV579" s="80">
        <v>0.079646017699115</v>
      </c>
      <c r="AW579" s="36"/>
      <c r="AX579" s="34"/>
    </row>
    <row r="580" ht="14.5" spans="1:50">
      <c r="A580" s="32"/>
      <c r="B580" s="36"/>
      <c r="C580" s="91" t="s">
        <v>401</v>
      </c>
      <c r="D580" s="69" t="s">
        <v>19</v>
      </c>
      <c r="E580" s="92" t="s">
        <v>631</v>
      </c>
      <c r="F580" s="92" t="s">
        <v>631</v>
      </c>
      <c r="G580" s="92" t="s">
        <v>631</v>
      </c>
      <c r="H580" s="92" t="s">
        <v>631</v>
      </c>
      <c r="I580" s="71">
        <v>0.9</v>
      </c>
      <c r="J580" s="72">
        <v>0.978260869565217</v>
      </c>
      <c r="K580" s="72">
        <v>0.977272727272727</v>
      </c>
      <c r="L580" s="73">
        <v>1</v>
      </c>
      <c r="M580" s="72">
        <v>0.989528795811518</v>
      </c>
      <c r="N580" s="74">
        <v>0.9</v>
      </c>
      <c r="O580" s="72">
        <v>0.6</v>
      </c>
      <c r="P580" s="72">
        <v>0.666666666666667</v>
      </c>
      <c r="Q580" s="72">
        <v>1</v>
      </c>
      <c r="R580" s="72">
        <v>0.666666666666667</v>
      </c>
      <c r="S580" s="74">
        <v>0.9</v>
      </c>
      <c r="T580" s="72">
        <v>0.2</v>
      </c>
      <c r="U580" s="72">
        <v>0</v>
      </c>
      <c r="V580" s="72">
        <v>0</v>
      </c>
      <c r="W580" s="72">
        <v>0.111111111111111</v>
      </c>
      <c r="X580" s="74">
        <v>0.92</v>
      </c>
      <c r="Y580" s="74">
        <v>0</v>
      </c>
      <c r="Z580" s="74">
        <v>0</v>
      </c>
      <c r="AA580" s="74">
        <v>0</v>
      </c>
      <c r="AB580" s="74">
        <v>0.25</v>
      </c>
      <c r="AC580" s="74">
        <v>0.92</v>
      </c>
      <c r="AD580" s="72">
        <v>1</v>
      </c>
      <c r="AE580" s="72">
        <v>0.972748815165877</v>
      </c>
      <c r="AF580" s="72">
        <v>0.980498374864572</v>
      </c>
      <c r="AG580" s="72">
        <v>0.986293674867992</v>
      </c>
      <c r="AH580" s="74">
        <v>0.92</v>
      </c>
      <c r="AI580" s="72">
        <v>0.953150620754275</v>
      </c>
      <c r="AJ580" s="72">
        <v>0.939236561931966</v>
      </c>
      <c r="AK580" s="72">
        <v>0.96147880041365</v>
      </c>
      <c r="AL580" s="72">
        <v>0.937710484566785</v>
      </c>
      <c r="AM580" s="71">
        <v>0.99</v>
      </c>
      <c r="AN580" s="76">
        <v>1</v>
      </c>
      <c r="AO580" s="76">
        <v>1</v>
      </c>
      <c r="AP580" s="76">
        <v>1</v>
      </c>
      <c r="AQ580" s="76">
        <v>1</v>
      </c>
      <c r="AR580" s="96">
        <v>0.05</v>
      </c>
      <c r="AS580" s="80">
        <v>0.0526315789473684</v>
      </c>
      <c r="AT580" s="80">
        <v>0</v>
      </c>
      <c r="AU580" s="80">
        <v>0.125</v>
      </c>
      <c r="AV580" s="80">
        <v>0.0659340659340659</v>
      </c>
      <c r="AW580" s="36"/>
      <c r="AX580" s="34"/>
    </row>
    <row r="581" ht="14.5" spans="1:50">
      <c r="A581" s="32"/>
      <c r="B581" s="36"/>
      <c r="C581" s="91" t="s">
        <v>401</v>
      </c>
      <c r="D581" s="69" t="s">
        <v>19</v>
      </c>
      <c r="E581" s="92" t="s">
        <v>632</v>
      </c>
      <c r="F581" s="92" t="s">
        <v>632</v>
      </c>
      <c r="G581" s="92" t="s">
        <v>632</v>
      </c>
      <c r="H581" s="92" t="s">
        <v>632</v>
      </c>
      <c r="I581" s="71">
        <v>0.9</v>
      </c>
      <c r="J581" s="72">
        <v>0.953846153846154</v>
      </c>
      <c r="K581" s="72">
        <v>0.985294117647059</v>
      </c>
      <c r="L581" s="73">
        <v>0.984848484848485</v>
      </c>
      <c r="M581" s="72">
        <v>0.981164383561644</v>
      </c>
      <c r="N581" s="74">
        <v>0.9</v>
      </c>
      <c r="O581" s="72">
        <v>0.987198669991687</v>
      </c>
      <c r="P581" s="72">
        <v>0.99235327853183</v>
      </c>
      <c r="Q581" s="72">
        <v>0.996764370003807</v>
      </c>
      <c r="R581" s="72">
        <v>0.98982807451434</v>
      </c>
      <c r="S581" s="74">
        <v>0.9</v>
      </c>
      <c r="T581" s="72">
        <v>0.872485453034081</v>
      </c>
      <c r="U581" s="72">
        <v>0.923723953354999</v>
      </c>
      <c r="V581" s="72">
        <v>0.902931100114199</v>
      </c>
      <c r="W581" s="72">
        <v>0.883262196338107</v>
      </c>
      <c r="X581" s="74">
        <v>0.92</v>
      </c>
      <c r="Y581" s="74">
        <v>0.872422680412371</v>
      </c>
      <c r="Z581" s="74">
        <v>0.852550663871419</v>
      </c>
      <c r="AA581" s="74">
        <v>0.906695156695157</v>
      </c>
      <c r="AB581" s="74">
        <v>0.880398137742816</v>
      </c>
      <c r="AC581" s="74">
        <v>0.92</v>
      </c>
      <c r="AD581" s="72">
        <v>0.988685134607881</v>
      </c>
      <c r="AE581" s="72">
        <v>0.99236641221374</v>
      </c>
      <c r="AF581" s="72">
        <v>0.98572931737472</v>
      </c>
      <c r="AG581" s="72">
        <v>0.985165064772252</v>
      </c>
      <c r="AH581" s="74">
        <v>0.92</v>
      </c>
      <c r="AI581" s="72">
        <v>0.951915455746367</v>
      </c>
      <c r="AJ581" s="72">
        <v>0.951816271389973</v>
      </c>
      <c r="AK581" s="72">
        <v>0.95990990990991</v>
      </c>
      <c r="AL581" s="72">
        <v>0.959026868151177</v>
      </c>
      <c r="AM581" s="71">
        <v>0.99</v>
      </c>
      <c r="AN581" s="76">
        <v>1</v>
      </c>
      <c r="AO581" s="76">
        <v>1</v>
      </c>
      <c r="AP581" s="76">
        <v>1</v>
      </c>
      <c r="AQ581" s="76">
        <v>1</v>
      </c>
      <c r="AR581" s="96">
        <v>0.05</v>
      </c>
      <c r="AS581" s="80">
        <v>0.147058823529412</v>
      </c>
      <c r="AT581" s="80">
        <v>0.0277777777777778</v>
      </c>
      <c r="AU581" s="80">
        <v>0</v>
      </c>
      <c r="AV581" s="80">
        <v>0.0422535211267606</v>
      </c>
      <c r="AW581" s="36"/>
      <c r="AX581" s="34"/>
    </row>
    <row r="582" ht="14.5" spans="1:50">
      <c r="A582" s="32"/>
      <c r="B582" s="36"/>
      <c r="C582" s="91" t="s">
        <v>401</v>
      </c>
      <c r="D582" s="69" t="s">
        <v>19</v>
      </c>
      <c r="E582" s="92" t="s">
        <v>633</v>
      </c>
      <c r="F582" s="92" t="s">
        <v>633</v>
      </c>
      <c r="G582" s="92" t="s">
        <v>633</v>
      </c>
      <c r="H582" s="92" t="s">
        <v>633</v>
      </c>
      <c r="I582" s="71">
        <v>0.9</v>
      </c>
      <c r="J582" s="72">
        <v>0.96551724137931</v>
      </c>
      <c r="K582" s="72">
        <v>0.96875</v>
      </c>
      <c r="L582" s="73">
        <v>1</v>
      </c>
      <c r="M582" s="72">
        <v>0.992481203007519</v>
      </c>
      <c r="N582" s="74">
        <v>0.9</v>
      </c>
      <c r="O582" s="72">
        <v>0</v>
      </c>
      <c r="P582" s="72">
        <v>0</v>
      </c>
      <c r="Q582" s="72">
        <v>1</v>
      </c>
      <c r="R582" s="72">
        <v>0.2</v>
      </c>
      <c r="S582" s="74">
        <v>0.9</v>
      </c>
      <c r="T582" s="72">
        <v>0</v>
      </c>
      <c r="U582" s="72">
        <v>0</v>
      </c>
      <c r="V582" s="72">
        <v>1</v>
      </c>
      <c r="W582" s="72">
        <v>0.2</v>
      </c>
      <c r="X582" s="74">
        <v>0.92</v>
      </c>
      <c r="Y582" s="74">
        <v>0</v>
      </c>
      <c r="Z582" s="74">
        <v>0</v>
      </c>
      <c r="AA582" s="74">
        <v>0</v>
      </c>
      <c r="AB582" s="74">
        <v>0</v>
      </c>
      <c r="AC582" s="74">
        <v>0.92</v>
      </c>
      <c r="AD582" s="72">
        <v>0.998263888888889</v>
      </c>
      <c r="AE582" s="72">
        <v>0.998432601880878</v>
      </c>
      <c r="AF582" s="72">
        <v>0.991416309012876</v>
      </c>
      <c r="AG582" s="72">
        <v>0.996182543813986</v>
      </c>
      <c r="AH582" s="74">
        <v>0.92</v>
      </c>
      <c r="AI582" s="72">
        <v>0.960994131860545</v>
      </c>
      <c r="AJ582" s="72">
        <v>0.968205904617714</v>
      </c>
      <c r="AK582" s="72">
        <v>0.979561501300632</v>
      </c>
      <c r="AL582" s="72">
        <v>0.969121431197157</v>
      </c>
      <c r="AM582" s="71">
        <v>0.99</v>
      </c>
      <c r="AN582" s="76">
        <v>1</v>
      </c>
      <c r="AO582" s="76">
        <v>1</v>
      </c>
      <c r="AP582" s="76">
        <v>1</v>
      </c>
      <c r="AQ582" s="76">
        <v>1</v>
      </c>
      <c r="AR582" s="96">
        <v>0.05</v>
      </c>
      <c r="AS582" s="80">
        <v>0</v>
      </c>
      <c r="AT582" s="80">
        <v>0.2</v>
      </c>
      <c r="AU582" s="80">
        <v>0.125</v>
      </c>
      <c r="AV582" s="80">
        <v>0.0735294117647059</v>
      </c>
      <c r="AW582" s="36"/>
      <c r="AX582" s="34"/>
    </row>
    <row r="583" ht="14.5" spans="1:50">
      <c r="A583" s="32"/>
      <c r="B583" s="36"/>
      <c r="C583" s="91" t="s">
        <v>401</v>
      </c>
      <c r="D583" s="69" t="s">
        <v>19</v>
      </c>
      <c r="E583" s="92" t="s">
        <v>634</v>
      </c>
      <c r="F583" s="92" t="s">
        <v>634</v>
      </c>
      <c r="G583" s="92" t="s">
        <v>634</v>
      </c>
      <c r="H583" s="92" t="s">
        <v>634</v>
      </c>
      <c r="I583" s="71">
        <v>0.9</v>
      </c>
      <c r="J583" s="72">
        <v>0.975</v>
      </c>
      <c r="K583" s="72">
        <v>0.928571428571429</v>
      </c>
      <c r="L583" s="73">
        <v>0.976744186046512</v>
      </c>
      <c r="M583" s="72">
        <v>0.962162162162162</v>
      </c>
      <c r="N583" s="74">
        <v>0.9</v>
      </c>
      <c r="O583" s="72">
        <v>0.970487106017192</v>
      </c>
      <c r="P583" s="72">
        <v>0.972988843217851</v>
      </c>
      <c r="Q583" s="72">
        <v>0.98200163621489</v>
      </c>
      <c r="R583" s="72">
        <v>0.968975951584647</v>
      </c>
      <c r="S583" s="74">
        <v>0.9</v>
      </c>
      <c r="T583" s="72">
        <v>0.922636103151863</v>
      </c>
      <c r="U583" s="72">
        <v>0.935408103347035</v>
      </c>
      <c r="V583" s="72">
        <v>0.94300518134715</v>
      </c>
      <c r="W583" s="72">
        <v>0.928587354674311</v>
      </c>
      <c r="X583" s="74">
        <v>0.92</v>
      </c>
      <c r="Y583" s="74">
        <v>0.951370468611848</v>
      </c>
      <c r="Z583" s="74">
        <v>0.949646643109541</v>
      </c>
      <c r="AA583" s="74">
        <v>0.961075069508805</v>
      </c>
      <c r="AB583" s="74">
        <v>0.943153897699352</v>
      </c>
      <c r="AC583" s="74">
        <v>0.92</v>
      </c>
      <c r="AD583" s="72">
        <v>0.998836871183484</v>
      </c>
      <c r="AE583" s="72">
        <v>0.987117368751069</v>
      </c>
      <c r="AF583" s="72">
        <v>0.992168075584286</v>
      </c>
      <c r="AG583" s="72">
        <v>0.992851069618746</v>
      </c>
      <c r="AH583" s="74">
        <v>0.92</v>
      </c>
      <c r="AI583" s="72">
        <v>0.968851395197923</v>
      </c>
      <c r="AJ583" s="72">
        <v>0.970918704560476</v>
      </c>
      <c r="AK583" s="72">
        <v>0.976401179941003</v>
      </c>
      <c r="AL583" s="72">
        <v>0.967687580533254</v>
      </c>
      <c r="AM583" s="71">
        <v>0.99</v>
      </c>
      <c r="AN583" s="76">
        <v>1</v>
      </c>
      <c r="AO583" s="76">
        <v>1</v>
      </c>
      <c r="AP583" s="76">
        <v>1</v>
      </c>
      <c r="AQ583" s="76">
        <v>1</v>
      </c>
      <c r="AR583" s="96">
        <v>0.05</v>
      </c>
      <c r="AS583" s="80">
        <v>0.0476190476190476</v>
      </c>
      <c r="AT583" s="80">
        <v>0.0357142857142857</v>
      </c>
      <c r="AU583" s="80">
        <v>0</v>
      </c>
      <c r="AV583" s="80">
        <v>0.0401785714285714</v>
      </c>
      <c r="AW583" s="36"/>
      <c r="AX583" s="34"/>
    </row>
    <row r="584" ht="14.5" spans="1:50">
      <c r="A584" s="32"/>
      <c r="B584" s="36"/>
      <c r="C584" s="91" t="s">
        <v>401</v>
      </c>
      <c r="D584" s="69" t="s">
        <v>19</v>
      </c>
      <c r="E584" s="92" t="s">
        <v>635</v>
      </c>
      <c r="F584" s="92" t="s">
        <v>635</v>
      </c>
      <c r="G584" s="92" t="s">
        <v>635</v>
      </c>
      <c r="H584" s="92" t="s">
        <v>635</v>
      </c>
      <c r="I584" s="71">
        <v>0.9</v>
      </c>
      <c r="J584" s="72">
        <v>1</v>
      </c>
      <c r="K584" s="72">
        <v>1</v>
      </c>
      <c r="L584" s="73">
        <v>1</v>
      </c>
      <c r="M584" s="72">
        <v>0.992105263157895</v>
      </c>
      <c r="N584" s="74">
        <v>0.9</v>
      </c>
      <c r="O584" s="72">
        <v>0.993372216330859</v>
      </c>
      <c r="P584" s="72">
        <v>0.992096018735363</v>
      </c>
      <c r="Q584" s="72">
        <v>0.992604765817584</v>
      </c>
      <c r="R584" s="72">
        <v>0.991143415587589</v>
      </c>
      <c r="S584" s="74">
        <v>0.9</v>
      </c>
      <c r="T584" s="72">
        <v>0.957582184517497</v>
      </c>
      <c r="U584" s="72">
        <v>0.963992974238876</v>
      </c>
      <c r="V584" s="72">
        <v>0.972884141331142</v>
      </c>
      <c r="W584" s="72">
        <v>0.957946494014171</v>
      </c>
      <c r="X584" s="74">
        <v>0.92</v>
      </c>
      <c r="Y584" s="74">
        <v>0.96545768566494</v>
      </c>
      <c r="Z584" s="74">
        <v>0.970464135021097</v>
      </c>
      <c r="AA584" s="74">
        <v>0.985915492957746</v>
      </c>
      <c r="AB584" s="74">
        <v>0.97803893637227</v>
      </c>
      <c r="AC584" s="74">
        <v>0.92</v>
      </c>
      <c r="AD584" s="72">
        <v>0.990948070509767</v>
      </c>
      <c r="AE584" s="72">
        <v>0.996126960136029</v>
      </c>
      <c r="AF584" s="72">
        <v>0.997494941709221</v>
      </c>
      <c r="AG584" s="72">
        <v>0.986578317332108</v>
      </c>
      <c r="AH584" s="74">
        <v>0.92</v>
      </c>
      <c r="AI584" s="72">
        <v>0.978318135764944</v>
      </c>
      <c r="AJ584" s="72">
        <v>0.981443298969072</v>
      </c>
      <c r="AK584" s="72">
        <v>0.990537634408602</v>
      </c>
      <c r="AL584" s="72">
        <v>0.987301201893893</v>
      </c>
      <c r="AM584" s="71">
        <v>0.99</v>
      </c>
      <c r="AN584" s="76">
        <v>1</v>
      </c>
      <c r="AO584" s="76">
        <v>1</v>
      </c>
      <c r="AP584" s="76">
        <v>1</v>
      </c>
      <c r="AQ584" s="76">
        <v>1</v>
      </c>
      <c r="AR584" s="96">
        <v>0.05</v>
      </c>
      <c r="AS584" s="80">
        <v>0</v>
      </c>
      <c r="AT584" s="80">
        <v>0.037037037037037</v>
      </c>
      <c r="AU584" s="80">
        <v>0</v>
      </c>
      <c r="AV584" s="80">
        <v>0.0247933884297521</v>
      </c>
      <c r="AW584" s="36"/>
      <c r="AX584" s="34"/>
    </row>
    <row r="585" ht="14.5" spans="1:50">
      <c r="A585" s="32"/>
      <c r="B585" s="36"/>
      <c r="C585" s="91" t="s">
        <v>401</v>
      </c>
      <c r="D585" s="69" t="s">
        <v>19</v>
      </c>
      <c r="E585" s="92" t="s">
        <v>636</v>
      </c>
      <c r="F585" s="92" t="s">
        <v>636</v>
      </c>
      <c r="G585" s="92" t="s">
        <v>636</v>
      </c>
      <c r="H585" s="92" t="s">
        <v>636</v>
      </c>
      <c r="I585" s="71">
        <v>0.9</v>
      </c>
      <c r="J585" s="72">
        <v>0.972222222222222</v>
      </c>
      <c r="K585" s="72">
        <v>0.970588235294118</v>
      </c>
      <c r="L585" s="73">
        <v>0.945945945945946</v>
      </c>
      <c r="M585" s="72">
        <v>0.963779527559055</v>
      </c>
      <c r="N585" s="74">
        <v>0.9</v>
      </c>
      <c r="O585" s="72">
        <v>0.6</v>
      </c>
      <c r="P585" s="72">
        <v>1</v>
      </c>
      <c r="Q585" s="72">
        <v>0</v>
      </c>
      <c r="R585" s="72">
        <v>0.636363636363636</v>
      </c>
      <c r="S585" s="74">
        <v>0.9</v>
      </c>
      <c r="T585" s="72">
        <v>0.2</v>
      </c>
      <c r="U585" s="72">
        <v>0</v>
      </c>
      <c r="V585" s="72">
        <v>0</v>
      </c>
      <c r="W585" s="72">
        <v>0.0909090909090909</v>
      </c>
      <c r="X585" s="74">
        <v>0.92</v>
      </c>
      <c r="Y585" s="74">
        <v>0</v>
      </c>
      <c r="Z585" s="74">
        <v>0</v>
      </c>
      <c r="AA585" s="74">
        <v>0</v>
      </c>
      <c r="AB585" s="74">
        <v>0.25</v>
      </c>
      <c r="AC585" s="74">
        <v>0.92</v>
      </c>
      <c r="AD585" s="72">
        <v>0.992679355783309</v>
      </c>
      <c r="AE585" s="72">
        <v>0.955555555555556</v>
      </c>
      <c r="AF585" s="72">
        <v>0.997604790419162</v>
      </c>
      <c r="AG585" s="72">
        <v>0.984309481942378</v>
      </c>
      <c r="AH585" s="74">
        <v>0.92</v>
      </c>
      <c r="AI585" s="72">
        <v>0.924695298897272</v>
      </c>
      <c r="AJ585" s="72">
        <v>0.915421195652174</v>
      </c>
      <c r="AK585" s="72">
        <v>0.937967369136642</v>
      </c>
      <c r="AL585" s="72">
        <v>0.932660524650116</v>
      </c>
      <c r="AM585" s="71">
        <v>0.99</v>
      </c>
      <c r="AN585" s="76">
        <v>1</v>
      </c>
      <c r="AO585" s="76">
        <v>1</v>
      </c>
      <c r="AP585" s="76">
        <v>1</v>
      </c>
      <c r="AQ585" s="76">
        <v>1</v>
      </c>
      <c r="AR585" s="96">
        <v>0.05</v>
      </c>
      <c r="AS585" s="80">
        <v>0</v>
      </c>
      <c r="AT585" s="80">
        <v>0.0588235294117647</v>
      </c>
      <c r="AU585" s="80">
        <v>0.0454545454545455</v>
      </c>
      <c r="AV585" s="80">
        <v>0.0220994475138122</v>
      </c>
      <c r="AW585" s="36"/>
      <c r="AX585" s="34"/>
    </row>
    <row r="586" ht="14.5" spans="1:50">
      <c r="A586" s="32"/>
      <c r="B586" s="36"/>
      <c r="C586" s="91" t="s">
        <v>401</v>
      </c>
      <c r="D586" s="69" t="s">
        <v>19</v>
      </c>
      <c r="E586" s="92" t="s">
        <v>637</v>
      </c>
      <c r="F586" s="92" t="s">
        <v>637</v>
      </c>
      <c r="G586" s="92" t="s">
        <v>637</v>
      </c>
      <c r="H586" s="92" t="s">
        <v>637</v>
      </c>
      <c r="I586" s="71">
        <v>0.9</v>
      </c>
      <c r="J586" s="72">
        <v>0.923076923076923</v>
      </c>
      <c r="K586" s="72">
        <v>1</v>
      </c>
      <c r="L586" s="73">
        <v>1</v>
      </c>
      <c r="M586" s="72">
        <v>0.987394957983193</v>
      </c>
      <c r="N586" s="74">
        <v>0.9</v>
      </c>
      <c r="O586" s="72">
        <v>0.993076590220684</v>
      </c>
      <c r="P586" s="72">
        <v>0.998909487459106</v>
      </c>
      <c r="Q586" s="72">
        <v>0.997886728655959</v>
      </c>
      <c r="R586" s="72">
        <v>0.994933588936054</v>
      </c>
      <c r="S586" s="74">
        <v>0.9</v>
      </c>
      <c r="T586" s="72">
        <v>0.951968844655993</v>
      </c>
      <c r="U586" s="72">
        <v>0.978916757542712</v>
      </c>
      <c r="V586" s="72">
        <v>0.978444632290786</v>
      </c>
      <c r="W586" s="72">
        <v>0.972111917476836</v>
      </c>
      <c r="X586" s="74">
        <v>0.92</v>
      </c>
      <c r="Y586" s="74">
        <v>0.964739069111425</v>
      </c>
      <c r="Z586" s="74">
        <v>0.981395348837209</v>
      </c>
      <c r="AA586" s="74">
        <v>1</v>
      </c>
      <c r="AB586" s="74">
        <v>0.983883495145631</v>
      </c>
      <c r="AC586" s="74">
        <v>0.92</v>
      </c>
      <c r="AD586" s="72">
        <v>0.999388472710595</v>
      </c>
      <c r="AE586" s="72">
        <v>0.996205413609917</v>
      </c>
      <c r="AF586" s="72">
        <v>0.997324818778046</v>
      </c>
      <c r="AG586" s="72">
        <v>0.996504068364885</v>
      </c>
      <c r="AH586" s="74">
        <v>0.92</v>
      </c>
      <c r="AI586" s="72">
        <v>0.974503311258278</v>
      </c>
      <c r="AJ586" s="72">
        <v>0.988221436984688</v>
      </c>
      <c r="AK586" s="72">
        <v>0.994871794871795</v>
      </c>
      <c r="AL586" s="72">
        <v>0.989541759053954</v>
      </c>
      <c r="AM586" s="71">
        <v>0.99</v>
      </c>
      <c r="AN586" s="76">
        <v>1</v>
      </c>
      <c r="AO586" s="76">
        <v>1</v>
      </c>
      <c r="AP586" s="76">
        <v>1</v>
      </c>
      <c r="AQ586" s="76">
        <v>1</v>
      </c>
      <c r="AR586" s="96">
        <v>0.05</v>
      </c>
      <c r="AS586" s="80">
        <v>0</v>
      </c>
      <c r="AT586" s="80">
        <v>0.0625</v>
      </c>
      <c r="AU586" s="80">
        <v>0.24</v>
      </c>
      <c r="AV586" s="80">
        <v>0.0694444444444444</v>
      </c>
      <c r="AW586" s="36"/>
      <c r="AX586" s="34"/>
    </row>
    <row r="587" ht="14.5" spans="1:50">
      <c r="A587" s="32"/>
      <c r="B587" s="36"/>
      <c r="C587" s="91" t="s">
        <v>401</v>
      </c>
      <c r="D587" s="69" t="s">
        <v>19</v>
      </c>
      <c r="E587" s="92" t="s">
        <v>638</v>
      </c>
      <c r="F587" s="92" t="s">
        <v>638</v>
      </c>
      <c r="G587" s="92" t="s">
        <v>638</v>
      </c>
      <c r="H587" s="92" t="s">
        <v>638</v>
      </c>
      <c r="I587" s="71">
        <v>0.9</v>
      </c>
      <c r="J587" s="72">
        <v>0.96969696969697</v>
      </c>
      <c r="K587" s="72">
        <v>0.942857142857143</v>
      </c>
      <c r="L587" s="73">
        <v>0.933333333333333</v>
      </c>
      <c r="M587" s="72">
        <v>0.935593220338983</v>
      </c>
      <c r="N587" s="74">
        <v>0.9</v>
      </c>
      <c r="O587" s="72">
        <v>0</v>
      </c>
      <c r="P587" s="72">
        <v>0</v>
      </c>
      <c r="Q587" s="72">
        <v>0</v>
      </c>
      <c r="R587" s="72">
        <v>0.75</v>
      </c>
      <c r="S587" s="74">
        <v>0.9</v>
      </c>
      <c r="T587" s="72">
        <v>0</v>
      </c>
      <c r="U587" s="72">
        <v>0</v>
      </c>
      <c r="V587" s="72">
        <v>0</v>
      </c>
      <c r="W587" s="72">
        <v>0.5</v>
      </c>
      <c r="X587" s="74">
        <v>0.92</v>
      </c>
      <c r="Y587" s="74">
        <v>0</v>
      </c>
      <c r="Z587" s="74">
        <v>0</v>
      </c>
      <c r="AA587" s="74">
        <v>0</v>
      </c>
      <c r="AB587" s="74">
        <v>0</v>
      </c>
      <c r="AC587" s="74">
        <v>0.92</v>
      </c>
      <c r="AD587" s="72">
        <v>1</v>
      </c>
      <c r="AE587" s="72">
        <v>0.982456140350877</v>
      </c>
      <c r="AF587" s="72">
        <v>0.98</v>
      </c>
      <c r="AG587" s="72">
        <v>0.970093457943925</v>
      </c>
      <c r="AH587" s="74">
        <v>0.92</v>
      </c>
      <c r="AI587" s="72">
        <v>0.959545214172396</v>
      </c>
      <c r="AJ587" s="72">
        <v>0.959855116208874</v>
      </c>
      <c r="AK587" s="72">
        <v>0.904389657245941</v>
      </c>
      <c r="AL587" s="72">
        <v>0.933752232712427</v>
      </c>
      <c r="AM587" s="71">
        <v>0.99</v>
      </c>
      <c r="AN587" s="76">
        <v>1</v>
      </c>
      <c r="AO587" s="76">
        <v>1</v>
      </c>
      <c r="AP587" s="76">
        <v>1</v>
      </c>
      <c r="AQ587" s="76">
        <v>1</v>
      </c>
      <c r="AR587" s="96">
        <v>0.05</v>
      </c>
      <c r="AS587" s="80">
        <v>0</v>
      </c>
      <c r="AT587" s="80">
        <v>0.5</v>
      </c>
      <c r="AU587" s="80">
        <v>0.15</v>
      </c>
      <c r="AV587" s="80">
        <v>0.0892857142857143</v>
      </c>
      <c r="AW587" s="36"/>
      <c r="AX587" s="34"/>
    </row>
    <row r="588" ht="14.5" spans="1:50">
      <c r="A588" s="32"/>
      <c r="B588" s="36"/>
      <c r="C588" s="91" t="s">
        <v>401</v>
      </c>
      <c r="D588" s="69" t="s">
        <v>19</v>
      </c>
      <c r="E588" s="92" t="s">
        <v>639</v>
      </c>
      <c r="F588" s="92" t="s">
        <v>639</v>
      </c>
      <c r="G588" s="92" t="s">
        <v>639</v>
      </c>
      <c r="H588" s="92" t="s">
        <v>639</v>
      </c>
      <c r="I588" s="71">
        <v>0.9</v>
      </c>
      <c r="J588" s="72">
        <v>1</v>
      </c>
      <c r="K588" s="72">
        <v>1</v>
      </c>
      <c r="L588" s="73">
        <v>0.956521739130435</v>
      </c>
      <c r="M588" s="72">
        <v>0.97196261682243</v>
      </c>
      <c r="N588" s="74">
        <v>0.9</v>
      </c>
      <c r="O588" s="72">
        <v>0.993721222268732</v>
      </c>
      <c r="P588" s="72">
        <v>0.971858321203299</v>
      </c>
      <c r="Q588" s="72">
        <v>0.96250616674889</v>
      </c>
      <c r="R588" s="72">
        <v>0.980915837835109</v>
      </c>
      <c r="S588" s="74">
        <v>0.9</v>
      </c>
      <c r="T588" s="72">
        <v>0.873587275010465</v>
      </c>
      <c r="U588" s="72">
        <v>0.857836001940805</v>
      </c>
      <c r="V588" s="72">
        <v>0.881598421312284</v>
      </c>
      <c r="W588" s="72">
        <v>0.882667743726965</v>
      </c>
      <c r="X588" s="74">
        <v>0.92</v>
      </c>
      <c r="Y588" s="74">
        <v>0.593264248704663</v>
      </c>
      <c r="Z588" s="74">
        <v>0.706855791962175</v>
      </c>
      <c r="AA588" s="74">
        <v>0.745454545454545</v>
      </c>
      <c r="AB588" s="74">
        <v>0.698158526821457</v>
      </c>
      <c r="AC588" s="74">
        <v>0.92</v>
      </c>
      <c r="AD588" s="72">
        <v>0.99618320610687</v>
      </c>
      <c r="AE588" s="72">
        <v>0.998685939553219</v>
      </c>
      <c r="AF588" s="72">
        <v>0.99920445505171</v>
      </c>
      <c r="AG588" s="72">
        <v>0.998201157516033</v>
      </c>
      <c r="AH588" s="74">
        <v>0.92</v>
      </c>
      <c r="AI588" s="72">
        <v>0.888688760806916</v>
      </c>
      <c r="AJ588" s="72">
        <v>0.909859154929577</v>
      </c>
      <c r="AK588" s="72">
        <v>0.941980936593452</v>
      </c>
      <c r="AL588" s="72">
        <v>0.928686645725444</v>
      </c>
      <c r="AM588" s="71">
        <v>0.99</v>
      </c>
      <c r="AN588" s="76">
        <v>1</v>
      </c>
      <c r="AO588" s="76">
        <v>1</v>
      </c>
      <c r="AP588" s="76">
        <v>1</v>
      </c>
      <c r="AQ588" s="76">
        <v>1</v>
      </c>
      <c r="AR588" s="96">
        <v>0.05</v>
      </c>
      <c r="AS588" s="80">
        <v>0.05</v>
      </c>
      <c r="AT588" s="80">
        <v>0.111111111111111</v>
      </c>
      <c r="AU588" s="80">
        <v>0.1</v>
      </c>
      <c r="AV588" s="80">
        <v>0.0545454545454545</v>
      </c>
      <c r="AW588" s="36"/>
      <c r="AX588" s="34"/>
    </row>
    <row r="589" ht="14.5" spans="1:50">
      <c r="A589" s="32"/>
      <c r="B589" s="36"/>
      <c r="C589" s="91" t="s">
        <v>401</v>
      </c>
      <c r="D589" s="69" t="s">
        <v>19</v>
      </c>
      <c r="E589" s="92" t="s">
        <v>640</v>
      </c>
      <c r="F589" s="92" t="s">
        <v>640</v>
      </c>
      <c r="G589" s="92" t="s">
        <v>640</v>
      </c>
      <c r="H589" s="92" t="s">
        <v>640</v>
      </c>
      <c r="I589" s="71">
        <v>0.9</v>
      </c>
      <c r="J589" s="72">
        <v>0.966666666666667</v>
      </c>
      <c r="K589" s="72">
        <v>0.96969696969697</v>
      </c>
      <c r="L589" s="73">
        <v>1</v>
      </c>
      <c r="M589" s="72">
        <v>0.979310344827586</v>
      </c>
      <c r="N589" s="74">
        <v>0.9</v>
      </c>
      <c r="O589" s="72">
        <v>0</v>
      </c>
      <c r="P589" s="72">
        <v>0</v>
      </c>
      <c r="Q589" s="72">
        <v>0</v>
      </c>
      <c r="R589" s="72">
        <v>0.375</v>
      </c>
      <c r="S589" s="74">
        <v>0.9</v>
      </c>
      <c r="T589" s="72">
        <v>1</v>
      </c>
      <c r="U589" s="72">
        <v>0.666666666666667</v>
      </c>
      <c r="V589" s="72">
        <v>0</v>
      </c>
      <c r="W589" s="72">
        <v>0.875</v>
      </c>
      <c r="X589" s="74">
        <v>0.92</v>
      </c>
      <c r="Y589" s="74">
        <v>0</v>
      </c>
      <c r="Z589" s="74">
        <v>0</v>
      </c>
      <c r="AA589" s="74">
        <v>0</v>
      </c>
      <c r="AB589" s="74">
        <v>0</v>
      </c>
      <c r="AC589" s="74">
        <v>0.92</v>
      </c>
      <c r="AD589" s="72">
        <v>0.989247311827957</v>
      </c>
      <c r="AE589" s="72">
        <v>0.985185185185185</v>
      </c>
      <c r="AF589" s="72">
        <v>0.963963963963964</v>
      </c>
      <c r="AG589" s="72">
        <v>0.976190476190476</v>
      </c>
      <c r="AH589" s="74">
        <v>0.92</v>
      </c>
      <c r="AI589" s="72">
        <v>0.912458706937235</v>
      </c>
      <c r="AJ589" s="72">
        <v>0.949689089881289</v>
      </c>
      <c r="AK589" s="72">
        <v>0.9501679731243</v>
      </c>
      <c r="AL589" s="72">
        <v>0.948971312662996</v>
      </c>
      <c r="AM589" s="71">
        <v>0.99</v>
      </c>
      <c r="AN589" s="76">
        <v>1</v>
      </c>
      <c r="AO589" s="76">
        <v>1</v>
      </c>
      <c r="AP589" s="76">
        <v>1</v>
      </c>
      <c r="AQ589" s="76">
        <v>1</v>
      </c>
      <c r="AR589" s="96">
        <v>0.05</v>
      </c>
      <c r="AS589" s="80">
        <v>0</v>
      </c>
      <c r="AT589" s="80">
        <v>0.0909090909090909</v>
      </c>
      <c r="AU589" s="80">
        <v>0.0833333333333333</v>
      </c>
      <c r="AV589" s="80">
        <v>0.0306122448979592</v>
      </c>
      <c r="AW589" s="36"/>
      <c r="AX589" s="34"/>
    </row>
    <row r="590" ht="14.5" spans="1:50">
      <c r="A590" s="32"/>
      <c r="B590" s="36"/>
      <c r="C590" s="91" t="s">
        <v>401</v>
      </c>
      <c r="D590" s="69" t="s">
        <v>19</v>
      </c>
      <c r="E590" s="92" t="s">
        <v>641</v>
      </c>
      <c r="F590" s="92" t="s">
        <v>641</v>
      </c>
      <c r="G590" s="92" t="s">
        <v>641</v>
      </c>
      <c r="H590" s="92" t="s">
        <v>641</v>
      </c>
      <c r="I590" s="71">
        <v>0.9</v>
      </c>
      <c r="J590" s="72">
        <v>0.928571428571429</v>
      </c>
      <c r="K590" s="72">
        <v>0.966666666666667</v>
      </c>
      <c r="L590" s="73">
        <v>0.9</v>
      </c>
      <c r="M590" s="72">
        <v>0.944649446494465</v>
      </c>
      <c r="N590" s="74">
        <v>0.9</v>
      </c>
      <c r="O590" s="72">
        <v>0.9702329594478</v>
      </c>
      <c r="P590" s="72">
        <v>0.972938144329897</v>
      </c>
      <c r="Q590" s="72">
        <v>0.982795698924731</v>
      </c>
      <c r="R590" s="72">
        <v>0.9745269286754</v>
      </c>
      <c r="S590" s="74">
        <v>0.9</v>
      </c>
      <c r="T590" s="72">
        <v>0.879206212251941</v>
      </c>
      <c r="U590" s="72">
        <v>0.915807560137457</v>
      </c>
      <c r="V590" s="72">
        <v>0.928172043010753</v>
      </c>
      <c r="W590" s="72">
        <v>0.92037845705968</v>
      </c>
      <c r="X590" s="74">
        <v>0.92</v>
      </c>
      <c r="Y590" s="74">
        <v>0.882352941176471</v>
      </c>
      <c r="Z590" s="74">
        <v>0.89943342776204</v>
      </c>
      <c r="AA590" s="74">
        <v>0.917662682602922</v>
      </c>
      <c r="AB590" s="74">
        <v>0.920251329144514</v>
      </c>
      <c r="AC590" s="74">
        <v>0.92</v>
      </c>
      <c r="AD590" s="72">
        <v>0.990363232023721</v>
      </c>
      <c r="AE590" s="72">
        <v>0.978596210301575</v>
      </c>
      <c r="AF590" s="72">
        <v>0.962056128293242</v>
      </c>
      <c r="AG590" s="72">
        <v>0.979065360820035</v>
      </c>
      <c r="AH590" s="74">
        <v>0.92</v>
      </c>
      <c r="AI590" s="72">
        <v>0.93747996152613</v>
      </c>
      <c r="AJ590" s="72">
        <v>0.960131795716639</v>
      </c>
      <c r="AK590" s="72">
        <v>0.958428061058785</v>
      </c>
      <c r="AL590" s="72">
        <v>0.958993476234856</v>
      </c>
      <c r="AM590" s="71">
        <v>0.99</v>
      </c>
      <c r="AN590" s="76">
        <v>1</v>
      </c>
      <c r="AO590" s="76">
        <v>1</v>
      </c>
      <c r="AP590" s="76">
        <v>1</v>
      </c>
      <c r="AQ590" s="76">
        <v>1</v>
      </c>
      <c r="AR590" s="96">
        <v>0.05</v>
      </c>
      <c r="AS590" s="80">
        <v>0.166666666666667</v>
      </c>
      <c r="AT590" s="80">
        <v>0</v>
      </c>
      <c r="AU590" s="80">
        <v>0.0555555555555556</v>
      </c>
      <c r="AV590" s="80">
        <v>0.0432098765432099</v>
      </c>
      <c r="AW590" s="36"/>
      <c r="AX590" s="34"/>
    </row>
    <row r="591" ht="14.5" spans="1:50">
      <c r="A591" s="32"/>
      <c r="B591" s="36"/>
      <c r="C591" s="91" t="s">
        <v>401</v>
      </c>
      <c r="D591" s="69" t="s">
        <v>19</v>
      </c>
      <c r="E591" s="92" t="s">
        <v>642</v>
      </c>
      <c r="F591" s="92" t="s">
        <v>642</v>
      </c>
      <c r="G591" s="92" t="s">
        <v>642</v>
      </c>
      <c r="H591" s="92" t="s">
        <v>642</v>
      </c>
      <c r="I591" s="71">
        <v>0.9</v>
      </c>
      <c r="J591" s="72">
        <v>1</v>
      </c>
      <c r="K591" s="72">
        <v>0.981132075471698</v>
      </c>
      <c r="L591" s="73">
        <v>1</v>
      </c>
      <c r="M591" s="72">
        <v>0.997835497835498</v>
      </c>
      <c r="N591" s="74">
        <v>0.9</v>
      </c>
      <c r="O591" s="72">
        <v>0.977713874910137</v>
      </c>
      <c r="P591" s="72">
        <v>0.980290172460991</v>
      </c>
      <c r="Q591" s="72">
        <v>0.981737542394991</v>
      </c>
      <c r="R591" s="72">
        <v>0.976204183458069</v>
      </c>
      <c r="S591" s="74">
        <v>0.9</v>
      </c>
      <c r="T591" s="72">
        <v>0.908938413611311</v>
      </c>
      <c r="U591" s="72">
        <v>0.927730632356967</v>
      </c>
      <c r="V591" s="72">
        <v>0.914688233759457</v>
      </c>
      <c r="W591" s="72">
        <v>0.899004852372728</v>
      </c>
      <c r="X591" s="74">
        <v>0.92</v>
      </c>
      <c r="Y591" s="74">
        <v>0.872364039955605</v>
      </c>
      <c r="Z591" s="74">
        <v>0.874617737003058</v>
      </c>
      <c r="AA591" s="74">
        <v>0.853430353430353</v>
      </c>
      <c r="AB591" s="74">
        <v>0.84276420768381</v>
      </c>
      <c r="AC591" s="74">
        <v>0.92</v>
      </c>
      <c r="AD591" s="72">
        <v>0.998249912495625</v>
      </c>
      <c r="AE591" s="72">
        <v>0.997850722938648</v>
      </c>
      <c r="AF591" s="72">
        <v>0.994325509414496</v>
      </c>
      <c r="AG591" s="72">
        <v>0.997039211783439</v>
      </c>
      <c r="AH591" s="74">
        <v>0.92</v>
      </c>
      <c r="AI591" s="72">
        <v>0.958259499901555</v>
      </c>
      <c r="AJ591" s="72">
        <v>0.958576051779935</v>
      </c>
      <c r="AK591" s="72">
        <v>0.955370177267987</v>
      </c>
      <c r="AL591" s="72">
        <v>0.954561749417458</v>
      </c>
      <c r="AM591" s="71">
        <v>0.99</v>
      </c>
      <c r="AN591" s="76">
        <v>1</v>
      </c>
      <c r="AO591" s="76">
        <v>1</v>
      </c>
      <c r="AP591" s="76">
        <v>1</v>
      </c>
      <c r="AQ591" s="76">
        <v>1</v>
      </c>
      <c r="AR591" s="96">
        <v>0.05</v>
      </c>
      <c r="AS591" s="80">
        <v>0</v>
      </c>
      <c r="AT591" s="80">
        <v>0</v>
      </c>
      <c r="AU591" s="80">
        <v>0</v>
      </c>
      <c r="AV591" s="80">
        <v>0.036231884057971</v>
      </c>
      <c r="AW591" s="36"/>
      <c r="AX591" s="34"/>
    </row>
    <row r="592" ht="14.5" spans="1:50">
      <c r="A592" s="32"/>
      <c r="B592" s="36"/>
      <c r="C592" s="91" t="s">
        <v>401</v>
      </c>
      <c r="D592" s="69" t="s">
        <v>19</v>
      </c>
      <c r="E592" s="92" t="s">
        <v>643</v>
      </c>
      <c r="F592" s="92" t="s">
        <v>643</v>
      </c>
      <c r="G592" s="92" t="s">
        <v>643</v>
      </c>
      <c r="H592" s="92" t="s">
        <v>643</v>
      </c>
      <c r="I592" s="71">
        <v>0.9</v>
      </c>
      <c r="J592" s="72">
        <v>1</v>
      </c>
      <c r="K592" s="72">
        <v>1</v>
      </c>
      <c r="L592" s="73">
        <v>1</v>
      </c>
      <c r="M592" s="72">
        <v>0.990059642147117</v>
      </c>
      <c r="N592" s="74">
        <v>0.9</v>
      </c>
      <c r="O592" s="72">
        <v>0.978002725326066</v>
      </c>
      <c r="P592" s="72">
        <v>0.981570680628272</v>
      </c>
      <c r="Q592" s="72">
        <v>0.98858941569939</v>
      </c>
      <c r="R592" s="72">
        <v>0.984111351848204</v>
      </c>
      <c r="S592" s="74">
        <v>0.9</v>
      </c>
      <c r="T592" s="72">
        <v>0.88865096359743</v>
      </c>
      <c r="U592" s="72">
        <v>0.947643979057592</v>
      </c>
      <c r="V592" s="72">
        <v>0.961636828644501</v>
      </c>
      <c r="W592" s="72">
        <v>0.938940319086074</v>
      </c>
      <c r="X592" s="74">
        <v>0.92</v>
      </c>
      <c r="Y592" s="74">
        <v>0.896879240162822</v>
      </c>
      <c r="Z592" s="74">
        <v>0.940503432494279</v>
      </c>
      <c r="AA592" s="74">
        <v>0.955851436580238</v>
      </c>
      <c r="AB592" s="74">
        <v>0.941337310464827</v>
      </c>
      <c r="AC592" s="74">
        <v>0.92</v>
      </c>
      <c r="AD592" s="72">
        <v>0.981120396162179</v>
      </c>
      <c r="AE592" s="72">
        <v>0.985015724239995</v>
      </c>
      <c r="AF592" s="72">
        <v>0.989370298999192</v>
      </c>
      <c r="AG592" s="72">
        <v>0.986398023189508</v>
      </c>
      <c r="AH592" s="74">
        <v>0.92</v>
      </c>
      <c r="AI592" s="72">
        <v>0.932849364791289</v>
      </c>
      <c r="AJ592" s="72">
        <v>0.974043042549696</v>
      </c>
      <c r="AK592" s="72">
        <v>0.983410138248848</v>
      </c>
      <c r="AL592" s="72">
        <v>0.971195125328902</v>
      </c>
      <c r="AM592" s="71">
        <v>0.99</v>
      </c>
      <c r="AN592" s="76">
        <v>1</v>
      </c>
      <c r="AO592" s="76">
        <v>1</v>
      </c>
      <c r="AP592" s="76">
        <v>1</v>
      </c>
      <c r="AQ592" s="76">
        <v>1</v>
      </c>
      <c r="AR592" s="96">
        <v>0.05</v>
      </c>
      <c r="AS592" s="80">
        <v>0</v>
      </c>
      <c r="AT592" s="80">
        <v>0.0303030303030303</v>
      </c>
      <c r="AU592" s="80">
        <v>0.0294117647058824</v>
      </c>
      <c r="AV592" s="80">
        <v>0.0365448504983389</v>
      </c>
      <c r="AW592" s="36"/>
      <c r="AX592" s="34"/>
    </row>
    <row r="593" ht="14.5" spans="1:50">
      <c r="A593" s="32"/>
      <c r="B593" s="36"/>
      <c r="C593" s="91" t="s">
        <v>401</v>
      </c>
      <c r="D593" s="69" t="s">
        <v>19</v>
      </c>
      <c r="E593" s="92" t="s">
        <v>644</v>
      </c>
      <c r="F593" s="92" t="s">
        <v>644</v>
      </c>
      <c r="G593" s="92" t="s">
        <v>644</v>
      </c>
      <c r="H593" s="92" t="s">
        <v>644</v>
      </c>
      <c r="I593" s="71">
        <v>0.9</v>
      </c>
      <c r="J593" s="72">
        <v>0.972222222222222</v>
      </c>
      <c r="K593" s="72">
        <v>1</v>
      </c>
      <c r="L593" s="73">
        <v>0.954545454545455</v>
      </c>
      <c r="M593" s="72">
        <v>0.974358974358974</v>
      </c>
      <c r="N593" s="74">
        <v>0.9</v>
      </c>
      <c r="O593" s="72">
        <v>0</v>
      </c>
      <c r="P593" s="72">
        <v>0</v>
      </c>
      <c r="Q593" s="72">
        <v>0</v>
      </c>
      <c r="R593" s="72">
        <v>0</v>
      </c>
      <c r="S593" s="74">
        <v>0.9</v>
      </c>
      <c r="T593" s="72">
        <v>0</v>
      </c>
      <c r="U593" s="72">
        <v>0</v>
      </c>
      <c r="V593" s="72">
        <v>0</v>
      </c>
      <c r="W593" s="72">
        <v>0</v>
      </c>
      <c r="X593" s="74">
        <v>0.92</v>
      </c>
      <c r="Y593" s="74">
        <v>0</v>
      </c>
      <c r="Z593" s="74">
        <v>0</v>
      </c>
      <c r="AA593" s="74">
        <v>0</v>
      </c>
      <c r="AB593" s="74">
        <v>0</v>
      </c>
      <c r="AC593" s="74">
        <v>0.92</v>
      </c>
      <c r="AD593" s="72">
        <v>0.998588567395907</v>
      </c>
      <c r="AE593" s="72">
        <v>0.997877984084881</v>
      </c>
      <c r="AF593" s="72">
        <v>0.998142414860681</v>
      </c>
      <c r="AG593" s="72">
        <v>0.996415043290043</v>
      </c>
      <c r="AH593" s="74">
        <v>0.92</v>
      </c>
      <c r="AI593" s="72">
        <v>0.964413793103448</v>
      </c>
      <c r="AJ593" s="72">
        <v>0.969420758600412</v>
      </c>
      <c r="AK593" s="72">
        <v>0.941416040100251</v>
      </c>
      <c r="AL593" s="72">
        <v>0.956692789475341</v>
      </c>
      <c r="AM593" s="71">
        <v>0.99</v>
      </c>
      <c r="AN593" s="76">
        <v>1</v>
      </c>
      <c r="AO593" s="76">
        <v>1</v>
      </c>
      <c r="AP593" s="76">
        <v>1</v>
      </c>
      <c r="AQ593" s="76">
        <v>1</v>
      </c>
      <c r="AR593" s="96">
        <v>0.05</v>
      </c>
      <c r="AS593" s="80">
        <v>0</v>
      </c>
      <c r="AT593" s="80">
        <v>0</v>
      </c>
      <c r="AU593" s="80">
        <v>0.5</v>
      </c>
      <c r="AV593" s="80">
        <v>0.150684931506849</v>
      </c>
      <c r="AW593" s="36"/>
      <c r="AX593" s="34"/>
    </row>
    <row r="594" ht="14.5" spans="1:50">
      <c r="A594" s="32"/>
      <c r="B594" s="36"/>
      <c r="C594" s="91" t="s">
        <v>401</v>
      </c>
      <c r="D594" s="69" t="s">
        <v>19</v>
      </c>
      <c r="E594" s="92" t="s">
        <v>645</v>
      </c>
      <c r="F594" s="92" t="s">
        <v>645</v>
      </c>
      <c r="G594" s="92" t="s">
        <v>645</v>
      </c>
      <c r="H594" s="92" t="s">
        <v>645</v>
      </c>
      <c r="I594" s="71">
        <v>0.9</v>
      </c>
      <c r="J594" s="72">
        <v>0.775</v>
      </c>
      <c r="K594" s="72">
        <v>0.846153846153846</v>
      </c>
      <c r="L594" s="73">
        <v>0.847826086956522</v>
      </c>
      <c r="M594" s="72">
        <v>0.810160427807487</v>
      </c>
      <c r="N594" s="74">
        <v>0.9</v>
      </c>
      <c r="O594" s="72">
        <v>0.994843316144387</v>
      </c>
      <c r="P594" s="72">
        <v>0.980431309904153</v>
      </c>
      <c r="Q594" s="72">
        <v>0.991414369633981</v>
      </c>
      <c r="R594" s="72">
        <v>0.989305575360046</v>
      </c>
      <c r="S594" s="74">
        <v>0.9</v>
      </c>
      <c r="T594" s="72">
        <v>0.851249504165014</v>
      </c>
      <c r="U594" s="72">
        <v>0.858226837060703</v>
      </c>
      <c r="V594" s="72">
        <v>0.919114324446453</v>
      </c>
      <c r="W594" s="72">
        <v>0.895479823185513</v>
      </c>
      <c r="X594" s="74">
        <v>0.92</v>
      </c>
      <c r="Y594" s="74">
        <v>0.857676503548749</v>
      </c>
      <c r="Z594" s="74">
        <v>0.883984867591425</v>
      </c>
      <c r="AA594" s="74">
        <v>0.948550046772685</v>
      </c>
      <c r="AB594" s="74">
        <v>0.917382622022013</v>
      </c>
      <c r="AC594" s="74">
        <v>0.92</v>
      </c>
      <c r="AD594" s="72">
        <v>0.998937677053824</v>
      </c>
      <c r="AE594" s="72">
        <v>0.947017999210066</v>
      </c>
      <c r="AF594" s="72">
        <v>0.990962225349064</v>
      </c>
      <c r="AG594" s="72">
        <v>0.97639301798487</v>
      </c>
      <c r="AH594" s="74">
        <v>0.92</v>
      </c>
      <c r="AI594" s="72">
        <v>0.894655901576317</v>
      </c>
      <c r="AJ594" s="72">
        <v>0.916035224247389</v>
      </c>
      <c r="AK594" s="72">
        <v>0.961450206516751</v>
      </c>
      <c r="AL594" s="72">
        <v>0.941242752177281</v>
      </c>
      <c r="AM594" s="71">
        <v>0.99</v>
      </c>
      <c r="AN594" s="76">
        <v>1</v>
      </c>
      <c r="AO594" s="76">
        <v>1</v>
      </c>
      <c r="AP594" s="76">
        <v>1</v>
      </c>
      <c r="AQ594" s="76">
        <v>1</v>
      </c>
      <c r="AR594" s="96">
        <v>0.05</v>
      </c>
      <c r="AS594" s="80">
        <v>0.0606060606060606</v>
      </c>
      <c r="AT594" s="80">
        <v>0.12</v>
      </c>
      <c r="AU594" s="80">
        <v>0.0967741935483871</v>
      </c>
      <c r="AV594" s="80">
        <v>0.0569105691056911</v>
      </c>
      <c r="AW594" s="36"/>
      <c r="AX594" s="34"/>
    </row>
    <row r="595" ht="14.5" spans="1:50">
      <c r="A595" s="32"/>
      <c r="B595" s="36"/>
      <c r="C595" s="91" t="s">
        <v>401</v>
      </c>
      <c r="D595" s="69" t="s">
        <v>19</v>
      </c>
      <c r="E595" s="92" t="s">
        <v>646</v>
      </c>
      <c r="F595" s="92" t="s">
        <v>646</v>
      </c>
      <c r="G595" s="92" t="s">
        <v>646</v>
      </c>
      <c r="H595" s="92" t="s">
        <v>646</v>
      </c>
      <c r="I595" s="71">
        <v>0.9</v>
      </c>
      <c r="J595" s="72">
        <v>0.978723404255319</v>
      </c>
      <c r="K595" s="72">
        <v>0.979591836734694</v>
      </c>
      <c r="L595" s="73">
        <v>0.96</v>
      </c>
      <c r="M595" s="72">
        <v>0.964989059080963</v>
      </c>
      <c r="N595" s="74">
        <v>0.9</v>
      </c>
      <c r="O595" s="72">
        <v>0.986724297622723</v>
      </c>
      <c r="P595" s="72">
        <v>0.987905792488861</v>
      </c>
      <c r="Q595" s="72">
        <v>0.988368114950393</v>
      </c>
      <c r="R595" s="72">
        <v>0.987976580469785</v>
      </c>
      <c r="S595" s="74">
        <v>0.9</v>
      </c>
      <c r="T595" s="72">
        <v>0.887619635690028</v>
      </c>
      <c r="U595" s="72">
        <v>0.895607893061744</v>
      </c>
      <c r="V595" s="72">
        <v>0.911734519329456</v>
      </c>
      <c r="W595" s="72">
        <v>0.910747891545271</v>
      </c>
      <c r="X595" s="74">
        <v>0.92</v>
      </c>
      <c r="Y595" s="74">
        <v>0.934669636228656</v>
      </c>
      <c r="Z595" s="74">
        <v>0.947445612319726</v>
      </c>
      <c r="AA595" s="74">
        <v>0.973135181480423</v>
      </c>
      <c r="AB595" s="74">
        <v>0.963670696992757</v>
      </c>
      <c r="AC595" s="74">
        <v>0.92</v>
      </c>
      <c r="AD595" s="72">
        <v>0.992773451203255</v>
      </c>
      <c r="AE595" s="72">
        <v>0.932185670476722</v>
      </c>
      <c r="AF595" s="72">
        <v>0.974824782730586</v>
      </c>
      <c r="AG595" s="72">
        <v>0.971641152586588</v>
      </c>
      <c r="AH595" s="74">
        <v>0.92</v>
      </c>
      <c r="AI595" s="72">
        <v>0.953858829991761</v>
      </c>
      <c r="AJ595" s="72">
        <v>0.962123306607686</v>
      </c>
      <c r="AK595" s="72">
        <v>0.980382998598786</v>
      </c>
      <c r="AL595" s="72">
        <v>0.974389332003988</v>
      </c>
      <c r="AM595" s="71">
        <v>0.99</v>
      </c>
      <c r="AN595" s="76">
        <v>1</v>
      </c>
      <c r="AO595" s="76">
        <v>1</v>
      </c>
      <c r="AP595" s="76">
        <v>1</v>
      </c>
      <c r="AQ595" s="76">
        <v>1</v>
      </c>
      <c r="AR595" s="96">
        <v>0.05</v>
      </c>
      <c r="AS595" s="80">
        <v>0.0357142857142857</v>
      </c>
      <c r="AT595" s="80">
        <v>0.0476190476190476</v>
      </c>
      <c r="AU595" s="80">
        <v>0.111111111111111</v>
      </c>
      <c r="AV595" s="80">
        <v>0.0493273542600897</v>
      </c>
      <c r="AW595" s="36"/>
      <c r="AX595" s="34"/>
    </row>
    <row r="596" ht="14.5" spans="1:50">
      <c r="A596" s="32"/>
      <c r="B596" s="36"/>
      <c r="C596" s="91" t="s">
        <v>401</v>
      </c>
      <c r="D596" s="69" t="s">
        <v>19</v>
      </c>
      <c r="E596" s="92" t="s">
        <v>647</v>
      </c>
      <c r="F596" s="92" t="s">
        <v>647</v>
      </c>
      <c r="G596" s="92" t="s">
        <v>647</v>
      </c>
      <c r="H596" s="92" t="s">
        <v>647</v>
      </c>
      <c r="I596" s="71">
        <v>0.9</v>
      </c>
      <c r="J596" s="72">
        <v>0.773333333333333</v>
      </c>
      <c r="K596" s="72">
        <v>0.839080459770115</v>
      </c>
      <c r="L596" s="73">
        <v>0.847826086956522</v>
      </c>
      <c r="M596" s="72">
        <v>0.830573248407643</v>
      </c>
      <c r="N596" s="74">
        <v>0.9</v>
      </c>
      <c r="O596" s="72">
        <v>0.860078076844052</v>
      </c>
      <c r="P596" s="72">
        <v>0.942440370589395</v>
      </c>
      <c r="Q596" s="72">
        <v>0.941722972972973</v>
      </c>
      <c r="R596" s="72">
        <v>0.915682134674992</v>
      </c>
      <c r="S596" s="74">
        <v>0.9</v>
      </c>
      <c r="T596" s="72">
        <v>0.788370659543867</v>
      </c>
      <c r="U596" s="72">
        <v>0.871279321900256</v>
      </c>
      <c r="V596" s="72">
        <v>0.894425675675676</v>
      </c>
      <c r="W596" s="72">
        <v>0.854476438614618</v>
      </c>
      <c r="X596" s="74">
        <v>0.92</v>
      </c>
      <c r="Y596" s="74">
        <v>0.726740179186768</v>
      </c>
      <c r="Z596" s="74">
        <v>0.850769530488993</v>
      </c>
      <c r="AA596" s="74">
        <v>0.904491188175099</v>
      </c>
      <c r="AB596" s="74">
        <v>0.840639464778871</v>
      </c>
      <c r="AC596" s="74">
        <v>0.92</v>
      </c>
      <c r="AD596" s="72">
        <v>0.998930889652539</v>
      </c>
      <c r="AE596" s="72">
        <v>0.665078804987062</v>
      </c>
      <c r="AF596" s="72">
        <v>0.883397227956355</v>
      </c>
      <c r="AG596" s="72">
        <v>0.876210013462401</v>
      </c>
      <c r="AH596" s="74">
        <v>0.92</v>
      </c>
      <c r="AI596" s="72">
        <v>0.79715169118336</v>
      </c>
      <c r="AJ596" s="72">
        <v>0.900382015868351</v>
      </c>
      <c r="AK596" s="72">
        <v>0.932328575706158</v>
      </c>
      <c r="AL596" s="72">
        <v>0.889911220406802</v>
      </c>
      <c r="AM596" s="71">
        <v>0.99</v>
      </c>
      <c r="AN596" s="76">
        <v>1</v>
      </c>
      <c r="AO596" s="76">
        <v>1</v>
      </c>
      <c r="AP596" s="76">
        <v>1</v>
      </c>
      <c r="AQ596" s="76">
        <v>1</v>
      </c>
      <c r="AR596" s="96">
        <v>0.05</v>
      </c>
      <c r="AS596" s="80">
        <v>0.00531914893617021</v>
      </c>
      <c r="AT596" s="80">
        <v>0</v>
      </c>
      <c r="AU596" s="80">
        <v>0.0179640718562874</v>
      </c>
      <c r="AV596" s="80">
        <v>0.00967558338076266</v>
      </c>
      <c r="AW596" s="36"/>
      <c r="AX596" s="34"/>
    </row>
    <row r="597" ht="14.5" spans="1:50">
      <c r="A597" s="32"/>
      <c r="B597" s="36"/>
      <c r="C597" s="91" t="s">
        <v>401</v>
      </c>
      <c r="D597" s="69" t="s">
        <v>19</v>
      </c>
      <c r="E597" s="92" t="s">
        <v>648</v>
      </c>
      <c r="F597" s="92" t="s">
        <v>648</v>
      </c>
      <c r="G597" s="92" t="s">
        <v>648</v>
      </c>
      <c r="H597" s="92" t="s">
        <v>648</v>
      </c>
      <c r="I597" s="71">
        <v>0.9</v>
      </c>
      <c r="J597" s="72">
        <v>0</v>
      </c>
      <c r="K597" s="72">
        <v>0</v>
      </c>
      <c r="L597" s="73">
        <v>0</v>
      </c>
      <c r="M597" s="72">
        <v>0</v>
      </c>
      <c r="N597" s="74">
        <v>0.9</v>
      </c>
      <c r="O597" s="72">
        <v>0</v>
      </c>
      <c r="P597" s="72">
        <v>0</v>
      </c>
      <c r="Q597" s="72">
        <v>0</v>
      </c>
      <c r="R597" s="72">
        <v>0</v>
      </c>
      <c r="S597" s="74">
        <v>0.9</v>
      </c>
      <c r="T597" s="72">
        <v>0</v>
      </c>
      <c r="U597" s="72">
        <v>0</v>
      </c>
      <c r="V597" s="72">
        <v>0</v>
      </c>
      <c r="W597" s="72">
        <v>0</v>
      </c>
      <c r="X597" s="74">
        <v>0.92</v>
      </c>
      <c r="Y597" s="74">
        <v>0</v>
      </c>
      <c r="Z597" s="74">
        <v>0</v>
      </c>
      <c r="AA597" s="74">
        <v>0</v>
      </c>
      <c r="AB597" s="74">
        <v>0</v>
      </c>
      <c r="AC597" s="74">
        <v>0.92</v>
      </c>
      <c r="AD597" s="72">
        <v>1</v>
      </c>
      <c r="AE597" s="72">
        <v>0.58989898989899</v>
      </c>
      <c r="AF597" s="72">
        <v>0.727272727272727</v>
      </c>
      <c r="AG597" s="72">
        <v>0.762438682550806</v>
      </c>
      <c r="AH597" s="74">
        <v>0.92</v>
      </c>
      <c r="AI597" s="72">
        <v>0</v>
      </c>
      <c r="AJ597" s="72">
        <v>0</v>
      </c>
      <c r="AK597" s="72">
        <v>0</v>
      </c>
      <c r="AL597" s="72">
        <v>0</v>
      </c>
      <c r="AM597" s="71">
        <v>0.99</v>
      </c>
      <c r="AN597" s="76">
        <v>0</v>
      </c>
      <c r="AO597" s="76">
        <v>0</v>
      </c>
      <c r="AP597" s="76">
        <v>1</v>
      </c>
      <c r="AQ597" s="76">
        <v>1</v>
      </c>
      <c r="AR597" s="96">
        <v>0.05</v>
      </c>
      <c r="AS597" s="80">
        <v>0</v>
      </c>
      <c r="AT597" s="80">
        <v>0</v>
      </c>
      <c r="AU597" s="80">
        <v>0</v>
      </c>
      <c r="AV597" s="80">
        <v>0</v>
      </c>
      <c r="AW597" s="36"/>
      <c r="AX597" s="34"/>
    </row>
    <row r="598" ht="14.5" spans="1:50">
      <c r="A598" s="32"/>
      <c r="B598" s="36"/>
      <c r="C598" s="91" t="s">
        <v>401</v>
      </c>
      <c r="D598" s="69" t="s">
        <v>19</v>
      </c>
      <c r="E598" s="92" t="s">
        <v>649</v>
      </c>
      <c r="F598" s="92" t="s">
        <v>649</v>
      </c>
      <c r="G598" s="92" t="s">
        <v>649</v>
      </c>
      <c r="H598" s="92" t="s">
        <v>649</v>
      </c>
      <c r="I598" s="71">
        <v>0.9</v>
      </c>
      <c r="J598" s="72">
        <v>0.676056338028169</v>
      </c>
      <c r="K598" s="72">
        <v>0.683544303797468</v>
      </c>
      <c r="L598" s="73">
        <v>0.72289156626506</v>
      </c>
      <c r="M598" s="72">
        <v>0.688768606224628</v>
      </c>
      <c r="N598" s="74">
        <v>0.9</v>
      </c>
      <c r="O598" s="72">
        <v>0.914723926380368</v>
      </c>
      <c r="P598" s="72">
        <v>0.924210526315789</v>
      </c>
      <c r="Q598" s="72">
        <v>0.894250750404064</v>
      </c>
      <c r="R598" s="72">
        <v>0.910992720508875</v>
      </c>
      <c r="S598" s="74">
        <v>0.9</v>
      </c>
      <c r="T598" s="72">
        <v>0.689161554192229</v>
      </c>
      <c r="U598" s="72">
        <v>0.741818181818182</v>
      </c>
      <c r="V598" s="72">
        <v>0.74324636342646</v>
      </c>
      <c r="W598" s="72">
        <v>0.731485521390681</v>
      </c>
      <c r="X598" s="74">
        <v>0.92</v>
      </c>
      <c r="Y598" s="74">
        <v>0.737968775148881</v>
      </c>
      <c r="Z598" s="74">
        <v>0.810209205020921</v>
      </c>
      <c r="AA598" s="74">
        <v>0.82904636920385</v>
      </c>
      <c r="AB598" s="74">
        <v>0.811098076854715</v>
      </c>
      <c r="AC598" s="74">
        <v>0.92</v>
      </c>
      <c r="AD598" s="72">
        <v>0.995797338314266</v>
      </c>
      <c r="AE598" s="72">
        <v>0.977710801149506</v>
      </c>
      <c r="AF598" s="72">
        <v>0.979848151564607</v>
      </c>
      <c r="AG598" s="72">
        <v>0.98363371217525</v>
      </c>
      <c r="AH598" s="74">
        <v>0.92</v>
      </c>
      <c r="AI598" s="72">
        <v>0.815758667266997</v>
      </c>
      <c r="AJ598" s="72">
        <v>0.868315328988483</v>
      </c>
      <c r="AK598" s="72">
        <v>0.882241688234123</v>
      </c>
      <c r="AL598" s="72">
        <v>0.871391365321046</v>
      </c>
      <c r="AM598" s="71">
        <v>0.99</v>
      </c>
      <c r="AN598" s="76">
        <v>1</v>
      </c>
      <c r="AO598" s="76">
        <v>1</v>
      </c>
      <c r="AP598" s="76">
        <v>1</v>
      </c>
      <c r="AQ598" s="76">
        <v>1</v>
      </c>
      <c r="AR598" s="96">
        <v>0.05</v>
      </c>
      <c r="AS598" s="80">
        <v>0</v>
      </c>
      <c r="AT598" s="80">
        <v>0</v>
      </c>
      <c r="AU598" s="80">
        <v>0.0789473684210526</v>
      </c>
      <c r="AV598" s="80">
        <v>0.0225872689938398</v>
      </c>
      <c r="AW598" s="36"/>
      <c r="AX598" s="34"/>
    </row>
    <row r="599" ht="14.5" spans="1:50">
      <c r="A599" s="32"/>
      <c r="B599" s="36"/>
      <c r="C599" s="91" t="s">
        <v>401</v>
      </c>
      <c r="D599" s="69" t="s">
        <v>19</v>
      </c>
      <c r="E599" s="92" t="s">
        <v>650</v>
      </c>
      <c r="F599" s="92" t="s">
        <v>650</v>
      </c>
      <c r="G599" s="92" t="s">
        <v>650</v>
      </c>
      <c r="H599" s="92" t="s">
        <v>650</v>
      </c>
      <c r="I599" s="71">
        <v>0.9</v>
      </c>
      <c r="J599" s="72">
        <v>0.846153846153846</v>
      </c>
      <c r="K599" s="72">
        <v>0.851063829787234</v>
      </c>
      <c r="L599" s="73">
        <v>0.88</v>
      </c>
      <c r="M599" s="72">
        <v>0.857305936073059</v>
      </c>
      <c r="N599" s="74">
        <v>0.9</v>
      </c>
      <c r="O599" s="72">
        <v>0.96626202112565</v>
      </c>
      <c r="P599" s="72">
        <v>0.950165502022802</v>
      </c>
      <c r="Q599" s="72">
        <v>0.939752650176678</v>
      </c>
      <c r="R599" s="72">
        <v>0.958685595788802</v>
      </c>
      <c r="S599" s="74">
        <v>0.9</v>
      </c>
      <c r="T599" s="72">
        <v>0.809396184770613</v>
      </c>
      <c r="U599" s="72">
        <v>0.914858403824936</v>
      </c>
      <c r="V599" s="72">
        <v>0.922968197879859</v>
      </c>
      <c r="W599" s="72">
        <v>0.883593874621152</v>
      </c>
      <c r="X599" s="74">
        <v>0.92</v>
      </c>
      <c r="Y599" s="74">
        <v>0.831594860166289</v>
      </c>
      <c r="Z599" s="74">
        <v>0.888974083729489</v>
      </c>
      <c r="AA599" s="74">
        <v>0.928053738730776</v>
      </c>
      <c r="AB599" s="74">
        <v>0.879499655127416</v>
      </c>
      <c r="AC599" s="74">
        <v>0.92</v>
      </c>
      <c r="AD599" s="72">
        <v>0.993539763867231</v>
      </c>
      <c r="AE599" s="72">
        <v>0.988443338995389</v>
      </c>
      <c r="AF599" s="72">
        <v>0.970241130618489</v>
      </c>
      <c r="AG599" s="72">
        <v>0.980103160154974</v>
      </c>
      <c r="AH599" s="74">
        <v>0.92</v>
      </c>
      <c r="AI599" s="72">
        <v>0.887422839506173</v>
      </c>
      <c r="AJ599" s="72">
        <v>0.930028423340578</v>
      </c>
      <c r="AK599" s="72">
        <v>0.953613712670083</v>
      </c>
      <c r="AL599" s="72">
        <v>0.925168037285981</v>
      </c>
      <c r="AM599" s="71">
        <v>0.99</v>
      </c>
      <c r="AN599" s="76">
        <v>1</v>
      </c>
      <c r="AO599" s="76">
        <v>1</v>
      </c>
      <c r="AP599" s="76">
        <v>1</v>
      </c>
      <c r="AQ599" s="76">
        <v>1</v>
      </c>
      <c r="AR599" s="96">
        <v>0.05</v>
      </c>
      <c r="AS599" s="80">
        <v>0.0714285714285714</v>
      </c>
      <c r="AT599" s="80">
        <v>0.0740740740740741</v>
      </c>
      <c r="AU599" s="80">
        <v>0.0625</v>
      </c>
      <c r="AV599" s="80">
        <v>0.0437710437710438</v>
      </c>
      <c r="AW599" s="36"/>
      <c r="AX599" s="34"/>
    </row>
    <row r="600" ht="14.5" spans="1:50">
      <c r="A600" s="32"/>
      <c r="B600" s="36"/>
      <c r="C600" s="91" t="s">
        <v>401</v>
      </c>
      <c r="D600" s="69" t="s">
        <v>19</v>
      </c>
      <c r="E600" s="92" t="s">
        <v>651</v>
      </c>
      <c r="F600" s="92" t="s">
        <v>651</v>
      </c>
      <c r="G600" s="92" t="s">
        <v>651</v>
      </c>
      <c r="H600" s="92" t="s">
        <v>651</v>
      </c>
      <c r="I600" s="71">
        <v>0.9</v>
      </c>
      <c r="J600" s="72">
        <v>0.887323943661972</v>
      </c>
      <c r="K600" s="72">
        <v>0.815789473684211</v>
      </c>
      <c r="L600" s="73">
        <v>0.906666666666667</v>
      </c>
      <c r="M600" s="72">
        <v>0.906020558002937</v>
      </c>
      <c r="N600" s="74">
        <v>0.9</v>
      </c>
      <c r="O600" s="72">
        <v>0.983758177306564</v>
      </c>
      <c r="P600" s="72">
        <v>0.985730211817168</v>
      </c>
      <c r="Q600" s="72">
        <v>0.986489997401923</v>
      </c>
      <c r="R600" s="72">
        <v>0.983059846780107</v>
      </c>
      <c r="S600" s="74">
        <v>0.9</v>
      </c>
      <c r="T600" s="72">
        <v>0.887886307241146</v>
      </c>
      <c r="U600" s="72">
        <v>0.8958751393534</v>
      </c>
      <c r="V600" s="72">
        <v>0.914003637308392</v>
      </c>
      <c r="W600" s="72">
        <v>0.898510783545296</v>
      </c>
      <c r="X600" s="74">
        <v>0.92</v>
      </c>
      <c r="Y600" s="74">
        <v>0.946478382147838</v>
      </c>
      <c r="Z600" s="74">
        <v>0.951626935792587</v>
      </c>
      <c r="AA600" s="74">
        <v>0.969948186528497</v>
      </c>
      <c r="AB600" s="74">
        <v>0.964498574760301</v>
      </c>
      <c r="AC600" s="74">
        <v>0.92</v>
      </c>
      <c r="AD600" s="72">
        <v>0.995919794823968</v>
      </c>
      <c r="AE600" s="72">
        <v>0.994624518613607</v>
      </c>
      <c r="AF600" s="72">
        <v>0.957562114390529</v>
      </c>
      <c r="AG600" s="72">
        <v>0.99168330633312</v>
      </c>
      <c r="AH600" s="74">
        <v>0.92</v>
      </c>
      <c r="AI600" s="72">
        <v>0.958022021234762</v>
      </c>
      <c r="AJ600" s="72">
        <v>0.965631712556141</v>
      </c>
      <c r="AK600" s="72">
        <v>0.979140255848796</v>
      </c>
      <c r="AL600" s="72">
        <v>0.974243858965075</v>
      </c>
      <c r="AM600" s="71">
        <v>0.99</v>
      </c>
      <c r="AN600" s="76">
        <v>1</v>
      </c>
      <c r="AO600" s="76">
        <v>1</v>
      </c>
      <c r="AP600" s="76">
        <v>1</v>
      </c>
      <c r="AQ600" s="76">
        <v>1</v>
      </c>
      <c r="AR600" s="96">
        <v>0.05</v>
      </c>
      <c r="AS600" s="80">
        <v>0.0294117647058824</v>
      </c>
      <c r="AT600" s="80">
        <v>0</v>
      </c>
      <c r="AU600" s="80">
        <v>0</v>
      </c>
      <c r="AV600" s="80">
        <v>0.0383386581469649</v>
      </c>
      <c r="AW600" s="36"/>
      <c r="AX600" s="34"/>
    </row>
    <row r="601" ht="14.5" spans="1:50">
      <c r="A601" s="32"/>
      <c r="B601" s="36"/>
      <c r="C601" s="91" t="s">
        <v>401</v>
      </c>
      <c r="D601" s="69" t="s">
        <v>19</v>
      </c>
      <c r="E601" s="92" t="s">
        <v>652</v>
      </c>
      <c r="F601" s="92" t="s">
        <v>652</v>
      </c>
      <c r="G601" s="92" t="s">
        <v>652</v>
      </c>
      <c r="H601" s="92" t="s">
        <v>652</v>
      </c>
      <c r="I601" s="71">
        <v>0.9</v>
      </c>
      <c r="J601" s="72">
        <v>0.882978723404255</v>
      </c>
      <c r="K601" s="72">
        <v>0.884210526315789</v>
      </c>
      <c r="L601" s="73">
        <v>0.834782608695652</v>
      </c>
      <c r="M601" s="72">
        <v>0.888771186440678</v>
      </c>
      <c r="N601" s="74">
        <v>0.9</v>
      </c>
      <c r="O601" s="72">
        <v>0.958656330749354</v>
      </c>
      <c r="P601" s="72">
        <v>0.987067458930444</v>
      </c>
      <c r="Q601" s="72">
        <v>0.986898810549905</v>
      </c>
      <c r="R601" s="72">
        <v>0.980493226282408</v>
      </c>
      <c r="S601" s="74">
        <v>0.9</v>
      </c>
      <c r="T601" s="72">
        <v>0.891472868217054</v>
      </c>
      <c r="U601" s="72">
        <v>0.9465221950367</v>
      </c>
      <c r="V601" s="72">
        <v>0.940182727116014</v>
      </c>
      <c r="W601" s="72">
        <v>0.930921493858624</v>
      </c>
      <c r="X601" s="74">
        <v>0.92</v>
      </c>
      <c r="Y601" s="74">
        <v>0.889365760610396</v>
      </c>
      <c r="Z601" s="74">
        <v>0.918668407310705</v>
      </c>
      <c r="AA601" s="74">
        <v>0.93446088794926</v>
      </c>
      <c r="AB601" s="74">
        <v>0.930202712105515</v>
      </c>
      <c r="AC601" s="74">
        <v>0.92</v>
      </c>
      <c r="AD601" s="72">
        <v>0.999529012810851</v>
      </c>
      <c r="AE601" s="72">
        <v>0.999180619878874</v>
      </c>
      <c r="AF601" s="72">
        <v>0.999678792258893</v>
      </c>
      <c r="AG601" s="72">
        <v>0.99907172364641</v>
      </c>
      <c r="AH601" s="74">
        <v>0.92</v>
      </c>
      <c r="AI601" s="72">
        <v>0.917175179979431</v>
      </c>
      <c r="AJ601" s="72">
        <v>0.943909179176936</v>
      </c>
      <c r="AK601" s="72">
        <v>0.954341085271318</v>
      </c>
      <c r="AL601" s="72">
        <v>0.952151636715108</v>
      </c>
      <c r="AM601" s="71">
        <v>0.99</v>
      </c>
      <c r="AN601" s="76">
        <v>1</v>
      </c>
      <c r="AO601" s="76">
        <v>1</v>
      </c>
      <c r="AP601" s="76">
        <v>1</v>
      </c>
      <c r="AQ601" s="76">
        <v>1</v>
      </c>
      <c r="AR601" s="96">
        <v>0.05</v>
      </c>
      <c r="AS601" s="80">
        <v>0.03125</v>
      </c>
      <c r="AT601" s="80">
        <v>0.15625</v>
      </c>
      <c r="AU601" s="80">
        <v>0.0208333333333333</v>
      </c>
      <c r="AV601" s="80">
        <v>0.0491329479768786</v>
      </c>
      <c r="AW601" s="36"/>
      <c r="AX601" s="34"/>
    </row>
    <row r="602" ht="14.5" spans="1:50">
      <c r="A602" s="32"/>
      <c r="B602" s="36"/>
      <c r="C602" s="91" t="s">
        <v>401</v>
      </c>
      <c r="D602" s="69" t="s">
        <v>19</v>
      </c>
      <c r="E602" s="92" t="s">
        <v>653</v>
      </c>
      <c r="F602" s="92" t="s">
        <v>653</v>
      </c>
      <c r="G602" s="92" t="s">
        <v>653</v>
      </c>
      <c r="H602" s="92" t="s">
        <v>653</v>
      </c>
      <c r="I602" s="71">
        <v>0.9</v>
      </c>
      <c r="J602" s="72">
        <v>0.928571428571429</v>
      </c>
      <c r="K602" s="72">
        <v>1</v>
      </c>
      <c r="L602" s="73">
        <v>0.967741935483871</v>
      </c>
      <c r="M602" s="72">
        <v>0.947368421052632</v>
      </c>
      <c r="N602" s="74">
        <v>0.9</v>
      </c>
      <c r="O602" s="72">
        <v>0.977857142857143</v>
      </c>
      <c r="P602" s="72">
        <v>0.988897700237906</v>
      </c>
      <c r="Q602" s="72">
        <v>0.977011494252874</v>
      </c>
      <c r="R602" s="72">
        <v>0.909302494726889</v>
      </c>
      <c r="S602" s="74">
        <v>0.9</v>
      </c>
      <c r="T602" s="72">
        <v>0.835</v>
      </c>
      <c r="U602" s="72">
        <v>0.930214115781126</v>
      </c>
      <c r="V602" s="72">
        <v>0.910344827586207</v>
      </c>
      <c r="W602" s="72">
        <v>0.884646156084079</v>
      </c>
      <c r="X602" s="74">
        <v>0.92</v>
      </c>
      <c r="Y602" s="74">
        <v>0.820773930753564</v>
      </c>
      <c r="Z602" s="74">
        <v>0.826985854189336</v>
      </c>
      <c r="AA602" s="74">
        <v>0.892750149790294</v>
      </c>
      <c r="AB602" s="74">
        <v>0.898087393550189</v>
      </c>
      <c r="AC602" s="74">
        <v>0.92</v>
      </c>
      <c r="AD602" s="72">
        <v>0.986111111111111</v>
      </c>
      <c r="AE602" s="72">
        <v>0.995238095238095</v>
      </c>
      <c r="AF602" s="72">
        <v>1</v>
      </c>
      <c r="AG602" s="72">
        <v>0.988579586009993</v>
      </c>
      <c r="AH602" s="74">
        <v>0.92</v>
      </c>
      <c r="AI602" s="72">
        <v>0.874851367419738</v>
      </c>
      <c r="AJ602" s="72">
        <v>0.886092287834785</v>
      </c>
      <c r="AK602" s="72">
        <v>0.931405514458642</v>
      </c>
      <c r="AL602" s="72">
        <v>0.933715629006981</v>
      </c>
      <c r="AM602" s="71">
        <v>0.99</v>
      </c>
      <c r="AN602" s="76">
        <v>1</v>
      </c>
      <c r="AO602" s="76">
        <v>1</v>
      </c>
      <c r="AP602" s="76">
        <v>1</v>
      </c>
      <c r="AQ602" s="76">
        <v>1</v>
      </c>
      <c r="AR602" s="96">
        <v>0.05</v>
      </c>
      <c r="AS602" s="80">
        <v>0</v>
      </c>
      <c r="AT602" s="80">
        <v>0</v>
      </c>
      <c r="AU602" s="80">
        <v>0.111111111111111</v>
      </c>
      <c r="AV602" s="80">
        <v>0.0860215053763441</v>
      </c>
      <c r="AW602" s="36"/>
      <c r="AX602" s="34"/>
    </row>
    <row r="603" ht="14.5" spans="1:50">
      <c r="A603" s="32"/>
      <c r="B603" s="36"/>
      <c r="C603" s="91" t="s">
        <v>401</v>
      </c>
      <c r="D603" s="69" t="s">
        <v>19</v>
      </c>
      <c r="E603" s="92" t="s">
        <v>654</v>
      </c>
      <c r="F603" s="92" t="s">
        <v>654</v>
      </c>
      <c r="G603" s="92" t="s">
        <v>654</v>
      </c>
      <c r="H603" s="92" t="s">
        <v>654</v>
      </c>
      <c r="I603" s="71">
        <v>0.9</v>
      </c>
      <c r="J603" s="72">
        <v>0.9375</v>
      </c>
      <c r="K603" s="72">
        <v>0.918367346938776</v>
      </c>
      <c r="L603" s="73">
        <v>0.96078431372549</v>
      </c>
      <c r="M603" s="72">
        <v>0.928571428571429</v>
      </c>
      <c r="N603" s="74">
        <v>0.9</v>
      </c>
      <c r="O603" s="72">
        <v>0.914167528438469</v>
      </c>
      <c r="P603" s="72">
        <v>0.965317919075145</v>
      </c>
      <c r="Q603" s="72">
        <v>0.948647409445209</v>
      </c>
      <c r="R603" s="72">
        <v>0.944907865592158</v>
      </c>
      <c r="S603" s="74">
        <v>0.9</v>
      </c>
      <c r="T603" s="72">
        <v>0.865563598759049</v>
      </c>
      <c r="U603" s="72">
        <v>0.899510893730547</v>
      </c>
      <c r="V603" s="72">
        <v>0.911049977074736</v>
      </c>
      <c r="W603" s="72">
        <v>0.901597624770253</v>
      </c>
      <c r="X603" s="74">
        <v>0.92</v>
      </c>
      <c r="Y603" s="74">
        <v>0.835753468860923</v>
      </c>
      <c r="Z603" s="74">
        <v>0.84936797752809</v>
      </c>
      <c r="AA603" s="74">
        <v>0.931005818786367</v>
      </c>
      <c r="AB603" s="74">
        <v>0.892971181439715</v>
      </c>
      <c r="AC603" s="74">
        <v>0.92</v>
      </c>
      <c r="AD603" s="72">
        <v>0.996991727249937</v>
      </c>
      <c r="AE603" s="72">
        <v>0.994771089937253</v>
      </c>
      <c r="AF603" s="72">
        <v>0.995596330275229</v>
      </c>
      <c r="AG603" s="72">
        <v>0.994509814198485</v>
      </c>
      <c r="AH603" s="74">
        <v>0.92</v>
      </c>
      <c r="AI603" s="72">
        <v>0.890591174021649</v>
      </c>
      <c r="AJ603" s="72">
        <v>0.896058050598156</v>
      </c>
      <c r="AK603" s="72">
        <v>0.949215344376635</v>
      </c>
      <c r="AL603" s="72">
        <v>0.928221966122334</v>
      </c>
      <c r="AM603" s="71">
        <v>0.99</v>
      </c>
      <c r="AN603" s="76">
        <v>1</v>
      </c>
      <c r="AO603" s="76">
        <v>1</v>
      </c>
      <c r="AP603" s="76">
        <v>1</v>
      </c>
      <c r="AQ603" s="76">
        <v>1</v>
      </c>
      <c r="AR603" s="96">
        <v>0.05</v>
      </c>
      <c r="AS603" s="80">
        <v>0</v>
      </c>
      <c r="AT603" s="80">
        <v>0.0714285714285714</v>
      </c>
      <c r="AU603" s="80">
        <v>0</v>
      </c>
      <c r="AV603" s="80">
        <v>0.0434782608695652</v>
      </c>
      <c r="AW603" s="36"/>
      <c r="AX603" s="34"/>
    </row>
    <row r="604" ht="14.5" spans="1:50">
      <c r="A604" s="32"/>
      <c r="B604" s="36"/>
      <c r="C604" s="91" t="s">
        <v>401</v>
      </c>
      <c r="D604" s="69" t="s">
        <v>19</v>
      </c>
      <c r="E604" s="92" t="s">
        <v>655</v>
      </c>
      <c r="F604" s="92" t="s">
        <v>655</v>
      </c>
      <c r="G604" s="92" t="s">
        <v>655</v>
      </c>
      <c r="H604" s="92" t="s">
        <v>655</v>
      </c>
      <c r="I604" s="71">
        <v>0.9</v>
      </c>
      <c r="J604" s="72">
        <v>0.822222222222222</v>
      </c>
      <c r="K604" s="72">
        <v>0.787234042553192</v>
      </c>
      <c r="L604" s="73">
        <v>0.888888888888889</v>
      </c>
      <c r="M604" s="72">
        <v>0.85042735042735</v>
      </c>
      <c r="N604" s="74">
        <v>0.9</v>
      </c>
      <c r="O604" s="72">
        <v>0.947958596894767</v>
      </c>
      <c r="P604" s="72">
        <v>0.978879436784981</v>
      </c>
      <c r="Q604" s="72">
        <v>0.979579207920792</v>
      </c>
      <c r="R604" s="72">
        <v>0.963687516356975</v>
      </c>
      <c r="S604" s="74">
        <v>0.9</v>
      </c>
      <c r="T604" s="72">
        <v>0.811385853939045</v>
      </c>
      <c r="U604" s="72">
        <v>0.870343209152244</v>
      </c>
      <c r="V604" s="72">
        <v>0.920792079207921</v>
      </c>
      <c r="W604" s="72">
        <v>0.882720492017796</v>
      </c>
      <c r="X604" s="74">
        <v>0.92</v>
      </c>
      <c r="Y604" s="74">
        <v>0.832527360651565</v>
      </c>
      <c r="Z604" s="74">
        <v>0.898972099853157</v>
      </c>
      <c r="AA604" s="74">
        <v>0.922123416868769</v>
      </c>
      <c r="AB604" s="74">
        <v>0.908222508222508</v>
      </c>
      <c r="AC604" s="74">
        <v>0.92</v>
      </c>
      <c r="AD604" s="72">
        <v>0.970142312343038</v>
      </c>
      <c r="AE604" s="72">
        <v>0.987007490795209</v>
      </c>
      <c r="AF604" s="72">
        <v>0.992285084496694</v>
      </c>
      <c r="AG604" s="72">
        <v>0.97995509846775</v>
      </c>
      <c r="AH604" s="74">
        <v>0.92</v>
      </c>
      <c r="AI604" s="72">
        <v>0.865532604293236</v>
      </c>
      <c r="AJ604" s="72">
        <v>0.932521637083761</v>
      </c>
      <c r="AK604" s="72">
        <v>0.947459334964733</v>
      </c>
      <c r="AL604" s="72">
        <v>0.935336809684994</v>
      </c>
      <c r="AM604" s="71">
        <v>0.99</v>
      </c>
      <c r="AN604" s="76">
        <v>1</v>
      </c>
      <c r="AO604" s="76">
        <v>1</v>
      </c>
      <c r="AP604" s="76">
        <v>1</v>
      </c>
      <c r="AQ604" s="76">
        <v>1</v>
      </c>
      <c r="AR604" s="96">
        <v>0.05</v>
      </c>
      <c r="AS604" s="80">
        <v>0.0666666666666667</v>
      </c>
      <c r="AT604" s="80">
        <v>0.0263157894736842</v>
      </c>
      <c r="AU604" s="80">
        <v>0.0681818181818182</v>
      </c>
      <c r="AV604" s="80">
        <v>0.051980198019802</v>
      </c>
      <c r="AW604" s="36"/>
      <c r="AX604" s="34"/>
    </row>
    <row r="605" ht="14.5" spans="1:50">
      <c r="A605" s="32"/>
      <c r="B605" s="36"/>
      <c r="C605" s="91" t="s">
        <v>401</v>
      </c>
      <c r="D605" s="69" t="s">
        <v>19</v>
      </c>
      <c r="E605" s="92" t="s">
        <v>656</v>
      </c>
      <c r="F605" s="92" t="s">
        <v>656</v>
      </c>
      <c r="G605" s="92" t="s">
        <v>656</v>
      </c>
      <c r="H605" s="92" t="s">
        <v>656</v>
      </c>
      <c r="I605" s="71">
        <v>0.9</v>
      </c>
      <c r="J605" s="72">
        <v>0.847826086956522</v>
      </c>
      <c r="K605" s="72">
        <v>0.884615384615385</v>
      </c>
      <c r="L605" s="73">
        <v>0.849056603773585</v>
      </c>
      <c r="M605" s="72">
        <v>0.827004219409283</v>
      </c>
      <c r="N605" s="74">
        <v>0.9</v>
      </c>
      <c r="O605" s="72">
        <v>0.980682549903413</v>
      </c>
      <c r="P605" s="72">
        <v>0.993677204658902</v>
      </c>
      <c r="Q605" s="72">
        <v>0.989844033369605</v>
      </c>
      <c r="R605" s="72">
        <v>0.981035686721305</v>
      </c>
      <c r="S605" s="74">
        <v>0.9</v>
      </c>
      <c r="T605" s="72">
        <v>0.865743721828719</v>
      </c>
      <c r="U605" s="72">
        <v>0.889850249584027</v>
      </c>
      <c r="V605" s="72">
        <v>0.914036996735582</v>
      </c>
      <c r="W605" s="72">
        <v>0.885258554154875</v>
      </c>
      <c r="X605" s="74">
        <v>0.92</v>
      </c>
      <c r="Y605" s="74">
        <v>0.891826923076923</v>
      </c>
      <c r="Z605" s="74">
        <v>0.927943262411348</v>
      </c>
      <c r="AA605" s="74">
        <v>0.949602122015915</v>
      </c>
      <c r="AB605" s="74">
        <v>0.932380276036681</v>
      </c>
      <c r="AC605" s="74">
        <v>0.92</v>
      </c>
      <c r="AD605" s="72">
        <v>0.96842852075204</v>
      </c>
      <c r="AE605" s="72">
        <v>0.993275272847536</v>
      </c>
      <c r="AF605" s="72">
        <v>0.991809462226533</v>
      </c>
      <c r="AG605" s="72">
        <v>0.98174191358324</v>
      </c>
      <c r="AH605" s="74">
        <v>0.92</v>
      </c>
      <c r="AI605" s="72">
        <v>0.917396380618797</v>
      </c>
      <c r="AJ605" s="72">
        <v>0.949173300673607</v>
      </c>
      <c r="AK605" s="72">
        <v>0.962119980490977</v>
      </c>
      <c r="AL605" s="72">
        <v>0.950837820158003</v>
      </c>
      <c r="AM605" s="71">
        <v>0.99</v>
      </c>
      <c r="AN605" s="76">
        <v>1</v>
      </c>
      <c r="AO605" s="76">
        <v>1</v>
      </c>
      <c r="AP605" s="76">
        <v>1</v>
      </c>
      <c r="AQ605" s="76">
        <v>1</v>
      </c>
      <c r="AR605" s="96">
        <v>0.05</v>
      </c>
      <c r="AS605" s="80">
        <v>0.0344827586206897</v>
      </c>
      <c r="AT605" s="80">
        <v>0.103448275862069</v>
      </c>
      <c r="AU605" s="80">
        <v>0</v>
      </c>
      <c r="AV605" s="80">
        <v>0.0477611940298507</v>
      </c>
      <c r="AW605" s="36"/>
      <c r="AX605" s="34"/>
    </row>
    <row r="606" ht="14.5" spans="1:50">
      <c r="A606" s="32"/>
      <c r="B606" s="36"/>
      <c r="C606" s="91" t="s">
        <v>401</v>
      </c>
      <c r="D606" s="69" t="s">
        <v>19</v>
      </c>
      <c r="E606" s="92" t="s">
        <v>657</v>
      </c>
      <c r="F606" s="92" t="s">
        <v>657</v>
      </c>
      <c r="G606" s="92" t="s">
        <v>657</v>
      </c>
      <c r="H606" s="92" t="s">
        <v>657</v>
      </c>
      <c r="I606" s="71">
        <v>0.9</v>
      </c>
      <c r="J606" s="72">
        <v>0.685714285714286</v>
      </c>
      <c r="K606" s="72">
        <v>0.594594594594595</v>
      </c>
      <c r="L606" s="73">
        <v>0.852941176470588</v>
      </c>
      <c r="M606" s="72">
        <v>0.718446601941748</v>
      </c>
      <c r="N606" s="74">
        <v>0.9</v>
      </c>
      <c r="O606" s="72">
        <v>0.870681145113524</v>
      </c>
      <c r="P606" s="72">
        <v>0.918081918081918</v>
      </c>
      <c r="Q606" s="72">
        <v>0.817908954477239</v>
      </c>
      <c r="R606" s="72">
        <v>0.798979931256237</v>
      </c>
      <c r="S606" s="74">
        <v>0.9</v>
      </c>
      <c r="T606" s="72">
        <v>0.821816386969398</v>
      </c>
      <c r="U606" s="72">
        <v>0.851648351648352</v>
      </c>
      <c r="V606" s="72">
        <v>0.801400700350175</v>
      </c>
      <c r="W606" s="72">
        <v>0.750304911852755</v>
      </c>
      <c r="X606" s="74">
        <v>0.92</v>
      </c>
      <c r="Y606" s="74">
        <v>0.760519247985676</v>
      </c>
      <c r="Z606" s="74">
        <v>0.843235147279081</v>
      </c>
      <c r="AA606" s="74">
        <v>0.812140240711669</v>
      </c>
      <c r="AB606" s="74">
        <v>0.684748387096774</v>
      </c>
      <c r="AC606" s="74">
        <v>0.92</v>
      </c>
      <c r="AD606" s="72">
        <v>0.987674883411059</v>
      </c>
      <c r="AE606" s="72">
        <v>0.76987009358849</v>
      </c>
      <c r="AF606" s="72">
        <v>0.731170886075949</v>
      </c>
      <c r="AG606" s="72">
        <v>0.739187015381279</v>
      </c>
      <c r="AH606" s="74">
        <v>0.92</v>
      </c>
      <c r="AI606" s="72">
        <v>0.831378986866792</v>
      </c>
      <c r="AJ606" s="72">
        <v>0.888972055888224</v>
      </c>
      <c r="AK606" s="72">
        <v>0.867075664621677</v>
      </c>
      <c r="AL606" s="72">
        <v>0.786819116822055</v>
      </c>
      <c r="AM606" s="71">
        <v>0.99</v>
      </c>
      <c r="AN606" s="76">
        <v>1</v>
      </c>
      <c r="AO606" s="76">
        <v>1</v>
      </c>
      <c r="AP606" s="76">
        <v>1</v>
      </c>
      <c r="AQ606" s="76">
        <v>1</v>
      </c>
      <c r="AR606" s="96">
        <v>0.05</v>
      </c>
      <c r="AS606" s="80">
        <v>0</v>
      </c>
      <c r="AT606" s="80">
        <v>0.0204081632653061</v>
      </c>
      <c r="AU606" s="80">
        <v>0.032258064516129</v>
      </c>
      <c r="AV606" s="80">
        <v>0.02088772845953</v>
      </c>
      <c r="AW606" s="36"/>
      <c r="AX606" s="34"/>
    </row>
    <row r="607" ht="14.5" spans="1:50">
      <c r="A607" s="32"/>
      <c r="B607" s="36"/>
      <c r="C607" s="91" t="s">
        <v>401</v>
      </c>
      <c r="D607" s="69" t="s">
        <v>19</v>
      </c>
      <c r="E607" s="92" t="s">
        <v>658</v>
      </c>
      <c r="F607" s="92" t="s">
        <v>658</v>
      </c>
      <c r="G607" s="92" t="s">
        <v>658</v>
      </c>
      <c r="H607" s="92" t="s">
        <v>658</v>
      </c>
      <c r="I607" s="71">
        <v>0.9</v>
      </c>
      <c r="J607" s="72">
        <v>0.872727272727273</v>
      </c>
      <c r="K607" s="72">
        <v>0.919354838709677</v>
      </c>
      <c r="L607" s="73">
        <v>0.884057971014493</v>
      </c>
      <c r="M607" s="72">
        <v>0.895287958115183</v>
      </c>
      <c r="N607" s="74">
        <v>0.9</v>
      </c>
      <c r="O607" s="72">
        <v>0.927034120734908</v>
      </c>
      <c r="P607" s="72">
        <v>0.985017835909631</v>
      </c>
      <c r="Q607" s="72">
        <v>0.977843825992975</v>
      </c>
      <c r="R607" s="72">
        <v>0.962005382809368</v>
      </c>
      <c r="S607" s="74">
        <v>0.9</v>
      </c>
      <c r="T607" s="72">
        <v>0.862204724409449</v>
      </c>
      <c r="U607" s="72">
        <v>0.902497027348395</v>
      </c>
      <c r="V607" s="72">
        <v>0.932991083490948</v>
      </c>
      <c r="W607" s="72">
        <v>0.892086124949894</v>
      </c>
      <c r="X607" s="74">
        <v>0.92</v>
      </c>
      <c r="Y607" s="74">
        <v>0.837648705388383</v>
      </c>
      <c r="Z607" s="74">
        <v>0.863157894736842</v>
      </c>
      <c r="AA607" s="74">
        <v>0.941001353179973</v>
      </c>
      <c r="AB607" s="74">
        <v>0.889282213266529</v>
      </c>
      <c r="AC607" s="74">
        <v>0.92</v>
      </c>
      <c r="AD607" s="72">
        <v>0.997732160312805</v>
      </c>
      <c r="AE607" s="72">
        <v>0.99831707783515</v>
      </c>
      <c r="AF607" s="72">
        <v>0.993195074530136</v>
      </c>
      <c r="AG607" s="72">
        <v>0.990912964460561</v>
      </c>
      <c r="AH607" s="74">
        <v>0.92</v>
      </c>
      <c r="AI607" s="72">
        <v>0.880153048629968</v>
      </c>
      <c r="AJ607" s="72">
        <v>0.920786953145224</v>
      </c>
      <c r="AK607" s="72">
        <v>0.958767067730161</v>
      </c>
      <c r="AL607" s="72">
        <v>0.927275010114256</v>
      </c>
      <c r="AM607" s="71">
        <v>0.99</v>
      </c>
      <c r="AN607" s="76">
        <v>1</v>
      </c>
      <c r="AO607" s="76">
        <v>1</v>
      </c>
      <c r="AP607" s="76">
        <v>1</v>
      </c>
      <c r="AQ607" s="76">
        <v>1</v>
      </c>
      <c r="AR607" s="96">
        <v>0.05</v>
      </c>
      <c r="AS607" s="80">
        <v>0.015625</v>
      </c>
      <c r="AT607" s="80">
        <v>0.0483870967741935</v>
      </c>
      <c r="AU607" s="80">
        <v>0.131578947368421</v>
      </c>
      <c r="AV607" s="80">
        <v>0.057542768273717</v>
      </c>
      <c r="AW607" s="36"/>
      <c r="AX607" s="34"/>
    </row>
    <row r="608" ht="14.5" spans="1:50">
      <c r="A608" s="32"/>
      <c r="B608" s="36"/>
      <c r="C608" s="91" t="s">
        <v>401</v>
      </c>
      <c r="D608" s="69" t="s">
        <v>19</v>
      </c>
      <c r="E608" s="92" t="s">
        <v>659</v>
      </c>
      <c r="F608" s="92" t="s">
        <v>659</v>
      </c>
      <c r="G608" s="92" t="s">
        <v>659</v>
      </c>
      <c r="H608" s="92" t="s">
        <v>659</v>
      </c>
      <c r="I608" s="71">
        <v>0.9</v>
      </c>
      <c r="J608" s="72">
        <v>0.934210526315789</v>
      </c>
      <c r="K608" s="72">
        <v>0.896103896103896</v>
      </c>
      <c r="L608" s="73">
        <v>0.927710843373494</v>
      </c>
      <c r="M608" s="72">
        <v>0.922425952045134</v>
      </c>
      <c r="N608" s="74">
        <v>0.9</v>
      </c>
      <c r="O608" s="72">
        <v>0.926483420593368</v>
      </c>
      <c r="P608" s="72">
        <v>0.947921531994395</v>
      </c>
      <c r="Q608" s="72">
        <v>0.953482395271139</v>
      </c>
      <c r="R608" s="72">
        <v>0.94017094017094</v>
      </c>
      <c r="S608" s="74">
        <v>0.9</v>
      </c>
      <c r="T608" s="72">
        <v>0.87521815008726</v>
      </c>
      <c r="U608" s="72">
        <v>0.903082671648762</v>
      </c>
      <c r="V608" s="72">
        <v>0.905165767154973</v>
      </c>
      <c r="W608" s="72">
        <v>0.891131159649678</v>
      </c>
      <c r="X608" s="74">
        <v>0.92</v>
      </c>
      <c r="Y608" s="74">
        <v>0.866872427983539</v>
      </c>
      <c r="Z608" s="74">
        <v>0.940331903785195</v>
      </c>
      <c r="AA608" s="74">
        <v>0.950777202072539</v>
      </c>
      <c r="AB608" s="74">
        <v>0.935065511880968</v>
      </c>
      <c r="AC608" s="74">
        <v>0.92</v>
      </c>
      <c r="AD608" s="72">
        <v>0.996454882844957</v>
      </c>
      <c r="AE608" s="72">
        <v>0.99954081452439</v>
      </c>
      <c r="AF608" s="72">
        <v>0.999693122099045</v>
      </c>
      <c r="AG608" s="72">
        <v>0.999477423902388</v>
      </c>
      <c r="AH608" s="74">
        <v>0.92</v>
      </c>
      <c r="AI608" s="72">
        <v>0.907483857309199</v>
      </c>
      <c r="AJ608" s="72">
        <v>0.953401677539609</v>
      </c>
      <c r="AK608" s="72">
        <v>0.963093145869947</v>
      </c>
      <c r="AL608" s="72">
        <v>0.951799245846736</v>
      </c>
      <c r="AM608" s="71">
        <v>0.99</v>
      </c>
      <c r="AN608" s="76">
        <v>1</v>
      </c>
      <c r="AO608" s="76">
        <v>1</v>
      </c>
      <c r="AP608" s="76">
        <v>1</v>
      </c>
      <c r="AQ608" s="76">
        <v>1</v>
      </c>
      <c r="AR608" s="96">
        <v>0.05</v>
      </c>
      <c r="AS608" s="80">
        <v>0.0303030303030303</v>
      </c>
      <c r="AT608" s="80">
        <v>0.0476190476190476</v>
      </c>
      <c r="AU608" s="80">
        <v>0</v>
      </c>
      <c r="AV608" s="80">
        <v>0.0225352112676056</v>
      </c>
      <c r="AW608" s="36"/>
      <c r="AX608" s="34"/>
    </row>
    <row r="609" ht="14.5" spans="1:50">
      <c r="A609" s="32"/>
      <c r="B609" s="36"/>
      <c r="C609" s="91" t="s">
        <v>401</v>
      </c>
      <c r="D609" s="69" t="s">
        <v>19</v>
      </c>
      <c r="E609" s="92" t="s">
        <v>660</v>
      </c>
      <c r="F609" s="92" t="s">
        <v>660</v>
      </c>
      <c r="G609" s="92" t="s">
        <v>660</v>
      </c>
      <c r="H609" s="92" t="s">
        <v>660</v>
      </c>
      <c r="I609" s="71">
        <v>0.9</v>
      </c>
      <c r="J609" s="72">
        <v>0.904109589041096</v>
      </c>
      <c r="K609" s="72">
        <v>0.906666666666667</v>
      </c>
      <c r="L609" s="73">
        <v>0.936708860759494</v>
      </c>
      <c r="M609" s="72">
        <v>0.941176470588235</v>
      </c>
      <c r="N609" s="74">
        <v>0.9</v>
      </c>
      <c r="O609" s="72">
        <v>0.94890378691792</v>
      </c>
      <c r="P609" s="72">
        <v>0.968998410174881</v>
      </c>
      <c r="Q609" s="72">
        <v>0.960048183095764</v>
      </c>
      <c r="R609" s="72">
        <v>0.962124672951535</v>
      </c>
      <c r="S609" s="74">
        <v>0.9</v>
      </c>
      <c r="T609" s="72">
        <v>0.857582895452075</v>
      </c>
      <c r="U609" s="72">
        <v>0.935612082670906</v>
      </c>
      <c r="V609" s="72">
        <v>0.918691025898414</v>
      </c>
      <c r="W609" s="72">
        <v>0.901449395739026</v>
      </c>
      <c r="X609" s="74">
        <v>0.92</v>
      </c>
      <c r="Y609" s="74">
        <v>0.895112016293279</v>
      </c>
      <c r="Z609" s="74">
        <v>0.937697516930023</v>
      </c>
      <c r="AA609" s="74">
        <v>0.944200351493849</v>
      </c>
      <c r="AB609" s="74">
        <v>0.93063079607015</v>
      </c>
      <c r="AC609" s="74">
        <v>0.92</v>
      </c>
      <c r="AD609" s="72">
        <v>0.994871794871795</v>
      </c>
      <c r="AE609" s="72">
        <v>0.998396150761828</v>
      </c>
      <c r="AF609" s="72">
        <v>0.996380090497738</v>
      </c>
      <c r="AG609" s="72">
        <v>0.982223004488251</v>
      </c>
      <c r="AH609" s="74">
        <v>0.92</v>
      </c>
      <c r="AI609" s="72">
        <v>0.929752066115702</v>
      </c>
      <c r="AJ609" s="72">
        <v>0.966914805624483</v>
      </c>
      <c r="AK609" s="72">
        <v>0.969701143093238</v>
      </c>
      <c r="AL609" s="72">
        <v>0.962057877813505</v>
      </c>
      <c r="AM609" s="71">
        <v>0.99</v>
      </c>
      <c r="AN609" s="76">
        <v>1</v>
      </c>
      <c r="AO609" s="76">
        <v>1</v>
      </c>
      <c r="AP609" s="76">
        <v>1</v>
      </c>
      <c r="AQ609" s="76">
        <v>1</v>
      </c>
      <c r="AR609" s="96">
        <v>0.05</v>
      </c>
      <c r="AS609" s="80">
        <v>0</v>
      </c>
      <c r="AT609" s="80">
        <v>0.00641025641025641</v>
      </c>
      <c r="AU609" s="80">
        <v>0</v>
      </c>
      <c r="AV609" s="80">
        <v>0.00376952073236403</v>
      </c>
      <c r="AW609" s="36"/>
      <c r="AX609" s="34"/>
    </row>
    <row r="610" ht="14.5" spans="1:50">
      <c r="A610" s="32"/>
      <c r="B610" s="36"/>
      <c r="C610" s="91" t="s">
        <v>401</v>
      </c>
      <c r="D610" s="69" t="s">
        <v>19</v>
      </c>
      <c r="E610" s="92" t="s">
        <v>661</v>
      </c>
      <c r="F610" s="92" t="s">
        <v>661</v>
      </c>
      <c r="G610" s="92" t="s">
        <v>661</v>
      </c>
      <c r="H610" s="92" t="s">
        <v>661</v>
      </c>
      <c r="I610" s="71">
        <v>0.9</v>
      </c>
      <c r="J610" s="72">
        <v>0.983870967741935</v>
      </c>
      <c r="K610" s="72">
        <v>1</v>
      </c>
      <c r="L610" s="73">
        <v>0.983870967741935</v>
      </c>
      <c r="M610" s="72">
        <v>0.994515539305302</v>
      </c>
      <c r="N610" s="74">
        <v>0.9</v>
      </c>
      <c r="O610" s="72">
        <v>0.988146551724138</v>
      </c>
      <c r="P610" s="72">
        <v>0.988051948051948</v>
      </c>
      <c r="Q610" s="72">
        <v>0.990575649516047</v>
      </c>
      <c r="R610" s="72">
        <v>0.9862593860142</v>
      </c>
      <c r="S610" s="74">
        <v>0.9</v>
      </c>
      <c r="T610" s="72">
        <v>0.955387931034483</v>
      </c>
      <c r="U610" s="72">
        <v>0.971168831168831</v>
      </c>
      <c r="V610" s="72">
        <v>0.958991339786042</v>
      </c>
      <c r="W610" s="72">
        <v>0.950860703887215</v>
      </c>
      <c r="X610" s="74">
        <v>0.92</v>
      </c>
      <c r="Y610" s="74">
        <v>0.952004219409283</v>
      </c>
      <c r="Z610" s="74">
        <v>0.96164199192463</v>
      </c>
      <c r="AA610" s="74">
        <v>0.950738916256158</v>
      </c>
      <c r="AB610" s="74">
        <v>0.948629896979466</v>
      </c>
      <c r="AC610" s="74">
        <v>0.92</v>
      </c>
      <c r="AD610" s="72">
        <v>0.995798319327731</v>
      </c>
      <c r="AE610" s="72">
        <v>0.996621621621622</v>
      </c>
      <c r="AF610" s="72">
        <v>0.998897464167585</v>
      </c>
      <c r="AG610" s="72">
        <v>0.995071684587814</v>
      </c>
      <c r="AH610" s="74">
        <v>0.92</v>
      </c>
      <c r="AI610" s="72">
        <v>0.976157725813847</v>
      </c>
      <c r="AJ610" s="72">
        <v>0.983698707138842</v>
      </c>
      <c r="AK610" s="72">
        <v>0.979466858789625</v>
      </c>
      <c r="AL610" s="72">
        <v>0.979363505397669</v>
      </c>
      <c r="AM610" s="71">
        <v>0.99</v>
      </c>
      <c r="AN610" s="76">
        <v>1</v>
      </c>
      <c r="AO610" s="76">
        <v>1</v>
      </c>
      <c r="AP610" s="76">
        <v>1</v>
      </c>
      <c r="AQ610" s="76">
        <v>1</v>
      </c>
      <c r="AR610" s="96">
        <v>0.05</v>
      </c>
      <c r="AS610" s="80">
        <v>0</v>
      </c>
      <c r="AT610" s="80">
        <v>0.0180722891566265</v>
      </c>
      <c r="AU610" s="80">
        <v>0.00675675675675676</v>
      </c>
      <c r="AV610" s="80">
        <v>0.00955631399317406</v>
      </c>
      <c r="AW610" s="36"/>
      <c r="AX610" s="34"/>
    </row>
    <row r="611" ht="14.5" spans="1:50">
      <c r="A611" s="32"/>
      <c r="B611" s="36"/>
      <c r="C611" s="91" t="s">
        <v>401</v>
      </c>
      <c r="D611" s="69" t="s">
        <v>19</v>
      </c>
      <c r="E611" s="92" t="s">
        <v>662</v>
      </c>
      <c r="F611" s="92" t="s">
        <v>662</v>
      </c>
      <c r="G611" s="92" t="s">
        <v>662</v>
      </c>
      <c r="H611" s="92" t="s">
        <v>662</v>
      </c>
      <c r="I611" s="71">
        <v>0.9</v>
      </c>
      <c r="J611" s="72">
        <v>0.954545454545455</v>
      </c>
      <c r="K611" s="72">
        <v>0.938775510204082</v>
      </c>
      <c r="L611" s="73">
        <v>0.886792452830189</v>
      </c>
      <c r="M611" s="72">
        <v>0.927765237020316</v>
      </c>
      <c r="N611" s="74">
        <v>0.9</v>
      </c>
      <c r="O611" s="72">
        <v>0.936078318456666</v>
      </c>
      <c r="P611" s="72">
        <v>0.934437086092715</v>
      </c>
      <c r="Q611" s="72">
        <v>0.957399810665825</v>
      </c>
      <c r="R611" s="72">
        <v>0.937903744038962</v>
      </c>
      <c r="S611" s="74">
        <v>0.9</v>
      </c>
      <c r="T611" s="72">
        <v>0.811690181399367</v>
      </c>
      <c r="U611" s="72">
        <v>0.862913907284768</v>
      </c>
      <c r="V611" s="72">
        <v>0.912275165667403</v>
      </c>
      <c r="W611" s="72">
        <v>0.857408597422802</v>
      </c>
      <c r="X611" s="74">
        <v>0.92</v>
      </c>
      <c r="Y611" s="74">
        <v>0.905813953488372</v>
      </c>
      <c r="Z611" s="74">
        <v>0.914925373134328</v>
      </c>
      <c r="AA611" s="74">
        <v>0.953232462173315</v>
      </c>
      <c r="AB611" s="74">
        <v>0.928796518607443</v>
      </c>
      <c r="AC611" s="74">
        <v>0.92</v>
      </c>
      <c r="AD611" s="72">
        <v>0.995614035087719</v>
      </c>
      <c r="AE611" s="72">
        <v>0.840725806451613</v>
      </c>
      <c r="AF611" s="72">
        <v>0.965277777777778</v>
      </c>
      <c r="AG611" s="72">
        <v>0.953282081608516</v>
      </c>
      <c r="AH611" s="74">
        <v>0.92</v>
      </c>
      <c r="AI611" s="72">
        <v>0.946013448607109</v>
      </c>
      <c r="AJ611" s="72">
        <v>0.963107241063245</v>
      </c>
      <c r="AK611" s="72">
        <v>0.976</v>
      </c>
      <c r="AL611" s="72">
        <v>0.963404691467306</v>
      </c>
      <c r="AM611" s="71">
        <v>0.99</v>
      </c>
      <c r="AN611" s="76">
        <v>1</v>
      </c>
      <c r="AO611" s="76">
        <v>1</v>
      </c>
      <c r="AP611" s="76">
        <v>1</v>
      </c>
      <c r="AQ611" s="76">
        <v>1</v>
      </c>
      <c r="AR611" s="96">
        <v>0.05</v>
      </c>
      <c r="AS611" s="80">
        <v>0.0909090909090909</v>
      </c>
      <c r="AT611" s="80">
        <v>0.111111111111111</v>
      </c>
      <c r="AU611" s="80">
        <v>0.142857142857143</v>
      </c>
      <c r="AV611" s="80">
        <v>0.0898876404494382</v>
      </c>
      <c r="AW611" s="36"/>
      <c r="AX611" s="34"/>
    </row>
    <row r="612" ht="14.5" spans="1:50">
      <c r="A612" s="32"/>
      <c r="B612" s="36"/>
      <c r="C612" s="91" t="s">
        <v>401</v>
      </c>
      <c r="D612" s="69" t="s">
        <v>19</v>
      </c>
      <c r="E612" s="92" t="s">
        <v>663</v>
      </c>
      <c r="F612" s="92" t="s">
        <v>663</v>
      </c>
      <c r="G612" s="92" t="s">
        <v>663</v>
      </c>
      <c r="H612" s="92" t="s">
        <v>663</v>
      </c>
      <c r="I612" s="71">
        <v>0.9</v>
      </c>
      <c r="J612" s="72">
        <v>0.975609756097561</v>
      </c>
      <c r="K612" s="72">
        <v>0.975</v>
      </c>
      <c r="L612" s="73">
        <v>1</v>
      </c>
      <c r="M612" s="72">
        <v>0.981132075471698</v>
      </c>
      <c r="N612" s="74">
        <v>0.9</v>
      </c>
      <c r="O612" s="72">
        <v>0.983459682977257</v>
      </c>
      <c r="P612" s="72">
        <v>0.990388466159391</v>
      </c>
      <c r="Q612" s="72">
        <v>0.972888015717092</v>
      </c>
      <c r="R612" s="72">
        <v>0.984773846842812</v>
      </c>
      <c r="S612" s="74">
        <v>0.9</v>
      </c>
      <c r="T612" s="72">
        <v>0.914541695382495</v>
      </c>
      <c r="U612" s="72">
        <v>0.923908690428514</v>
      </c>
      <c r="V612" s="72">
        <v>0.905697445972495</v>
      </c>
      <c r="W612" s="72">
        <v>0.910312258274641</v>
      </c>
      <c r="X612" s="74">
        <v>0.92</v>
      </c>
      <c r="Y612" s="74">
        <v>0.897358490566038</v>
      </c>
      <c r="Z612" s="74">
        <v>0.912488605287147</v>
      </c>
      <c r="AA612" s="74">
        <v>0.909401709401709</v>
      </c>
      <c r="AB612" s="74">
        <v>0.919614761132831</v>
      </c>
      <c r="AC612" s="74">
        <v>0.92</v>
      </c>
      <c r="AD612" s="72">
        <v>0.994475138121547</v>
      </c>
      <c r="AE612" s="72">
        <v>0.997668997668998</v>
      </c>
      <c r="AF612" s="72">
        <v>0.992537313432836</v>
      </c>
      <c r="AG612" s="72">
        <v>0.993735838997734</v>
      </c>
      <c r="AH612" s="74">
        <v>0.92</v>
      </c>
      <c r="AI612" s="72">
        <v>0.951502247456825</v>
      </c>
      <c r="AJ612" s="72">
        <v>0.959955506117909</v>
      </c>
      <c r="AK612" s="72">
        <v>0.963939720129171</v>
      </c>
      <c r="AL612" s="72">
        <v>0.963694957791467</v>
      </c>
      <c r="AM612" s="71">
        <v>0.99</v>
      </c>
      <c r="AN612" s="76">
        <v>1</v>
      </c>
      <c r="AO612" s="76">
        <v>1</v>
      </c>
      <c r="AP612" s="76">
        <v>1</v>
      </c>
      <c r="AQ612" s="76">
        <v>1</v>
      </c>
      <c r="AR612" s="96">
        <v>0.05</v>
      </c>
      <c r="AS612" s="80">
        <v>0</v>
      </c>
      <c r="AT612" s="80">
        <v>0</v>
      </c>
      <c r="AU612" s="80">
        <v>0</v>
      </c>
      <c r="AV612" s="80">
        <v>0.037037037037037</v>
      </c>
      <c r="AW612" s="36"/>
      <c r="AX612" s="34"/>
    </row>
    <row r="613" ht="14.5" spans="1:50">
      <c r="A613" s="32"/>
      <c r="B613" s="36"/>
      <c r="C613" s="91" t="s">
        <v>401</v>
      </c>
      <c r="D613" s="69" t="s">
        <v>19</v>
      </c>
      <c r="E613" s="92" t="s">
        <v>664</v>
      </c>
      <c r="F613" s="92" t="s">
        <v>664</v>
      </c>
      <c r="G613" s="92" t="s">
        <v>664</v>
      </c>
      <c r="H613" s="92" t="s">
        <v>664</v>
      </c>
      <c r="I613" s="71">
        <v>0.9</v>
      </c>
      <c r="J613" s="72">
        <v>0.833333333333333</v>
      </c>
      <c r="K613" s="72">
        <v>0.827586206896552</v>
      </c>
      <c r="L613" s="73">
        <v>0.785714285714286</v>
      </c>
      <c r="M613" s="72">
        <v>0.79253112033195</v>
      </c>
      <c r="N613" s="74">
        <v>0.9</v>
      </c>
      <c r="O613" s="72">
        <v>0</v>
      </c>
      <c r="P613" s="72">
        <v>1</v>
      </c>
      <c r="Q613" s="72">
        <v>0</v>
      </c>
      <c r="R613" s="72">
        <v>0.333333333333333</v>
      </c>
      <c r="S613" s="74">
        <v>0.9</v>
      </c>
      <c r="T613" s="72">
        <v>0</v>
      </c>
      <c r="U613" s="72">
        <v>0</v>
      </c>
      <c r="V613" s="72">
        <v>0</v>
      </c>
      <c r="W613" s="72">
        <v>0</v>
      </c>
      <c r="X613" s="74">
        <v>0.92</v>
      </c>
      <c r="Y613" s="74">
        <v>0</v>
      </c>
      <c r="Z613" s="74">
        <v>0</v>
      </c>
      <c r="AA613" s="74">
        <v>0.5</v>
      </c>
      <c r="AB613" s="74">
        <v>0.5</v>
      </c>
      <c r="AC613" s="74">
        <v>0.92</v>
      </c>
      <c r="AD613" s="72">
        <v>0.888888888888889</v>
      </c>
      <c r="AE613" s="72">
        <v>0.962962962962963</v>
      </c>
      <c r="AF613" s="72">
        <v>0.978723404255319</v>
      </c>
      <c r="AG613" s="72">
        <v>0.938697318007663</v>
      </c>
      <c r="AH613" s="74">
        <v>0.92</v>
      </c>
      <c r="AI613" s="72">
        <v>0.828571428571429</v>
      </c>
      <c r="AJ613" s="72">
        <v>0.940540540540541</v>
      </c>
      <c r="AK613" s="72">
        <v>0.922703639514731</v>
      </c>
      <c r="AL613" s="72">
        <v>0.900426685807712</v>
      </c>
      <c r="AM613" s="71">
        <v>0.99</v>
      </c>
      <c r="AN613" s="76">
        <v>1</v>
      </c>
      <c r="AO613" s="76">
        <v>1</v>
      </c>
      <c r="AP613" s="76">
        <v>1</v>
      </c>
      <c r="AQ613" s="76">
        <v>1</v>
      </c>
      <c r="AR613" s="96">
        <v>0.05</v>
      </c>
      <c r="AS613" s="80">
        <v>0</v>
      </c>
      <c r="AT613" s="80">
        <v>0.111111111111111</v>
      </c>
      <c r="AU613" s="80">
        <v>0</v>
      </c>
      <c r="AV613" s="80">
        <v>0.0240963855421687</v>
      </c>
      <c r="AW613" s="36"/>
      <c r="AX613" s="34"/>
    </row>
    <row r="614" ht="14.5" spans="1:50">
      <c r="A614" s="32"/>
      <c r="B614" s="36"/>
      <c r="C614" s="91" t="s">
        <v>401</v>
      </c>
      <c r="D614" s="69" t="s">
        <v>19</v>
      </c>
      <c r="E614" s="92" t="s">
        <v>665</v>
      </c>
      <c r="F614" s="92" t="s">
        <v>665</v>
      </c>
      <c r="G614" s="92" t="s">
        <v>665</v>
      </c>
      <c r="H614" s="92" t="s">
        <v>665</v>
      </c>
      <c r="I614" s="71">
        <v>0.9</v>
      </c>
      <c r="J614" s="72">
        <v>0.916666666666667</v>
      </c>
      <c r="K614" s="72">
        <v>0.954545454545455</v>
      </c>
      <c r="L614" s="73">
        <v>0.943820224719101</v>
      </c>
      <c r="M614" s="72">
        <v>0.944871794871795</v>
      </c>
      <c r="N614" s="74">
        <v>0.9</v>
      </c>
      <c r="O614" s="72">
        <v>0.827586206896552</v>
      </c>
      <c r="P614" s="72">
        <v>1</v>
      </c>
      <c r="Q614" s="72">
        <v>1</v>
      </c>
      <c r="R614" s="72">
        <v>0.957142857142857</v>
      </c>
      <c r="S614" s="74">
        <v>0.9</v>
      </c>
      <c r="T614" s="72">
        <v>0.758620689655172</v>
      </c>
      <c r="U614" s="72">
        <v>1</v>
      </c>
      <c r="V614" s="72">
        <v>1</v>
      </c>
      <c r="W614" s="72">
        <v>0.942857142857143</v>
      </c>
      <c r="X614" s="74">
        <v>0.92</v>
      </c>
      <c r="Y614" s="74">
        <v>0.428571428571429</v>
      </c>
      <c r="Z614" s="74">
        <v>0</v>
      </c>
      <c r="AA614" s="74">
        <v>0.5</v>
      </c>
      <c r="AB614" s="74">
        <v>0.521739130434783</v>
      </c>
      <c r="AC614" s="74">
        <v>0.92</v>
      </c>
      <c r="AD614" s="72">
        <v>0.990639625585023</v>
      </c>
      <c r="AE614" s="72">
        <v>0.992579908675799</v>
      </c>
      <c r="AF614" s="72">
        <v>0.988326848249027</v>
      </c>
      <c r="AG614" s="72">
        <v>0.99047747991696</v>
      </c>
      <c r="AH614" s="74">
        <v>0.92</v>
      </c>
      <c r="AI614" s="72">
        <v>0.938973342145847</v>
      </c>
      <c r="AJ614" s="72">
        <v>0.959452545408033</v>
      </c>
      <c r="AK614" s="72">
        <v>0.965871959336803</v>
      </c>
      <c r="AL614" s="72">
        <v>0.956313488059199</v>
      </c>
      <c r="AM614" s="71">
        <v>0.99</v>
      </c>
      <c r="AN614" s="76">
        <v>1</v>
      </c>
      <c r="AO614" s="76">
        <v>1</v>
      </c>
      <c r="AP614" s="76">
        <v>1</v>
      </c>
      <c r="AQ614" s="76">
        <v>1</v>
      </c>
      <c r="AR614" s="96">
        <v>0.05</v>
      </c>
      <c r="AS614" s="80">
        <v>0.0396902226524685</v>
      </c>
      <c r="AT614" s="80">
        <v>0.015888778550149</v>
      </c>
      <c r="AU614" s="80">
        <v>0.00848896434634975</v>
      </c>
      <c r="AV614" s="80">
        <v>0.0150521034349672</v>
      </c>
      <c r="AW614" s="36"/>
      <c r="AX614" s="34"/>
    </row>
    <row r="615" ht="14.5" spans="1:50">
      <c r="A615" s="32"/>
      <c r="B615" s="36"/>
      <c r="C615" s="91" t="s">
        <v>401</v>
      </c>
      <c r="D615" s="69" t="s">
        <v>19</v>
      </c>
      <c r="E615" s="92" t="s">
        <v>666</v>
      </c>
      <c r="F615" s="92" t="s">
        <v>666</v>
      </c>
      <c r="G615" s="92" t="s">
        <v>666</v>
      </c>
      <c r="H615" s="92" t="s">
        <v>666</v>
      </c>
      <c r="I615" s="71">
        <v>0.9</v>
      </c>
      <c r="J615" s="72">
        <v>0.941176470588235</v>
      </c>
      <c r="K615" s="72">
        <v>0.944444444444444</v>
      </c>
      <c r="L615" s="73">
        <v>1</v>
      </c>
      <c r="M615" s="72">
        <v>0.970930232558139</v>
      </c>
      <c r="N615" s="74">
        <v>0.9</v>
      </c>
      <c r="O615" s="72">
        <v>0.935574229691877</v>
      </c>
      <c r="P615" s="72">
        <v>0.941573033707865</v>
      </c>
      <c r="Q615" s="72">
        <v>0.970994475138122</v>
      </c>
      <c r="R615" s="72">
        <v>0.961220376676628</v>
      </c>
      <c r="S615" s="74">
        <v>0.9</v>
      </c>
      <c r="T615" s="72">
        <v>0.849859943977591</v>
      </c>
      <c r="U615" s="72">
        <v>0.907865168539326</v>
      </c>
      <c r="V615" s="72">
        <v>0.954419889502762</v>
      </c>
      <c r="W615" s="72">
        <v>0.912850093821669</v>
      </c>
      <c r="X615" s="74">
        <v>0.92</v>
      </c>
      <c r="Y615" s="74">
        <v>0.95368782161235</v>
      </c>
      <c r="Z615" s="74">
        <v>0.931481481481481</v>
      </c>
      <c r="AA615" s="74">
        <v>0.945614035087719</v>
      </c>
      <c r="AB615" s="74">
        <v>0.956022187004754</v>
      </c>
      <c r="AC615" s="74">
        <v>0.92</v>
      </c>
      <c r="AD615" s="72">
        <v>0.975</v>
      </c>
      <c r="AE615" s="72">
        <v>0.978260869565217</v>
      </c>
      <c r="AF615" s="72">
        <v>0.96875</v>
      </c>
      <c r="AG615" s="72">
        <v>0.970219435736677</v>
      </c>
      <c r="AH615" s="74">
        <v>0.92</v>
      </c>
      <c r="AI615" s="72">
        <v>0.966244725738397</v>
      </c>
      <c r="AJ615" s="72">
        <v>0.964285714285714</v>
      </c>
      <c r="AK615" s="72">
        <v>0.972263496780584</v>
      </c>
      <c r="AL615" s="72">
        <v>0.973726155586406</v>
      </c>
      <c r="AM615" s="71">
        <v>0.99</v>
      </c>
      <c r="AN615" s="76">
        <v>1</v>
      </c>
      <c r="AO615" s="76">
        <v>1</v>
      </c>
      <c r="AP615" s="76">
        <v>1</v>
      </c>
      <c r="AQ615" s="76">
        <v>1</v>
      </c>
      <c r="AR615" s="96">
        <v>0.05</v>
      </c>
      <c r="AS615" s="80">
        <v>0</v>
      </c>
      <c r="AT615" s="80">
        <v>0</v>
      </c>
      <c r="AU615" s="80">
        <v>0.25</v>
      </c>
      <c r="AV615" s="80">
        <v>0.222222222222222</v>
      </c>
      <c r="AW615" s="36"/>
      <c r="AX615" s="34"/>
    </row>
    <row r="616" ht="14.5" spans="1:50">
      <c r="A616" s="32"/>
      <c r="B616" s="36"/>
      <c r="C616" s="91" t="s">
        <v>401</v>
      </c>
      <c r="D616" s="69" t="s">
        <v>19</v>
      </c>
      <c r="E616" s="92" t="s">
        <v>667</v>
      </c>
      <c r="F616" s="92" t="s">
        <v>667</v>
      </c>
      <c r="G616" s="92" t="s">
        <v>667</v>
      </c>
      <c r="H616" s="92" t="s">
        <v>667</v>
      </c>
      <c r="I616" s="71">
        <v>0.9</v>
      </c>
      <c r="J616" s="72">
        <v>0.876404494382023</v>
      </c>
      <c r="K616" s="72">
        <v>0.91578947368421</v>
      </c>
      <c r="L616" s="73">
        <v>0.898989898989899</v>
      </c>
      <c r="M616" s="72">
        <v>0.906175771971496</v>
      </c>
      <c r="N616" s="74">
        <v>0.9</v>
      </c>
      <c r="O616" s="72">
        <v>0</v>
      </c>
      <c r="P616" s="72">
        <v>0</v>
      </c>
      <c r="Q616" s="72">
        <v>1</v>
      </c>
      <c r="R616" s="72">
        <v>0.60655737704918</v>
      </c>
      <c r="S616" s="74">
        <v>0.9</v>
      </c>
      <c r="T616" s="72">
        <v>0</v>
      </c>
      <c r="U616" s="72">
        <v>0.666666666666667</v>
      </c>
      <c r="V616" s="72">
        <v>1</v>
      </c>
      <c r="W616" s="72">
        <v>0.655737704918033</v>
      </c>
      <c r="X616" s="74">
        <v>0.92</v>
      </c>
      <c r="Y616" s="74">
        <v>0.2</v>
      </c>
      <c r="Z616" s="74">
        <v>0.333333333333333</v>
      </c>
      <c r="AA616" s="74">
        <v>1</v>
      </c>
      <c r="AB616" s="74">
        <v>0.695652173913043</v>
      </c>
      <c r="AC616" s="74">
        <v>0.92</v>
      </c>
      <c r="AD616" s="72">
        <v>0.996078431372549</v>
      </c>
      <c r="AE616" s="72">
        <v>0.997664642690332</v>
      </c>
      <c r="AF616" s="72">
        <v>0.99728014505893</v>
      </c>
      <c r="AG616" s="72">
        <v>0.996397323726197</v>
      </c>
      <c r="AH616" s="74">
        <v>0.92</v>
      </c>
      <c r="AI616" s="72">
        <v>0.952846630518978</v>
      </c>
      <c r="AJ616" s="72">
        <v>0.975367882277671</v>
      </c>
      <c r="AK616" s="72">
        <v>0.983936148716912</v>
      </c>
      <c r="AL616" s="72">
        <v>0.976350822239624</v>
      </c>
      <c r="AM616" s="71">
        <v>0.99</v>
      </c>
      <c r="AN616" s="76">
        <v>1</v>
      </c>
      <c r="AO616" s="76">
        <v>1</v>
      </c>
      <c r="AP616" s="76">
        <v>1</v>
      </c>
      <c r="AQ616" s="76">
        <v>1</v>
      </c>
      <c r="AR616" s="96">
        <v>0.05</v>
      </c>
      <c r="AS616" s="80">
        <v>0.00963391136801541</v>
      </c>
      <c r="AT616" s="80">
        <v>0.00927643784786642</v>
      </c>
      <c r="AU616" s="80">
        <v>0.0067001675041876</v>
      </c>
      <c r="AV616" s="80">
        <v>0.00583451202263083</v>
      </c>
      <c r="AW616" s="36"/>
      <c r="AX616" s="34"/>
    </row>
    <row r="617" ht="14.5" spans="1:50">
      <c r="A617" s="32"/>
      <c r="B617" s="36"/>
      <c r="C617" s="91" t="s">
        <v>401</v>
      </c>
      <c r="D617" s="69" t="s">
        <v>19</v>
      </c>
      <c r="E617" s="92" t="s">
        <v>668</v>
      </c>
      <c r="F617" s="92" t="s">
        <v>668</v>
      </c>
      <c r="G617" s="92" t="s">
        <v>668</v>
      </c>
      <c r="H617" s="92" t="s">
        <v>668</v>
      </c>
      <c r="I617" s="71">
        <v>0.9</v>
      </c>
      <c r="J617" s="72">
        <v>0.987951807228916</v>
      </c>
      <c r="K617" s="72">
        <v>1</v>
      </c>
      <c r="L617" s="73">
        <v>1</v>
      </c>
      <c r="M617" s="72">
        <v>0.998740554156171</v>
      </c>
      <c r="N617" s="74">
        <v>0.9</v>
      </c>
      <c r="O617" s="72">
        <v>0.982384572594103</v>
      </c>
      <c r="P617" s="72">
        <v>0.995128881672417</v>
      </c>
      <c r="Q617" s="72">
        <v>0.994238303756626</v>
      </c>
      <c r="R617" s="72">
        <v>0.992013929193268</v>
      </c>
      <c r="S617" s="74">
        <v>0.9</v>
      </c>
      <c r="T617" s="72">
        <v>0.908956054144261</v>
      </c>
      <c r="U617" s="72">
        <v>0.928759894459103</v>
      </c>
      <c r="V617" s="72">
        <v>0.958285319197972</v>
      </c>
      <c r="W617" s="72">
        <v>0.946697620429483</v>
      </c>
      <c r="X617" s="74">
        <v>0.92</v>
      </c>
      <c r="Y617" s="74">
        <v>0.937919713475601</v>
      </c>
      <c r="Z617" s="74">
        <v>0.951194029850746</v>
      </c>
      <c r="AA617" s="74">
        <v>0.97773458208164</v>
      </c>
      <c r="AB617" s="74">
        <v>0.962686956975955</v>
      </c>
      <c r="AC617" s="74">
        <v>0.92</v>
      </c>
      <c r="AD617" s="72">
        <v>0.999315707620529</v>
      </c>
      <c r="AE617" s="72">
        <v>0.99836294185412</v>
      </c>
      <c r="AF617" s="72">
        <v>0.997952917093142</v>
      </c>
      <c r="AG617" s="72">
        <v>0.997041972401315</v>
      </c>
      <c r="AH617" s="74">
        <v>0.92</v>
      </c>
      <c r="AI617" s="72">
        <v>0.95395171957672</v>
      </c>
      <c r="AJ617" s="72">
        <v>0.958469475494411</v>
      </c>
      <c r="AK617" s="72">
        <v>0.98249299719888</v>
      </c>
      <c r="AL617" s="72">
        <v>0.972399319680528</v>
      </c>
      <c r="AM617" s="71">
        <v>0.99</v>
      </c>
      <c r="AN617" s="76">
        <v>1</v>
      </c>
      <c r="AO617" s="76">
        <v>1</v>
      </c>
      <c r="AP617" s="76">
        <v>1</v>
      </c>
      <c r="AQ617" s="76">
        <v>1</v>
      </c>
      <c r="AR617" s="96">
        <v>0.05</v>
      </c>
      <c r="AS617" s="80">
        <v>0</v>
      </c>
      <c r="AT617" s="80">
        <v>0</v>
      </c>
      <c r="AU617" s="80">
        <v>0.0869565217391304</v>
      </c>
      <c r="AV617" s="80">
        <v>0.0369127516778524</v>
      </c>
      <c r="AW617" s="36"/>
      <c r="AX617" s="34"/>
    </row>
    <row r="618" ht="14.5" spans="1:50">
      <c r="A618" s="32"/>
      <c r="B618" s="36"/>
      <c r="C618" s="91" t="s">
        <v>401</v>
      </c>
      <c r="D618" s="69" t="s">
        <v>19</v>
      </c>
      <c r="E618" s="92" t="s">
        <v>669</v>
      </c>
      <c r="F618" s="92" t="s">
        <v>669</v>
      </c>
      <c r="G618" s="92" t="s">
        <v>669</v>
      </c>
      <c r="H618" s="92" t="s">
        <v>669</v>
      </c>
      <c r="I618" s="71">
        <v>0.9</v>
      </c>
      <c r="J618" s="72">
        <v>1</v>
      </c>
      <c r="K618" s="72">
        <v>1</v>
      </c>
      <c r="L618" s="73">
        <v>0.973684210526316</v>
      </c>
      <c r="M618" s="72">
        <v>0.965616045845272</v>
      </c>
      <c r="N618" s="74">
        <v>0.9</v>
      </c>
      <c r="O618" s="72">
        <v>0.985019973368842</v>
      </c>
      <c r="P618" s="72">
        <v>0.996086105675147</v>
      </c>
      <c r="Q618" s="72">
        <v>0.988710229216558</v>
      </c>
      <c r="R618" s="72">
        <v>0.979077351507823</v>
      </c>
      <c r="S618" s="74">
        <v>0.9</v>
      </c>
      <c r="T618" s="72">
        <v>0.854194407456724</v>
      </c>
      <c r="U618" s="72">
        <v>0.920091324200913</v>
      </c>
      <c r="V618" s="72">
        <v>0.922682175846733</v>
      </c>
      <c r="W618" s="72">
        <v>0.891905756476494</v>
      </c>
      <c r="X618" s="74">
        <v>0.92</v>
      </c>
      <c r="Y618" s="74">
        <v>0.872941907424666</v>
      </c>
      <c r="Z618" s="74">
        <v>0.934996486296557</v>
      </c>
      <c r="AA618" s="74">
        <v>0.953316953316953</v>
      </c>
      <c r="AB618" s="74">
        <v>0.927384826168865</v>
      </c>
      <c r="AC618" s="74">
        <v>0.92</v>
      </c>
      <c r="AD618" s="72">
        <v>0.99773738592654</v>
      </c>
      <c r="AE618" s="72">
        <v>0.894807973870931</v>
      </c>
      <c r="AF618" s="72">
        <v>0.99601593625498</v>
      </c>
      <c r="AG618" s="72">
        <v>0.931395620879953</v>
      </c>
      <c r="AH618" s="74">
        <v>0.92</v>
      </c>
      <c r="AI618" s="72">
        <v>0.907469879518072</v>
      </c>
      <c r="AJ618" s="72">
        <v>0.957036535859269</v>
      </c>
      <c r="AK618" s="72">
        <v>0.96935595567867</v>
      </c>
      <c r="AL618" s="72">
        <v>0.949347156859276</v>
      </c>
      <c r="AM618" s="71">
        <v>0.99</v>
      </c>
      <c r="AN618" s="76">
        <v>1</v>
      </c>
      <c r="AO618" s="76">
        <v>1</v>
      </c>
      <c r="AP618" s="76">
        <v>1</v>
      </c>
      <c r="AQ618" s="76">
        <v>1</v>
      </c>
      <c r="AR618" s="96">
        <v>0.05</v>
      </c>
      <c r="AS618" s="80">
        <v>0.0612244897959184</v>
      </c>
      <c r="AT618" s="80">
        <v>0.0869565217391304</v>
      </c>
      <c r="AU618" s="80">
        <v>0.111111111111111</v>
      </c>
      <c r="AV618" s="80">
        <v>0.0422535211267606</v>
      </c>
      <c r="AW618" s="36"/>
      <c r="AX618" s="34"/>
    </row>
    <row r="619" ht="14.5" spans="1:50">
      <c r="A619" s="32"/>
      <c r="B619" s="36"/>
      <c r="C619" s="91" t="s">
        <v>401</v>
      </c>
      <c r="D619" s="69" t="s">
        <v>19</v>
      </c>
      <c r="E619" s="92" t="s">
        <v>670</v>
      </c>
      <c r="F619" s="92" t="s">
        <v>670</v>
      </c>
      <c r="G619" s="92" t="s">
        <v>670</v>
      </c>
      <c r="H619" s="92" t="s">
        <v>670</v>
      </c>
      <c r="I619" s="71">
        <v>0.9</v>
      </c>
      <c r="J619" s="72">
        <v>0.826666666666667</v>
      </c>
      <c r="K619" s="72">
        <v>0.759036144578313</v>
      </c>
      <c r="L619" s="73">
        <v>0.930232558139535</v>
      </c>
      <c r="M619" s="72">
        <v>0.863945578231292</v>
      </c>
      <c r="N619" s="74">
        <v>0.9</v>
      </c>
      <c r="O619" s="72">
        <v>0.971856153674336</v>
      </c>
      <c r="P619" s="72">
        <v>0.970871559633028</v>
      </c>
      <c r="Q619" s="72">
        <v>0.988476312419974</v>
      </c>
      <c r="R619" s="72">
        <v>0.97687583714524</v>
      </c>
      <c r="S619" s="74">
        <v>0.9</v>
      </c>
      <c r="T619" s="72">
        <v>0.871789144516417</v>
      </c>
      <c r="U619" s="72">
        <v>0.902522935779816</v>
      </c>
      <c r="V619" s="72">
        <v>0.919078104993598</v>
      </c>
      <c r="W619" s="72">
        <v>0.892264146175036</v>
      </c>
      <c r="X619" s="74">
        <v>0.92</v>
      </c>
      <c r="Y619" s="74">
        <v>0.901698590531261</v>
      </c>
      <c r="Z619" s="74">
        <v>0.923212192262603</v>
      </c>
      <c r="AA619" s="74">
        <v>0.941913193694666</v>
      </c>
      <c r="AB619" s="74">
        <v>0.930093040879047</v>
      </c>
      <c r="AC619" s="74">
        <v>0.92</v>
      </c>
      <c r="AD619" s="72">
        <v>0.995690026721834</v>
      </c>
      <c r="AE619" s="72">
        <v>0.958549222797927</v>
      </c>
      <c r="AF619" s="72">
        <v>0.996526169522927</v>
      </c>
      <c r="AG619" s="72">
        <v>0.988212960566054</v>
      </c>
      <c r="AH619" s="74">
        <v>0.92</v>
      </c>
      <c r="AI619" s="72">
        <v>0.925004993009786</v>
      </c>
      <c r="AJ619" s="72">
        <v>0.947790317477059</v>
      </c>
      <c r="AK619" s="72">
        <v>0.962750380695795</v>
      </c>
      <c r="AL619" s="72">
        <v>0.951067176431417</v>
      </c>
      <c r="AM619" s="71">
        <v>0.99</v>
      </c>
      <c r="AN619" s="76">
        <v>1</v>
      </c>
      <c r="AO619" s="76">
        <v>1</v>
      </c>
      <c r="AP619" s="76">
        <v>1</v>
      </c>
      <c r="AQ619" s="76">
        <v>1</v>
      </c>
      <c r="AR619" s="96">
        <v>0.05</v>
      </c>
      <c r="AS619" s="80">
        <v>0.0833333333333333</v>
      </c>
      <c r="AT619" s="80">
        <v>0.125</v>
      </c>
      <c r="AU619" s="80">
        <v>0.0625</v>
      </c>
      <c r="AV619" s="80">
        <v>0.0526315789473684</v>
      </c>
      <c r="AW619" s="36"/>
      <c r="AX619" s="34"/>
    </row>
    <row r="620" ht="14.5" spans="1:50">
      <c r="A620" s="32"/>
      <c r="B620" s="36"/>
      <c r="C620" s="91" t="s">
        <v>401</v>
      </c>
      <c r="D620" s="69" t="s">
        <v>19</v>
      </c>
      <c r="E620" s="92" t="s">
        <v>671</v>
      </c>
      <c r="F620" s="92" t="s">
        <v>671</v>
      </c>
      <c r="G620" s="92" t="s">
        <v>671</v>
      </c>
      <c r="H620" s="92" t="s">
        <v>671</v>
      </c>
      <c r="I620" s="71">
        <v>0.9</v>
      </c>
      <c r="J620" s="72">
        <v>0.945945945945946</v>
      </c>
      <c r="K620" s="72">
        <v>0.942857142857143</v>
      </c>
      <c r="L620" s="73">
        <v>0.945945945945946</v>
      </c>
      <c r="M620" s="72">
        <v>0.957446808510638</v>
      </c>
      <c r="N620" s="74">
        <v>0.9</v>
      </c>
      <c r="O620" s="72">
        <v>0.989723320158103</v>
      </c>
      <c r="P620" s="72">
        <v>0.994285714285714</v>
      </c>
      <c r="Q620" s="72">
        <v>0.992168379833578</v>
      </c>
      <c r="R620" s="72">
        <v>0.990193561636802</v>
      </c>
      <c r="S620" s="74">
        <v>0.9</v>
      </c>
      <c r="T620" s="72">
        <v>0.958498023715415</v>
      </c>
      <c r="U620" s="72">
        <v>0.962197802197802</v>
      </c>
      <c r="V620" s="72">
        <v>0.969162995594714</v>
      </c>
      <c r="W620" s="72">
        <v>0.95969605175335</v>
      </c>
      <c r="X620" s="74">
        <v>0.92</v>
      </c>
      <c r="Y620" s="74">
        <v>0.914854404718024</v>
      </c>
      <c r="Z620" s="74">
        <v>0.927473393772172</v>
      </c>
      <c r="AA620" s="74">
        <v>0.936837455830389</v>
      </c>
      <c r="AB620" s="74">
        <v>0.937704477210595</v>
      </c>
      <c r="AC620" s="74">
        <v>0.92</v>
      </c>
      <c r="AD620" s="72">
        <v>0.995017460182267</v>
      </c>
      <c r="AE620" s="72">
        <v>0.972050977248224</v>
      </c>
      <c r="AF620" s="72">
        <v>0.983109974127155</v>
      </c>
      <c r="AG620" s="72">
        <v>0.971539377089414</v>
      </c>
      <c r="AH620" s="74">
        <v>0.92</v>
      </c>
      <c r="AI620" s="72">
        <v>0.946615824594852</v>
      </c>
      <c r="AJ620" s="72">
        <v>0.954932502596054</v>
      </c>
      <c r="AK620" s="72">
        <v>0.96100278551532</v>
      </c>
      <c r="AL620" s="72">
        <v>0.960096590637403</v>
      </c>
      <c r="AM620" s="71">
        <v>0.99</v>
      </c>
      <c r="AN620" s="76">
        <v>1</v>
      </c>
      <c r="AO620" s="76">
        <v>1</v>
      </c>
      <c r="AP620" s="76">
        <v>1</v>
      </c>
      <c r="AQ620" s="76">
        <v>1</v>
      </c>
      <c r="AR620" s="96">
        <v>0.05</v>
      </c>
      <c r="AS620" s="80">
        <v>0.117647058823529</v>
      </c>
      <c r="AT620" s="80">
        <v>0.0666666666666667</v>
      </c>
      <c r="AU620" s="80">
        <v>0</v>
      </c>
      <c r="AV620" s="80">
        <v>0.0707964601769911</v>
      </c>
      <c r="AW620" s="36"/>
      <c r="AX620" s="34"/>
    </row>
    <row r="621" ht="14.5" spans="1:50">
      <c r="A621" s="32"/>
      <c r="B621" s="36"/>
      <c r="C621" s="91" t="s">
        <v>401</v>
      </c>
      <c r="D621" s="69" t="s">
        <v>19</v>
      </c>
      <c r="E621" s="92" t="s">
        <v>672</v>
      </c>
      <c r="F621" s="92" t="s">
        <v>672</v>
      </c>
      <c r="G621" s="92" t="s">
        <v>672</v>
      </c>
      <c r="H621" s="92" t="s">
        <v>672</v>
      </c>
      <c r="I621" s="71">
        <v>0.9</v>
      </c>
      <c r="J621" s="72">
        <v>0.953488372093023</v>
      </c>
      <c r="K621" s="72">
        <v>0.95</v>
      </c>
      <c r="L621" s="73">
        <v>0.979166666666667</v>
      </c>
      <c r="M621" s="72">
        <v>0.957178841309824</v>
      </c>
      <c r="N621" s="74">
        <v>0.9</v>
      </c>
      <c r="O621" s="72">
        <v>0.967373572593801</v>
      </c>
      <c r="P621" s="72">
        <v>0.978014428031604</v>
      </c>
      <c r="Q621" s="72">
        <v>0.964941569282137</v>
      </c>
      <c r="R621" s="72">
        <v>0.968939679350329</v>
      </c>
      <c r="S621" s="74">
        <v>0.9</v>
      </c>
      <c r="T621" s="72">
        <v>0.917781402936378</v>
      </c>
      <c r="U621" s="72">
        <v>0.947097217451048</v>
      </c>
      <c r="V621" s="72">
        <v>0.947412353923205</v>
      </c>
      <c r="W621" s="72">
        <v>0.932186361923898</v>
      </c>
      <c r="X621" s="74">
        <v>0.92</v>
      </c>
      <c r="Y621" s="74">
        <v>0.91614014933946</v>
      </c>
      <c r="Z621" s="74">
        <v>0.936526946107784</v>
      </c>
      <c r="AA621" s="74">
        <v>0.951712328767123</v>
      </c>
      <c r="AB621" s="74">
        <v>0.934327531919311</v>
      </c>
      <c r="AC621" s="74">
        <v>0.92</v>
      </c>
      <c r="AD621" s="72">
        <v>0.996789371713258</v>
      </c>
      <c r="AE621" s="72">
        <v>0.997095401734577</v>
      </c>
      <c r="AF621" s="72">
        <v>0.979700433582972</v>
      </c>
      <c r="AG621" s="72">
        <v>0.988071013963813</v>
      </c>
      <c r="AH621" s="74">
        <v>0.92</v>
      </c>
      <c r="AI621" s="72">
        <v>0.93846388761643</v>
      </c>
      <c r="AJ621" s="72">
        <v>0.955701263393571</v>
      </c>
      <c r="AK621" s="72">
        <v>0.967644845748683</v>
      </c>
      <c r="AL621" s="72">
        <v>0.955400261348787</v>
      </c>
      <c r="AM621" s="71">
        <v>0.99</v>
      </c>
      <c r="AN621" s="76">
        <v>1</v>
      </c>
      <c r="AO621" s="76">
        <v>1</v>
      </c>
      <c r="AP621" s="76">
        <v>1</v>
      </c>
      <c r="AQ621" s="76">
        <v>1</v>
      </c>
      <c r="AR621" s="96">
        <v>0.05</v>
      </c>
      <c r="AS621" s="80">
        <v>0</v>
      </c>
      <c r="AT621" s="80">
        <v>0.0769230769230769</v>
      </c>
      <c r="AU621" s="80">
        <v>0.333333333333333</v>
      </c>
      <c r="AV621" s="80">
        <v>0.0446428571428571</v>
      </c>
      <c r="AW621" s="36"/>
      <c r="AX621" s="34"/>
    </row>
    <row r="622" ht="14.5" spans="1:50">
      <c r="A622" s="32"/>
      <c r="B622" s="36"/>
      <c r="C622" s="91" t="s">
        <v>401</v>
      </c>
      <c r="D622" s="69" t="s">
        <v>19</v>
      </c>
      <c r="E622" s="92" t="s">
        <v>673</v>
      </c>
      <c r="F622" s="92" t="s">
        <v>673</v>
      </c>
      <c r="G622" s="92" t="s">
        <v>673</v>
      </c>
      <c r="H622" s="92" t="s">
        <v>673</v>
      </c>
      <c r="I622" s="71">
        <v>0.9</v>
      </c>
      <c r="J622" s="72">
        <v>0.957446808510638</v>
      </c>
      <c r="K622" s="72">
        <v>0.9375</v>
      </c>
      <c r="L622" s="73">
        <v>1</v>
      </c>
      <c r="M622" s="72">
        <v>0.97025171624714</v>
      </c>
      <c r="N622" s="74">
        <v>0.9</v>
      </c>
      <c r="O622" s="72">
        <v>0.973817316274918</v>
      </c>
      <c r="P622" s="72">
        <v>0.989373601789709</v>
      </c>
      <c r="Q622" s="72">
        <v>0.981976182813003</v>
      </c>
      <c r="R622" s="72">
        <v>0.977483486805714</v>
      </c>
      <c r="S622" s="74">
        <v>0.9</v>
      </c>
      <c r="T622" s="72">
        <v>0.912526033918477</v>
      </c>
      <c r="U622" s="72">
        <v>0.937360178970917</v>
      </c>
      <c r="V622" s="72">
        <v>0.91181203733505</v>
      </c>
      <c r="W622" s="72">
        <v>0.895291705983796</v>
      </c>
      <c r="X622" s="74">
        <v>0.92</v>
      </c>
      <c r="Y622" s="74">
        <v>0.922909289022065</v>
      </c>
      <c r="Z622" s="74">
        <v>0.967733188720174</v>
      </c>
      <c r="AA622" s="74">
        <v>0.950747581354441</v>
      </c>
      <c r="AB622" s="74">
        <v>0.930602395627399</v>
      </c>
      <c r="AC622" s="74">
        <v>0.92</v>
      </c>
      <c r="AD622" s="72">
        <v>0.996239591727102</v>
      </c>
      <c r="AE622" s="72">
        <v>0.998244345760611</v>
      </c>
      <c r="AF622" s="72">
        <v>0.995412242757898</v>
      </c>
      <c r="AG622" s="72">
        <v>0.986702034013685</v>
      </c>
      <c r="AH622" s="74">
        <v>0.92</v>
      </c>
      <c r="AI622" s="72">
        <v>0.937153419593346</v>
      </c>
      <c r="AJ622" s="72">
        <v>0.975777594274704</v>
      </c>
      <c r="AK622" s="72">
        <v>0.963178889229825</v>
      </c>
      <c r="AL622" s="72">
        <v>0.949190267863996</v>
      </c>
      <c r="AM622" s="71">
        <v>0.99</v>
      </c>
      <c r="AN622" s="76">
        <v>1</v>
      </c>
      <c r="AO622" s="76">
        <v>1</v>
      </c>
      <c r="AP622" s="76">
        <v>1</v>
      </c>
      <c r="AQ622" s="76">
        <v>1</v>
      </c>
      <c r="AR622" s="96">
        <v>0.05</v>
      </c>
      <c r="AS622" s="80">
        <v>0.0652173913043478</v>
      </c>
      <c r="AT622" s="80">
        <v>0.0625</v>
      </c>
      <c r="AU622" s="80">
        <v>0.0208333333333333</v>
      </c>
      <c r="AV622" s="80">
        <v>0.058165548098434</v>
      </c>
      <c r="AW622" s="36"/>
      <c r="AX622" s="34"/>
    </row>
    <row r="623" ht="14.5" spans="1:50">
      <c r="A623" s="32"/>
      <c r="B623" s="36"/>
      <c r="C623" s="91" t="s">
        <v>401</v>
      </c>
      <c r="D623" s="69" t="s">
        <v>19</v>
      </c>
      <c r="E623" s="92" t="s">
        <v>674</v>
      </c>
      <c r="F623" s="92" t="s">
        <v>674</v>
      </c>
      <c r="G623" s="92" t="s">
        <v>674</v>
      </c>
      <c r="H623" s="92" t="s">
        <v>674</v>
      </c>
      <c r="I623" s="71">
        <v>0.9</v>
      </c>
      <c r="J623" s="72">
        <v>1</v>
      </c>
      <c r="K623" s="72">
        <v>1</v>
      </c>
      <c r="L623" s="73">
        <v>1</v>
      </c>
      <c r="M623" s="72">
        <v>0.997635933806147</v>
      </c>
      <c r="N623" s="74">
        <v>0.9</v>
      </c>
      <c r="O623" s="72">
        <v>0.979632721202003</v>
      </c>
      <c r="P623" s="72">
        <v>0.939931740614334</v>
      </c>
      <c r="Q623" s="72">
        <v>0.988302020560085</v>
      </c>
      <c r="R623" s="72">
        <v>0.979544504011254</v>
      </c>
      <c r="S623" s="74">
        <v>0.9</v>
      </c>
      <c r="T623" s="72">
        <v>0.948580968280467</v>
      </c>
      <c r="U623" s="72">
        <v>0.959044368600683</v>
      </c>
      <c r="V623" s="72">
        <v>0.952853598014888</v>
      </c>
      <c r="W623" s="72">
        <v>0.966959431200335</v>
      </c>
      <c r="X623" s="74">
        <v>0.92</v>
      </c>
      <c r="Y623" s="74">
        <v>0.964786716289722</v>
      </c>
      <c r="Z623" s="74">
        <v>0.975015812776724</v>
      </c>
      <c r="AA623" s="74">
        <v>0.979854689564069</v>
      </c>
      <c r="AB623" s="74">
        <v>0.981238524453347</v>
      </c>
      <c r="AC623" s="74">
        <v>0.92</v>
      </c>
      <c r="AD623" s="72">
        <v>0.991315278253914</v>
      </c>
      <c r="AE623" s="72">
        <v>0.985462811227996</v>
      </c>
      <c r="AF623" s="72">
        <v>0.991084364203722</v>
      </c>
      <c r="AG623" s="72">
        <v>0.990550391483781</v>
      </c>
      <c r="AH623" s="74">
        <v>0.92</v>
      </c>
      <c r="AI623" s="72">
        <v>0.974272069018641</v>
      </c>
      <c r="AJ623" s="72">
        <v>0.982122355256684</v>
      </c>
      <c r="AK623" s="72">
        <v>0.987704918032787</v>
      </c>
      <c r="AL623" s="72">
        <v>0.987212503330077</v>
      </c>
      <c r="AM623" s="71">
        <v>0.99</v>
      </c>
      <c r="AN623" s="76">
        <v>1</v>
      </c>
      <c r="AO623" s="76">
        <v>1</v>
      </c>
      <c r="AP623" s="76">
        <v>1</v>
      </c>
      <c r="AQ623" s="76">
        <v>1</v>
      </c>
      <c r="AR623" s="96">
        <v>0.05</v>
      </c>
      <c r="AS623" s="80">
        <v>0</v>
      </c>
      <c r="AT623" s="80">
        <v>0</v>
      </c>
      <c r="AU623" s="80">
        <v>0.00392156862745098</v>
      </c>
      <c r="AV623" s="80">
        <v>0.00329308452250274</v>
      </c>
      <c r="AW623" s="36"/>
      <c r="AX623" s="34"/>
    </row>
    <row r="624" ht="14.5" spans="1:50">
      <c r="A624" s="32"/>
      <c r="B624" s="36"/>
      <c r="C624" s="91" t="s">
        <v>401</v>
      </c>
      <c r="D624" s="69" t="s">
        <v>19</v>
      </c>
      <c r="E624" s="92" t="s">
        <v>675</v>
      </c>
      <c r="F624" s="92" t="s">
        <v>675</v>
      </c>
      <c r="G624" s="92" t="s">
        <v>675</v>
      </c>
      <c r="H624" s="92" t="s">
        <v>675</v>
      </c>
      <c r="I624" s="71">
        <v>0.9</v>
      </c>
      <c r="J624" s="72">
        <v>1</v>
      </c>
      <c r="K624" s="72">
        <v>1</v>
      </c>
      <c r="L624" s="73">
        <v>1</v>
      </c>
      <c r="M624" s="72">
        <v>1</v>
      </c>
      <c r="N624" s="74">
        <v>0.9</v>
      </c>
      <c r="O624" s="72">
        <v>0.987541926209871</v>
      </c>
      <c r="P624" s="72">
        <v>0.989562624254473</v>
      </c>
      <c r="Q624" s="72">
        <v>0.984438040345821</v>
      </c>
      <c r="R624" s="72">
        <v>0.987502840263576</v>
      </c>
      <c r="S624" s="74">
        <v>0.9</v>
      </c>
      <c r="T624" s="72">
        <v>0.956396741734547</v>
      </c>
      <c r="U624" s="72">
        <v>0.975149105367793</v>
      </c>
      <c r="V624" s="72">
        <v>0.96657060518732</v>
      </c>
      <c r="W624" s="72">
        <v>0.963815042035901</v>
      </c>
      <c r="X624" s="74">
        <v>0.92</v>
      </c>
      <c r="Y624" s="74">
        <v>0.962504686914136</v>
      </c>
      <c r="Z624" s="74">
        <v>0.984408834993504</v>
      </c>
      <c r="AA624" s="74">
        <v>0.987589498806683</v>
      </c>
      <c r="AB624" s="74">
        <v>0.980271042684613</v>
      </c>
      <c r="AC624" s="74">
        <v>0.92</v>
      </c>
      <c r="AD624" s="72">
        <v>0.982417582417582</v>
      </c>
      <c r="AE624" s="72">
        <v>0.990922844175492</v>
      </c>
      <c r="AF624" s="72">
        <v>0.992015968063872</v>
      </c>
      <c r="AG624" s="72">
        <v>0.991569506726457</v>
      </c>
      <c r="AH624" s="74">
        <v>0.92</v>
      </c>
      <c r="AI624" s="72">
        <v>0.97433740008414</v>
      </c>
      <c r="AJ624" s="72">
        <v>0.990050902360018</v>
      </c>
      <c r="AK624" s="72">
        <v>0.990602975724354</v>
      </c>
      <c r="AL624" s="72">
        <v>0.986008649198677</v>
      </c>
      <c r="AM624" s="71">
        <v>0.99</v>
      </c>
      <c r="AN624" s="76">
        <v>1</v>
      </c>
      <c r="AO624" s="76">
        <v>1</v>
      </c>
      <c r="AP624" s="76">
        <v>1</v>
      </c>
      <c r="AQ624" s="76">
        <v>1</v>
      </c>
      <c r="AR624" s="96">
        <v>0.05</v>
      </c>
      <c r="AS624" s="80">
        <v>0.0416666666666667</v>
      </c>
      <c r="AT624" s="80">
        <v>0</v>
      </c>
      <c r="AU624" s="80">
        <v>0</v>
      </c>
      <c r="AV624" s="80">
        <v>0.0419161676646707</v>
      </c>
      <c r="AW624" s="36"/>
      <c r="AX624" s="34"/>
    </row>
    <row r="625" ht="14.5" spans="1:50">
      <c r="A625" s="32"/>
      <c r="B625" s="36"/>
      <c r="C625" s="91" t="s">
        <v>401</v>
      </c>
      <c r="D625" s="69" t="s">
        <v>19</v>
      </c>
      <c r="E625" s="92" t="s">
        <v>676</v>
      </c>
      <c r="F625" s="92" t="s">
        <v>676</v>
      </c>
      <c r="G625" s="92" t="s">
        <v>676</v>
      </c>
      <c r="H625" s="92" t="s">
        <v>676</v>
      </c>
      <c r="I625" s="71">
        <v>0.9</v>
      </c>
      <c r="J625" s="72">
        <v>0.814814814814815</v>
      </c>
      <c r="K625" s="72">
        <v>0.844827586206897</v>
      </c>
      <c r="L625" s="73">
        <v>0.838709677419355</v>
      </c>
      <c r="M625" s="72">
        <v>0.806390977443609</v>
      </c>
      <c r="N625" s="74">
        <v>0.9</v>
      </c>
      <c r="O625" s="72">
        <v>0.964585698070375</v>
      </c>
      <c r="P625" s="72">
        <v>0.974022761009401</v>
      </c>
      <c r="Q625" s="72">
        <v>0.983468905799003</v>
      </c>
      <c r="R625" s="72">
        <v>0.974845966875813</v>
      </c>
      <c r="S625" s="74">
        <v>0.9</v>
      </c>
      <c r="T625" s="72">
        <v>0.91850170261067</v>
      </c>
      <c r="U625" s="72">
        <v>0.957199406234537</v>
      </c>
      <c r="V625" s="72">
        <v>0.955654683810024</v>
      </c>
      <c r="W625" s="72">
        <v>0.939093324289187</v>
      </c>
      <c r="X625" s="74">
        <v>0.92</v>
      </c>
      <c r="Y625" s="74">
        <v>0.870022371364653</v>
      </c>
      <c r="Z625" s="74">
        <v>0.840338053905893</v>
      </c>
      <c r="AA625" s="74">
        <v>0.874148802017654</v>
      </c>
      <c r="AB625" s="74">
        <v>0.871119142634842</v>
      </c>
      <c r="AC625" s="74">
        <v>0.92</v>
      </c>
      <c r="AD625" s="72">
        <v>0.996106146447832</v>
      </c>
      <c r="AE625" s="72">
        <v>0.977318947011637</v>
      </c>
      <c r="AF625" s="72">
        <v>0.98276036913092</v>
      </c>
      <c r="AG625" s="72">
        <v>0.971807375005863</v>
      </c>
      <c r="AH625" s="74">
        <v>0.92</v>
      </c>
      <c r="AI625" s="72">
        <v>0.9190041680748</v>
      </c>
      <c r="AJ625" s="72">
        <v>0.907363420427553</v>
      </c>
      <c r="AK625" s="72">
        <v>0.92388788891746</v>
      </c>
      <c r="AL625" s="72">
        <v>0.922264160973924</v>
      </c>
      <c r="AM625" s="71">
        <v>0.99</v>
      </c>
      <c r="AN625" s="76">
        <v>1</v>
      </c>
      <c r="AO625" s="76">
        <v>1</v>
      </c>
      <c r="AP625" s="76">
        <v>1</v>
      </c>
      <c r="AQ625" s="76">
        <v>1</v>
      </c>
      <c r="AR625" s="96">
        <v>0.05</v>
      </c>
      <c r="AS625" s="80">
        <v>0.0588235294117647</v>
      </c>
      <c r="AT625" s="80">
        <v>0.0714285714285714</v>
      </c>
      <c r="AU625" s="80">
        <v>0.04</v>
      </c>
      <c r="AV625" s="80">
        <v>0.0533333333333333</v>
      </c>
      <c r="AW625" s="36"/>
      <c r="AX625" s="34"/>
    </row>
    <row r="626" ht="14.5" spans="1:50">
      <c r="A626" s="32"/>
      <c r="B626" s="36"/>
      <c r="C626" s="91" t="s">
        <v>401</v>
      </c>
      <c r="D626" s="69" t="s">
        <v>19</v>
      </c>
      <c r="E626" s="92" t="s">
        <v>677</v>
      </c>
      <c r="F626" s="92" t="s">
        <v>677</v>
      </c>
      <c r="G626" s="92" t="s">
        <v>677</v>
      </c>
      <c r="H626" s="92" t="s">
        <v>677</v>
      </c>
      <c r="I626" s="71">
        <v>0.9</v>
      </c>
      <c r="J626" s="72">
        <v>0.840909090909091</v>
      </c>
      <c r="K626" s="72">
        <v>0.859649122807018</v>
      </c>
      <c r="L626" s="73">
        <v>0.931034482758621</v>
      </c>
      <c r="M626" s="72">
        <v>0.918067226890756</v>
      </c>
      <c r="N626" s="74">
        <v>0.9</v>
      </c>
      <c r="O626" s="72">
        <v>0.945404284727021</v>
      </c>
      <c r="P626" s="72">
        <v>0.985500679655641</v>
      </c>
      <c r="Q626" s="72">
        <v>0.981840490797546</v>
      </c>
      <c r="R626" s="72">
        <v>0.954952307157934</v>
      </c>
      <c r="S626" s="74">
        <v>0.9</v>
      </c>
      <c r="T626" s="72">
        <v>0.812946325731398</v>
      </c>
      <c r="U626" s="72">
        <v>0.928409605799728</v>
      </c>
      <c r="V626" s="72">
        <v>0.950184049079755</v>
      </c>
      <c r="W626" s="72">
        <v>0.903572287386112</v>
      </c>
      <c r="X626" s="74">
        <v>0.92</v>
      </c>
      <c r="Y626" s="74">
        <v>0.767531876138434</v>
      </c>
      <c r="Z626" s="74">
        <v>0.966694192127718</v>
      </c>
      <c r="AA626" s="74">
        <v>0.957296305999476</v>
      </c>
      <c r="AB626" s="74">
        <v>0.925262117802053</v>
      </c>
      <c r="AC626" s="74">
        <v>0.92</v>
      </c>
      <c r="AD626" s="72">
        <v>0.995918102889724</v>
      </c>
      <c r="AE626" s="72">
        <v>0.99581699918968</v>
      </c>
      <c r="AF626" s="72">
        <v>0.998280516532834</v>
      </c>
      <c r="AG626" s="72">
        <v>0.967406528896285</v>
      </c>
      <c r="AH626" s="74">
        <v>0.92</v>
      </c>
      <c r="AI626" s="72">
        <v>0.831445245451425</v>
      </c>
      <c r="AJ626" s="72">
        <v>0.969316770186335</v>
      </c>
      <c r="AK626" s="72">
        <v>0.970886075949367</v>
      </c>
      <c r="AL626" s="72">
        <v>0.946214007360901</v>
      </c>
      <c r="AM626" s="71">
        <v>0.99</v>
      </c>
      <c r="AN626" s="76">
        <v>1</v>
      </c>
      <c r="AO626" s="76">
        <v>1</v>
      </c>
      <c r="AP626" s="76">
        <v>1</v>
      </c>
      <c r="AQ626" s="76">
        <v>1</v>
      </c>
      <c r="AR626" s="96">
        <v>0.05</v>
      </c>
      <c r="AS626" s="80">
        <v>0.0816326530612245</v>
      </c>
      <c r="AT626" s="80">
        <v>0.0204081632653061</v>
      </c>
      <c r="AU626" s="80">
        <v>0.04</v>
      </c>
      <c r="AV626" s="80">
        <v>0.0381818181818182</v>
      </c>
      <c r="AW626" s="36"/>
      <c r="AX626" s="34"/>
    </row>
    <row r="627" ht="14.5" spans="1:50">
      <c r="A627" s="32"/>
      <c r="B627" s="36"/>
      <c r="C627" s="91" t="s">
        <v>401</v>
      </c>
      <c r="D627" s="69" t="s">
        <v>19</v>
      </c>
      <c r="E627" s="92" t="s">
        <v>678</v>
      </c>
      <c r="F627" s="92" t="s">
        <v>678</v>
      </c>
      <c r="G627" s="92" t="s">
        <v>678</v>
      </c>
      <c r="H627" s="92" t="s">
        <v>678</v>
      </c>
      <c r="I627" s="71">
        <v>0.9</v>
      </c>
      <c r="J627" s="72">
        <v>1</v>
      </c>
      <c r="K627" s="72">
        <v>0.973684210526316</v>
      </c>
      <c r="L627" s="73">
        <v>1</v>
      </c>
      <c r="M627" s="72">
        <v>0.970822281167109</v>
      </c>
      <c r="N627" s="74">
        <v>0.9</v>
      </c>
      <c r="O627" s="72">
        <v>0.954798761609907</v>
      </c>
      <c r="P627" s="72">
        <v>0.966507177033493</v>
      </c>
      <c r="Q627" s="72">
        <v>0.988828828828829</v>
      </c>
      <c r="R627" s="72">
        <v>0.975714392300231</v>
      </c>
      <c r="S627" s="74">
        <v>0.9</v>
      </c>
      <c r="T627" s="72">
        <v>0.927554179566563</v>
      </c>
      <c r="U627" s="72">
        <v>0.964767290126142</v>
      </c>
      <c r="V627" s="72">
        <v>0.96036036036036</v>
      </c>
      <c r="W627" s="72">
        <v>0.952547937029023</v>
      </c>
      <c r="X627" s="74">
        <v>0.92</v>
      </c>
      <c r="Y627" s="74">
        <v>0.960819770946353</v>
      </c>
      <c r="Z627" s="74">
        <v>0.973860589812332</v>
      </c>
      <c r="AA627" s="74">
        <v>0.976394849785408</v>
      </c>
      <c r="AB627" s="74">
        <v>0.973798767967146</v>
      </c>
      <c r="AC627" s="74">
        <v>0.92</v>
      </c>
      <c r="AD627" s="72">
        <v>0.99800796812749</v>
      </c>
      <c r="AE627" s="72">
        <v>0.989200863930886</v>
      </c>
      <c r="AF627" s="72">
        <v>0.998449612403101</v>
      </c>
      <c r="AG627" s="72">
        <v>0.987465940054496</v>
      </c>
      <c r="AH627" s="74">
        <v>0.92</v>
      </c>
      <c r="AI627" s="72">
        <v>0.971989368227356</v>
      </c>
      <c r="AJ627" s="72">
        <v>0.983909258770773</v>
      </c>
      <c r="AK627" s="72">
        <v>0.987778576563623</v>
      </c>
      <c r="AL627" s="72">
        <v>0.985251872370986</v>
      </c>
      <c r="AM627" s="71">
        <v>0.99</v>
      </c>
      <c r="AN627" s="76">
        <v>1</v>
      </c>
      <c r="AO627" s="76">
        <v>1</v>
      </c>
      <c r="AP627" s="76">
        <v>1</v>
      </c>
      <c r="AQ627" s="76">
        <v>1</v>
      </c>
      <c r="AR627" s="96">
        <v>0.05</v>
      </c>
      <c r="AS627" s="80">
        <v>0.153846153846154</v>
      </c>
      <c r="AT627" s="80">
        <v>0.0833333333333333</v>
      </c>
      <c r="AU627" s="80">
        <v>0.0588235294117647</v>
      </c>
      <c r="AV627" s="80">
        <v>0.0546875</v>
      </c>
      <c r="AW627" s="36"/>
      <c r="AX627" s="34"/>
    </row>
    <row r="628" ht="14.5" spans="1:50">
      <c r="A628" s="32"/>
      <c r="B628" s="36"/>
      <c r="C628" s="91" t="s">
        <v>401</v>
      </c>
      <c r="D628" s="69" t="s">
        <v>19</v>
      </c>
      <c r="E628" s="92" t="s">
        <v>679</v>
      </c>
      <c r="F628" s="92" t="s">
        <v>679</v>
      </c>
      <c r="G628" s="92" t="s">
        <v>679</v>
      </c>
      <c r="H628" s="92" t="s">
        <v>679</v>
      </c>
      <c r="I628" s="71">
        <v>0.9</v>
      </c>
      <c r="J628" s="72">
        <v>0.916666666666667</v>
      </c>
      <c r="K628" s="72">
        <v>0.895833333333333</v>
      </c>
      <c r="L628" s="73">
        <v>0.930693069306931</v>
      </c>
      <c r="M628" s="72">
        <v>0.903440621531632</v>
      </c>
      <c r="N628" s="74">
        <v>0.9</v>
      </c>
      <c r="O628" s="72">
        <v>0.855563355563356</v>
      </c>
      <c r="P628" s="72">
        <v>0.973594718943789</v>
      </c>
      <c r="Q628" s="72">
        <v>0.981397114654518</v>
      </c>
      <c r="R628" s="72">
        <v>0.956943382560058</v>
      </c>
      <c r="S628" s="74">
        <v>0.9</v>
      </c>
      <c r="T628" s="72">
        <v>0.748508248508248</v>
      </c>
      <c r="U628" s="72">
        <v>0.818563712742548</v>
      </c>
      <c r="V628" s="72">
        <v>0.785117691723614</v>
      </c>
      <c r="W628" s="72">
        <v>0.777111585046879</v>
      </c>
      <c r="X628" s="74">
        <v>0.92</v>
      </c>
      <c r="Y628" s="74">
        <v>0.915506035283194</v>
      </c>
      <c r="Z628" s="74">
        <v>0.951035781544256</v>
      </c>
      <c r="AA628" s="74">
        <v>0.951606505355018</v>
      </c>
      <c r="AB628" s="74">
        <v>0.937137503346123</v>
      </c>
      <c r="AC628" s="74">
        <v>0.92</v>
      </c>
      <c r="AD628" s="72">
        <v>0.996666666666667</v>
      </c>
      <c r="AE628" s="72">
        <v>0.997960016319869</v>
      </c>
      <c r="AF628" s="72">
        <v>0.99810695693327</v>
      </c>
      <c r="AG628" s="72">
        <v>0.998238467466696</v>
      </c>
      <c r="AH628" s="74">
        <v>0.92</v>
      </c>
      <c r="AI628" s="72">
        <v>0.943784994400896</v>
      </c>
      <c r="AJ628" s="72">
        <v>0.968643846354847</v>
      </c>
      <c r="AK628" s="72">
        <v>0.972268583900372</v>
      </c>
      <c r="AL628" s="72">
        <v>0.96518495923687</v>
      </c>
      <c r="AM628" s="71">
        <v>0.99</v>
      </c>
      <c r="AN628" s="76">
        <v>1</v>
      </c>
      <c r="AO628" s="76">
        <v>1</v>
      </c>
      <c r="AP628" s="76">
        <v>1</v>
      </c>
      <c r="AQ628" s="76">
        <v>1</v>
      </c>
      <c r="AR628" s="96">
        <v>0.05</v>
      </c>
      <c r="AS628" s="80">
        <v>0.04</v>
      </c>
      <c r="AT628" s="80">
        <v>0.0416666666666667</v>
      </c>
      <c r="AU628" s="80">
        <v>0.125</v>
      </c>
      <c r="AV628" s="80">
        <v>0.0796019900497512</v>
      </c>
      <c r="AW628" s="36"/>
      <c r="AX628" s="34"/>
    </row>
    <row r="629" ht="14.5" spans="1:50">
      <c r="A629" s="32"/>
      <c r="B629" s="36"/>
      <c r="C629" s="91" t="s">
        <v>401</v>
      </c>
      <c r="D629" s="69" t="s">
        <v>19</v>
      </c>
      <c r="E629" s="92" t="s">
        <v>680</v>
      </c>
      <c r="F629" s="92" t="s">
        <v>680</v>
      </c>
      <c r="G629" s="92" t="s">
        <v>680</v>
      </c>
      <c r="H629" s="92" t="s">
        <v>680</v>
      </c>
      <c r="I629" s="71">
        <v>0.9</v>
      </c>
      <c r="J629" s="72">
        <v>0.840579710144927</v>
      </c>
      <c r="K629" s="72">
        <v>0.77027027027027</v>
      </c>
      <c r="L629" s="73">
        <v>0.777777777777778</v>
      </c>
      <c r="M629" s="72">
        <v>0.790868924889543</v>
      </c>
      <c r="N629" s="74">
        <v>0.9</v>
      </c>
      <c r="O629" s="72">
        <v>0.946754760979401</v>
      </c>
      <c r="P629" s="72">
        <v>0.915534183566799</v>
      </c>
      <c r="Q629" s="72">
        <v>0.95181428014046</v>
      </c>
      <c r="R629" s="72">
        <v>0.907938943962835</v>
      </c>
      <c r="S629" s="74">
        <v>0.9</v>
      </c>
      <c r="T629" s="72">
        <v>0.56237854644384</v>
      </c>
      <c r="U629" s="72">
        <v>0.65231026552373</v>
      </c>
      <c r="V629" s="72">
        <v>0.617245415528677</v>
      </c>
      <c r="W629" s="72">
        <v>0.570865651831266</v>
      </c>
      <c r="X629" s="74">
        <v>0.92</v>
      </c>
      <c r="Y629" s="74">
        <v>0.767219387755102</v>
      </c>
      <c r="Z629" s="74">
        <v>0.847242380261248</v>
      </c>
      <c r="AA629" s="74">
        <v>0.88754877616176</v>
      </c>
      <c r="AB629" s="74">
        <v>0.837586134892462</v>
      </c>
      <c r="AC629" s="74">
        <v>0.92</v>
      </c>
      <c r="AD629" s="72">
        <v>0.999395039322444</v>
      </c>
      <c r="AE629" s="72">
        <v>0.992122830440587</v>
      </c>
      <c r="AF629" s="72">
        <v>0.957699492927675</v>
      </c>
      <c r="AG629" s="72">
        <v>0.974463413469953</v>
      </c>
      <c r="AH629" s="74">
        <v>0.92</v>
      </c>
      <c r="AI629" s="72">
        <v>0.824317797633422</v>
      </c>
      <c r="AJ629" s="72">
        <v>0.896021220159151</v>
      </c>
      <c r="AK629" s="72">
        <v>0.927249842668345</v>
      </c>
      <c r="AL629" s="72">
        <v>0.894126449682005</v>
      </c>
      <c r="AM629" s="71">
        <v>0.99</v>
      </c>
      <c r="AN629" s="76">
        <v>1</v>
      </c>
      <c r="AO629" s="76">
        <v>1</v>
      </c>
      <c r="AP629" s="76">
        <v>1</v>
      </c>
      <c r="AQ629" s="76">
        <v>1</v>
      </c>
      <c r="AR629" s="96">
        <v>0.05</v>
      </c>
      <c r="AS629" s="80">
        <v>0.0422535211267606</v>
      </c>
      <c r="AT629" s="80">
        <v>0.051948051948052</v>
      </c>
      <c r="AU629" s="80">
        <v>0.0188679245283019</v>
      </c>
      <c r="AV629" s="80">
        <v>0.0243619489559165</v>
      </c>
      <c r="AW629" s="36"/>
      <c r="AX629" s="34"/>
    </row>
    <row r="630" ht="14.5" spans="1:50">
      <c r="A630" s="32"/>
      <c r="B630" s="36"/>
      <c r="C630" s="91" t="s">
        <v>401</v>
      </c>
      <c r="D630" s="69" t="s">
        <v>19</v>
      </c>
      <c r="E630" s="92" t="s">
        <v>681</v>
      </c>
      <c r="F630" s="92" t="s">
        <v>681</v>
      </c>
      <c r="G630" s="92" t="s">
        <v>681</v>
      </c>
      <c r="H630" s="92" t="s">
        <v>681</v>
      </c>
      <c r="I630" s="71">
        <v>0.9</v>
      </c>
      <c r="J630" s="72">
        <v>0.777777777777778</v>
      </c>
      <c r="K630" s="72">
        <v>0.8</v>
      </c>
      <c r="L630" s="73">
        <v>0.82089552238806</v>
      </c>
      <c r="M630" s="72">
        <v>0.815614617940199</v>
      </c>
      <c r="N630" s="74">
        <v>0.9</v>
      </c>
      <c r="O630" s="72">
        <v>0.954094579008074</v>
      </c>
      <c r="P630" s="72">
        <v>0.661061946902655</v>
      </c>
      <c r="Q630" s="72">
        <v>0.95859872611465</v>
      </c>
      <c r="R630" s="72">
        <v>0.926071943929087</v>
      </c>
      <c r="S630" s="74">
        <v>0.9</v>
      </c>
      <c r="T630" s="72">
        <v>0.7040369088812</v>
      </c>
      <c r="U630" s="72">
        <v>0.834336283185841</v>
      </c>
      <c r="V630" s="72">
        <v>0.737488626023658</v>
      </c>
      <c r="W630" s="72">
        <v>0.747139764996908</v>
      </c>
      <c r="X630" s="74">
        <v>0.92</v>
      </c>
      <c r="Y630" s="74">
        <v>0.852058319039451</v>
      </c>
      <c r="Z630" s="74">
        <v>0.926490984743412</v>
      </c>
      <c r="AA630" s="74">
        <v>0.924357754519505</v>
      </c>
      <c r="AB630" s="74">
        <v>0.918336153720181</v>
      </c>
      <c r="AC630" s="74">
        <v>0.92</v>
      </c>
      <c r="AD630" s="72">
        <v>0.995072836332476</v>
      </c>
      <c r="AE630" s="72">
        <v>0.994323639856781</v>
      </c>
      <c r="AF630" s="72">
        <v>0.994859858403647</v>
      </c>
      <c r="AG630" s="72">
        <v>0.976929615088841</v>
      </c>
      <c r="AH630" s="74">
        <v>0.92</v>
      </c>
      <c r="AI630" s="72">
        <v>0.888305847076462</v>
      </c>
      <c r="AJ630" s="72">
        <v>0.955748816984269</v>
      </c>
      <c r="AK630" s="72">
        <v>0.941449814126394</v>
      </c>
      <c r="AL630" s="72">
        <v>0.948663213885778</v>
      </c>
      <c r="AM630" s="71">
        <v>0.99</v>
      </c>
      <c r="AN630" s="76">
        <v>1</v>
      </c>
      <c r="AO630" s="76">
        <v>1</v>
      </c>
      <c r="AP630" s="76">
        <v>1</v>
      </c>
      <c r="AQ630" s="76">
        <v>1</v>
      </c>
      <c r="AR630" s="96">
        <v>0.05</v>
      </c>
      <c r="AS630" s="80">
        <v>0.03125</v>
      </c>
      <c r="AT630" s="80">
        <v>0.111111111111111</v>
      </c>
      <c r="AU630" s="80">
        <v>0.03125</v>
      </c>
      <c r="AV630" s="80">
        <v>0.0694444444444444</v>
      </c>
      <c r="AW630" s="36"/>
      <c r="AX630" s="34"/>
    </row>
    <row r="631" ht="14.5" spans="1:50">
      <c r="A631" s="32"/>
      <c r="B631" s="36"/>
      <c r="C631" s="91" t="s">
        <v>401</v>
      </c>
      <c r="D631" s="69" t="s">
        <v>19</v>
      </c>
      <c r="E631" s="92" t="s">
        <v>682</v>
      </c>
      <c r="F631" s="92" t="s">
        <v>682</v>
      </c>
      <c r="G631" s="92" t="s">
        <v>682</v>
      </c>
      <c r="H631" s="92" t="s">
        <v>682</v>
      </c>
      <c r="I631" s="71">
        <v>0.9</v>
      </c>
      <c r="J631" s="72">
        <v>0.875</v>
      </c>
      <c r="K631" s="72">
        <v>0.948051948051948</v>
      </c>
      <c r="L631" s="73">
        <v>0.935064935064935</v>
      </c>
      <c r="M631" s="72">
        <v>0.922287390029325</v>
      </c>
      <c r="N631" s="74">
        <v>0.9</v>
      </c>
      <c r="O631" s="72">
        <v>0.950554830287206</v>
      </c>
      <c r="P631" s="72">
        <v>0.978334589299171</v>
      </c>
      <c r="Q631" s="72">
        <v>0.978446740292127</v>
      </c>
      <c r="R631" s="72">
        <v>0.908324158907279</v>
      </c>
      <c r="S631" s="74">
        <v>0.9</v>
      </c>
      <c r="T631" s="72">
        <v>0.815274151436031</v>
      </c>
      <c r="U631" s="72">
        <v>0.897701582516956</v>
      </c>
      <c r="V631" s="72">
        <v>0.897755610972569</v>
      </c>
      <c r="W631" s="72">
        <v>0.846672015823552</v>
      </c>
      <c r="X631" s="74">
        <v>0.92</v>
      </c>
      <c r="Y631" s="74">
        <v>0.914973429196624</v>
      </c>
      <c r="Z631" s="74">
        <v>0.942127965492451</v>
      </c>
      <c r="AA631" s="74">
        <v>0.956359567325625</v>
      </c>
      <c r="AB631" s="74">
        <v>0.936317199799029</v>
      </c>
      <c r="AC631" s="74">
        <v>0.92</v>
      </c>
      <c r="AD631" s="72">
        <v>0.986486486486487</v>
      </c>
      <c r="AE631" s="72">
        <v>0.992929292929293</v>
      </c>
      <c r="AF631" s="72">
        <v>0.993858179787828</v>
      </c>
      <c r="AG631" s="72">
        <v>0.992907348242811</v>
      </c>
      <c r="AH631" s="74">
        <v>0.92</v>
      </c>
      <c r="AI631" s="72">
        <v>0.952186963979417</v>
      </c>
      <c r="AJ631" s="72">
        <v>0.967989123717711</v>
      </c>
      <c r="AK631" s="72">
        <v>0.976853526220615</v>
      </c>
      <c r="AL631" s="72">
        <v>0.967749428936467</v>
      </c>
      <c r="AM631" s="71">
        <v>0.99</v>
      </c>
      <c r="AN631" s="76">
        <v>1</v>
      </c>
      <c r="AO631" s="76">
        <v>1</v>
      </c>
      <c r="AP631" s="76">
        <v>1</v>
      </c>
      <c r="AQ631" s="76">
        <v>1</v>
      </c>
      <c r="AR631" s="96">
        <v>0.05</v>
      </c>
      <c r="AS631" s="80">
        <v>0.0303030303030303</v>
      </c>
      <c r="AT631" s="80">
        <v>0.04</v>
      </c>
      <c r="AU631" s="80">
        <v>0</v>
      </c>
      <c r="AV631" s="80">
        <v>0.0526315789473684</v>
      </c>
      <c r="AW631" s="36"/>
      <c r="AX631" s="34"/>
    </row>
    <row r="632" ht="14.5" spans="1:50">
      <c r="A632" s="32"/>
      <c r="B632" s="36"/>
      <c r="C632" s="91" t="s">
        <v>401</v>
      </c>
      <c r="D632" s="69" t="s">
        <v>19</v>
      </c>
      <c r="E632" s="92" t="s">
        <v>683</v>
      </c>
      <c r="F632" s="92" t="s">
        <v>683</v>
      </c>
      <c r="G632" s="92" t="s">
        <v>683</v>
      </c>
      <c r="H632" s="92" t="s">
        <v>683</v>
      </c>
      <c r="I632" s="71">
        <v>0.9</v>
      </c>
      <c r="J632" s="72">
        <v>0.972972972972973</v>
      </c>
      <c r="K632" s="72">
        <v>0.973684210526316</v>
      </c>
      <c r="L632" s="73">
        <v>0.975609756097561</v>
      </c>
      <c r="M632" s="72">
        <v>0.988636363636364</v>
      </c>
      <c r="N632" s="74">
        <v>0.9</v>
      </c>
      <c r="O632" s="72">
        <v>0.990924956369983</v>
      </c>
      <c r="P632" s="72">
        <v>0.989154013015184</v>
      </c>
      <c r="Q632" s="72">
        <v>0.993364558938329</v>
      </c>
      <c r="R632" s="72">
        <v>0.989513703208556</v>
      </c>
      <c r="S632" s="74">
        <v>0.9</v>
      </c>
      <c r="T632" s="72">
        <v>0.95043630017452</v>
      </c>
      <c r="U632" s="72">
        <v>0.970932754880694</v>
      </c>
      <c r="V632" s="72">
        <v>0.961748633879781</v>
      </c>
      <c r="W632" s="72">
        <v>0.960185494652406</v>
      </c>
      <c r="X632" s="74">
        <v>0.92</v>
      </c>
      <c r="Y632" s="74">
        <v>0.964573268921095</v>
      </c>
      <c r="Z632" s="74">
        <v>0.975856697819315</v>
      </c>
      <c r="AA632" s="74">
        <v>0.972389991371872</v>
      </c>
      <c r="AB632" s="74">
        <v>0.972129538763494</v>
      </c>
      <c r="AC632" s="74">
        <v>0.92</v>
      </c>
      <c r="AD632" s="72">
        <v>0.990476190476191</v>
      </c>
      <c r="AE632" s="72">
        <v>0.975155279503106</v>
      </c>
      <c r="AF632" s="72">
        <v>0.994565217391304</v>
      </c>
      <c r="AG632" s="72">
        <v>0.984709480122324</v>
      </c>
      <c r="AH632" s="74">
        <v>0.92</v>
      </c>
      <c r="AI632" s="72">
        <v>0.976880019469457</v>
      </c>
      <c r="AJ632" s="72">
        <v>0.986068542769574</v>
      </c>
      <c r="AK632" s="72">
        <v>0.986835034927458</v>
      </c>
      <c r="AL632" s="72">
        <v>0.985174333430999</v>
      </c>
      <c r="AM632" s="71">
        <v>0.99</v>
      </c>
      <c r="AN632" s="76">
        <v>1</v>
      </c>
      <c r="AO632" s="76">
        <v>1</v>
      </c>
      <c r="AP632" s="76">
        <v>1</v>
      </c>
      <c r="AQ632" s="76">
        <v>1</v>
      </c>
      <c r="AR632" s="96">
        <v>0.05</v>
      </c>
      <c r="AS632" s="80">
        <v>0.166666666666667</v>
      </c>
      <c r="AT632" s="80">
        <v>0</v>
      </c>
      <c r="AU632" s="80">
        <v>0</v>
      </c>
      <c r="AV632" s="80">
        <v>0.0520833333333333</v>
      </c>
      <c r="AW632" s="36"/>
      <c r="AX632" s="34"/>
    </row>
    <row r="633" ht="14.5" spans="1:50">
      <c r="A633" s="32"/>
      <c r="B633" s="36"/>
      <c r="C633" s="91" t="s">
        <v>401</v>
      </c>
      <c r="D633" s="69" t="s">
        <v>19</v>
      </c>
      <c r="E633" s="92" t="s">
        <v>684</v>
      </c>
      <c r="F633" s="92" t="s">
        <v>684</v>
      </c>
      <c r="G633" s="92" t="s">
        <v>684</v>
      </c>
      <c r="H633" s="92" t="s">
        <v>684</v>
      </c>
      <c r="I633" s="71">
        <v>0.9</v>
      </c>
      <c r="J633" s="72">
        <v>0.69047619047619</v>
      </c>
      <c r="K633" s="72">
        <v>0.769230769230769</v>
      </c>
      <c r="L633" s="73">
        <v>0.770833333333333</v>
      </c>
      <c r="M633" s="72">
        <v>0.768484848484848</v>
      </c>
      <c r="N633" s="74">
        <v>0.9</v>
      </c>
      <c r="O633" s="72">
        <v>0.965651717414129</v>
      </c>
      <c r="P633" s="72">
        <v>0.966432608323343</v>
      </c>
      <c r="Q633" s="72">
        <v>0.962010992563854</v>
      </c>
      <c r="R633" s="72">
        <v>0.974421313883402</v>
      </c>
      <c r="S633" s="74">
        <v>0.9</v>
      </c>
      <c r="T633" s="72">
        <v>0.663716814159292</v>
      </c>
      <c r="U633" s="72">
        <v>0.734714848432951</v>
      </c>
      <c r="V633" s="72">
        <v>0.734400258648561</v>
      </c>
      <c r="W633" s="72">
        <v>0.699927400428844</v>
      </c>
      <c r="X633" s="74">
        <v>0.92</v>
      </c>
      <c r="Y633" s="74">
        <v>0.827408412483039</v>
      </c>
      <c r="Z633" s="74">
        <v>0.842</v>
      </c>
      <c r="AA633" s="74">
        <v>0.918964357767317</v>
      </c>
      <c r="AB633" s="74">
        <v>0.880363223609535</v>
      </c>
      <c r="AC633" s="74">
        <v>0.92</v>
      </c>
      <c r="AD633" s="72">
        <v>0.996805111821086</v>
      </c>
      <c r="AE633" s="72">
        <v>1</v>
      </c>
      <c r="AF633" s="72">
        <v>0.997989949748744</v>
      </c>
      <c r="AG633" s="72">
        <v>0.995132909022838</v>
      </c>
      <c r="AH633" s="74">
        <v>0.92</v>
      </c>
      <c r="AI633" s="72">
        <v>0.904191616766467</v>
      </c>
      <c r="AJ633" s="72">
        <v>0.927262443438914</v>
      </c>
      <c r="AK633" s="72">
        <v>0.962882096069869</v>
      </c>
      <c r="AL633" s="72">
        <v>0.946866500916296</v>
      </c>
      <c r="AM633" s="71">
        <v>0.99</v>
      </c>
      <c r="AN633" s="76">
        <v>1</v>
      </c>
      <c r="AO633" s="76">
        <v>1</v>
      </c>
      <c r="AP633" s="76">
        <v>1</v>
      </c>
      <c r="AQ633" s="76">
        <v>1</v>
      </c>
      <c r="AR633" s="96">
        <v>0.05</v>
      </c>
      <c r="AS633" s="80">
        <v>0.08</v>
      </c>
      <c r="AT633" s="80">
        <v>0</v>
      </c>
      <c r="AU633" s="80">
        <v>0.0357142857142857</v>
      </c>
      <c r="AV633" s="80">
        <v>0.0952380952380952</v>
      </c>
      <c r="AW633" s="36"/>
      <c r="AX633" s="34"/>
    </row>
    <row r="634" ht="14.5" spans="1:50">
      <c r="A634" s="32"/>
      <c r="B634" s="36"/>
      <c r="C634" s="91" t="s">
        <v>401</v>
      </c>
      <c r="D634" s="69" t="s">
        <v>19</v>
      </c>
      <c r="E634" s="92" t="s">
        <v>685</v>
      </c>
      <c r="F634" s="92" t="s">
        <v>685</v>
      </c>
      <c r="G634" s="92" t="s">
        <v>685</v>
      </c>
      <c r="H634" s="92" t="s">
        <v>685</v>
      </c>
      <c r="I634" s="71">
        <v>0.9</v>
      </c>
      <c r="J634" s="72">
        <v>0.72972972972973</v>
      </c>
      <c r="K634" s="72">
        <v>0.727272727272727</v>
      </c>
      <c r="L634" s="73">
        <v>0.708333333333333</v>
      </c>
      <c r="M634" s="72">
        <v>0.725</v>
      </c>
      <c r="N634" s="74">
        <v>0.9</v>
      </c>
      <c r="O634" s="72">
        <v>0.958718626155878</v>
      </c>
      <c r="P634" s="72">
        <v>0.917586460632818</v>
      </c>
      <c r="Q634" s="72">
        <v>0.971057884231537</v>
      </c>
      <c r="R634" s="72">
        <v>0.904536759663623</v>
      </c>
      <c r="S634" s="74">
        <v>0.9</v>
      </c>
      <c r="T634" s="72">
        <v>0.467635402906209</v>
      </c>
      <c r="U634" s="72">
        <v>0.578366445916115</v>
      </c>
      <c r="V634" s="72">
        <v>0.628077178975383</v>
      </c>
      <c r="W634" s="72">
        <v>0.525065867831234</v>
      </c>
      <c r="X634" s="74">
        <v>0.92</v>
      </c>
      <c r="Y634" s="74">
        <v>0.765588003157064</v>
      </c>
      <c r="Z634" s="74">
        <v>0.842105263157895</v>
      </c>
      <c r="AA634" s="74">
        <v>0.944444444444444</v>
      </c>
      <c r="AB634" s="74">
        <v>0.853853383458647</v>
      </c>
      <c r="AC634" s="74">
        <v>0.92</v>
      </c>
      <c r="AD634" s="72">
        <v>0.995708154506438</v>
      </c>
      <c r="AE634" s="72">
        <v>0.995540691192865</v>
      </c>
      <c r="AF634" s="72">
        <v>0.998944033790919</v>
      </c>
      <c r="AG634" s="72">
        <v>0.995561918396564</v>
      </c>
      <c r="AH634" s="74">
        <v>0.92</v>
      </c>
      <c r="AI634" s="72">
        <v>0.820530726256983</v>
      </c>
      <c r="AJ634" s="72">
        <v>0.881728395061728</v>
      </c>
      <c r="AK634" s="72">
        <v>0.936894351217206</v>
      </c>
      <c r="AL634" s="72">
        <v>0.901530359517168</v>
      </c>
      <c r="AM634" s="71">
        <v>0.99</v>
      </c>
      <c r="AN634" s="76">
        <v>1</v>
      </c>
      <c r="AO634" s="76">
        <v>1</v>
      </c>
      <c r="AP634" s="76">
        <v>1</v>
      </c>
      <c r="AQ634" s="76">
        <v>1</v>
      </c>
      <c r="AR634" s="96">
        <v>0.05</v>
      </c>
      <c r="AS634" s="80">
        <v>0.230769230769231</v>
      </c>
      <c r="AT634" s="80">
        <v>0</v>
      </c>
      <c r="AU634" s="80">
        <v>0.0625</v>
      </c>
      <c r="AV634" s="80">
        <v>0.0689655172413793</v>
      </c>
      <c r="AW634" s="36"/>
      <c r="AX634" s="34"/>
    </row>
    <row r="635" ht="14.5" spans="1:50">
      <c r="A635" s="32"/>
      <c r="B635" s="36"/>
      <c r="C635" s="91" t="s">
        <v>401</v>
      </c>
      <c r="D635" s="69" t="s">
        <v>19</v>
      </c>
      <c r="E635" s="92" t="s">
        <v>686</v>
      </c>
      <c r="F635" s="92" t="s">
        <v>686</v>
      </c>
      <c r="G635" s="92" t="s">
        <v>686</v>
      </c>
      <c r="H635" s="92" t="s">
        <v>686</v>
      </c>
      <c r="I635" s="71">
        <v>0.9</v>
      </c>
      <c r="J635" s="72">
        <v>0.880597014925373</v>
      </c>
      <c r="K635" s="72">
        <v>0.921875</v>
      </c>
      <c r="L635" s="73">
        <v>0.916666666666667</v>
      </c>
      <c r="M635" s="72">
        <v>0.919871794871795</v>
      </c>
      <c r="N635" s="74">
        <v>0.9</v>
      </c>
      <c r="O635" s="72">
        <v>0.911196911196911</v>
      </c>
      <c r="P635" s="72">
        <v>0.888778054862843</v>
      </c>
      <c r="Q635" s="72">
        <v>0.881501430735566</v>
      </c>
      <c r="R635" s="72">
        <v>0.949881117326081</v>
      </c>
      <c r="S635" s="74">
        <v>0.9</v>
      </c>
      <c r="T635" s="72">
        <v>0.855212355212355</v>
      </c>
      <c r="U635" s="72">
        <v>0.861346633416459</v>
      </c>
      <c r="V635" s="72">
        <v>0.849688604612018</v>
      </c>
      <c r="W635" s="72">
        <v>0.886762114914216</v>
      </c>
      <c r="X635" s="74">
        <v>0.92</v>
      </c>
      <c r="Y635" s="74">
        <v>0.777364505844846</v>
      </c>
      <c r="Z635" s="74">
        <v>0.759210526315789</v>
      </c>
      <c r="AA635" s="74">
        <v>0.678360757528718</v>
      </c>
      <c r="AB635" s="74">
        <v>0.778672968811544</v>
      </c>
      <c r="AC635" s="74">
        <v>0.92</v>
      </c>
      <c r="AD635" s="72">
        <v>0.9953125</v>
      </c>
      <c r="AE635" s="72">
        <v>0.996026317503746</v>
      </c>
      <c r="AF635" s="72">
        <v>0.96610014619883</v>
      </c>
      <c r="AG635" s="72">
        <v>0.980895532599029</v>
      </c>
      <c r="AH635" s="74">
        <v>0.92</v>
      </c>
      <c r="AI635" s="72">
        <v>0.855674028941356</v>
      </c>
      <c r="AJ635" s="72">
        <v>0.857615894039735</v>
      </c>
      <c r="AK635" s="72">
        <v>0.847664775207333</v>
      </c>
      <c r="AL635" s="72">
        <v>0.88442443670366</v>
      </c>
      <c r="AM635" s="71">
        <v>0.99</v>
      </c>
      <c r="AN635" s="76">
        <v>1</v>
      </c>
      <c r="AO635" s="76">
        <v>1</v>
      </c>
      <c r="AP635" s="76">
        <v>1</v>
      </c>
      <c r="AQ635" s="76">
        <v>1</v>
      </c>
      <c r="AR635" s="96">
        <v>0.05</v>
      </c>
      <c r="AS635" s="80">
        <v>0.00319488817891374</v>
      </c>
      <c r="AT635" s="80">
        <v>0.00761421319796954</v>
      </c>
      <c r="AU635" s="80">
        <v>0</v>
      </c>
      <c r="AV635" s="80">
        <v>0.00474984167194427</v>
      </c>
      <c r="AW635" s="36"/>
      <c r="AX635" s="34"/>
    </row>
    <row r="636" ht="14.5" spans="1:50">
      <c r="A636" s="32"/>
      <c r="B636" s="36"/>
      <c r="C636" s="91" t="s">
        <v>401</v>
      </c>
      <c r="D636" s="69" t="s">
        <v>19</v>
      </c>
      <c r="E636" s="92" t="s">
        <v>687</v>
      </c>
      <c r="F636" s="92" t="s">
        <v>687</v>
      </c>
      <c r="G636" s="92" t="s">
        <v>687</v>
      </c>
      <c r="H636" s="92" t="s">
        <v>687</v>
      </c>
      <c r="I636" s="71">
        <v>0.9</v>
      </c>
      <c r="J636" s="72">
        <v>0.955056179775281</v>
      </c>
      <c r="K636" s="72">
        <v>0.887640449438202</v>
      </c>
      <c r="L636" s="73">
        <v>0.866666666666667</v>
      </c>
      <c r="M636" s="72">
        <v>0.922222222222222</v>
      </c>
      <c r="N636" s="74">
        <v>0.9</v>
      </c>
      <c r="O636" s="72">
        <v>0.985588358751924</v>
      </c>
      <c r="P636" s="72">
        <v>0.989223454833597</v>
      </c>
      <c r="Q636" s="72">
        <v>0.988711194731891</v>
      </c>
      <c r="R636" s="72">
        <v>0.966312256981978</v>
      </c>
      <c r="S636" s="74">
        <v>0.9</v>
      </c>
      <c r="T636" s="72">
        <v>0.871974254932139</v>
      </c>
      <c r="U636" s="72">
        <v>0.889381933438986</v>
      </c>
      <c r="V636" s="72">
        <v>0.894481028535591</v>
      </c>
      <c r="W636" s="72">
        <v>0.889159581161969</v>
      </c>
      <c r="X636" s="74">
        <v>0.92</v>
      </c>
      <c r="Y636" s="74">
        <v>0.801120448179272</v>
      </c>
      <c r="Z636" s="74">
        <v>0.840048105832832</v>
      </c>
      <c r="AA636" s="74">
        <v>0.849402854646082</v>
      </c>
      <c r="AB636" s="74">
        <v>0.826889549789765</v>
      </c>
      <c r="AC636" s="74">
        <v>0.92</v>
      </c>
      <c r="AD636" s="72">
        <v>0.996893031513537</v>
      </c>
      <c r="AE636" s="72">
        <v>0.99906103286385</v>
      </c>
      <c r="AF636" s="72">
        <v>0.999167360532889</v>
      </c>
      <c r="AG636" s="72">
        <v>0.998729960441391</v>
      </c>
      <c r="AH636" s="74">
        <v>0.92</v>
      </c>
      <c r="AI636" s="72">
        <v>0.888216704288939</v>
      </c>
      <c r="AJ636" s="72">
        <v>0.922813569872393</v>
      </c>
      <c r="AK636" s="72">
        <v>0.923155320016307</v>
      </c>
      <c r="AL636" s="72">
        <v>0.912662319872884</v>
      </c>
      <c r="AM636" s="71">
        <v>0.99</v>
      </c>
      <c r="AN636" s="76">
        <v>1</v>
      </c>
      <c r="AO636" s="76">
        <v>1</v>
      </c>
      <c r="AP636" s="76">
        <v>1</v>
      </c>
      <c r="AQ636" s="76">
        <v>1</v>
      </c>
      <c r="AR636" s="96">
        <v>0.05</v>
      </c>
      <c r="AS636" s="80">
        <v>0.0588235294117647</v>
      </c>
      <c r="AT636" s="80">
        <v>0.142857142857143</v>
      </c>
      <c r="AU636" s="80">
        <v>0.0256410256410256</v>
      </c>
      <c r="AV636" s="80">
        <v>0.0371621621621622</v>
      </c>
      <c r="AW636" s="36"/>
      <c r="AX636" s="34"/>
    </row>
    <row r="637" ht="14.5" spans="1:50">
      <c r="A637" s="32"/>
      <c r="B637" s="36"/>
      <c r="C637" s="91" t="s">
        <v>401</v>
      </c>
      <c r="D637" s="69" t="s">
        <v>19</v>
      </c>
      <c r="E637" s="92" t="s">
        <v>688</v>
      </c>
      <c r="F637" s="92" t="s">
        <v>688</v>
      </c>
      <c r="G637" s="92" t="s">
        <v>688</v>
      </c>
      <c r="H637" s="92" t="s">
        <v>688</v>
      </c>
      <c r="I637" s="71">
        <v>0.9</v>
      </c>
      <c r="J637" s="72">
        <v>0.8</v>
      </c>
      <c r="K637" s="72">
        <v>0.723684210526316</v>
      </c>
      <c r="L637" s="73">
        <v>0.822784810126582</v>
      </c>
      <c r="M637" s="72">
        <v>0.817790530846485</v>
      </c>
      <c r="N637" s="74">
        <v>0.9</v>
      </c>
      <c r="O637" s="72">
        <v>0.866290351031928</v>
      </c>
      <c r="P637" s="72">
        <v>0.912441414571794</v>
      </c>
      <c r="Q637" s="72">
        <v>0.938035465232118</v>
      </c>
      <c r="R637" s="72">
        <v>0.906408164972602</v>
      </c>
      <c r="S637" s="74">
        <v>0.9</v>
      </c>
      <c r="T637" s="72">
        <v>0.50238137237608</v>
      </c>
      <c r="U637" s="72">
        <v>0.668939071154666</v>
      </c>
      <c r="V637" s="72">
        <v>0.639968121139669</v>
      </c>
      <c r="W637" s="72">
        <v>0.583427448027774</v>
      </c>
      <c r="X637" s="74">
        <v>0.92</v>
      </c>
      <c r="Y637" s="74">
        <v>0.725617685305592</v>
      </c>
      <c r="Z637" s="74">
        <v>0.88961038961039</v>
      </c>
      <c r="AA637" s="74">
        <v>0.887890765361121</v>
      </c>
      <c r="AB637" s="74">
        <v>0.84587982832618</v>
      </c>
      <c r="AC637" s="74">
        <v>0.92</v>
      </c>
      <c r="AD637" s="72">
        <v>0.990909090909091</v>
      </c>
      <c r="AE637" s="72">
        <v>0.652908067542214</v>
      </c>
      <c r="AF637" s="72">
        <v>0.995283018867924</v>
      </c>
      <c r="AG637" s="72">
        <v>0.951490112338687</v>
      </c>
      <c r="AH637" s="74">
        <v>0.92</v>
      </c>
      <c r="AI637" s="72">
        <v>0.806584362139918</v>
      </c>
      <c r="AJ637" s="72">
        <v>0.931732514309647</v>
      </c>
      <c r="AK637" s="72">
        <v>0.935657523711869</v>
      </c>
      <c r="AL637" s="72">
        <v>0.911813901187715</v>
      </c>
      <c r="AM637" s="71">
        <v>0.99</v>
      </c>
      <c r="AN637" s="76">
        <v>1</v>
      </c>
      <c r="AO637" s="76">
        <v>1</v>
      </c>
      <c r="AP637" s="76">
        <v>1</v>
      </c>
      <c r="AQ637" s="76">
        <v>1</v>
      </c>
      <c r="AR637" s="96">
        <v>0.05</v>
      </c>
      <c r="AS637" s="80">
        <v>0.025974025974026</v>
      </c>
      <c r="AT637" s="80">
        <v>0.109090909090909</v>
      </c>
      <c r="AU637" s="80">
        <v>0.0625</v>
      </c>
      <c r="AV637" s="80">
        <v>0.00418410041841004</v>
      </c>
      <c r="AW637" s="36"/>
      <c r="AX637" s="34"/>
    </row>
    <row r="638" ht="14.5" spans="1:50">
      <c r="A638" s="32"/>
      <c r="B638" s="36"/>
      <c r="C638" s="91" t="s">
        <v>401</v>
      </c>
      <c r="D638" s="69" t="s">
        <v>19</v>
      </c>
      <c r="E638" s="92" t="s">
        <v>689</v>
      </c>
      <c r="F638" s="92" t="s">
        <v>689</v>
      </c>
      <c r="G638" s="92" t="s">
        <v>689</v>
      </c>
      <c r="H638" s="92" t="s">
        <v>689</v>
      </c>
      <c r="I638" s="71">
        <v>0.9</v>
      </c>
      <c r="J638" s="72">
        <v>0.421052631578947</v>
      </c>
      <c r="K638" s="72">
        <v>0.415384615384615</v>
      </c>
      <c r="L638" s="73">
        <v>0.388888888888889</v>
      </c>
      <c r="M638" s="72">
        <v>0.405084745762712</v>
      </c>
      <c r="N638" s="74">
        <v>0.9</v>
      </c>
      <c r="O638" s="72">
        <v>0.445431640365999</v>
      </c>
      <c r="P638" s="72">
        <v>0.415525779201864</v>
      </c>
      <c r="Q638" s="72">
        <v>0.50814606741573</v>
      </c>
      <c r="R638" s="72">
        <v>0.456862444410366</v>
      </c>
      <c r="S638" s="74">
        <v>0.9</v>
      </c>
      <c r="T638" s="72">
        <v>0.437077310701498</v>
      </c>
      <c r="U638" s="72">
        <v>0.484124672298281</v>
      </c>
      <c r="V638" s="72">
        <v>0.491994382022472</v>
      </c>
      <c r="W638" s="72">
        <v>0.456479067627664</v>
      </c>
      <c r="X638" s="74">
        <v>0.92</v>
      </c>
      <c r="Y638" s="74">
        <v>0</v>
      </c>
      <c r="Z638" s="74">
        <v>0</v>
      </c>
      <c r="AA638" s="74">
        <v>0</v>
      </c>
      <c r="AB638" s="74">
        <v>0</v>
      </c>
      <c r="AC638" s="74">
        <v>0.92</v>
      </c>
      <c r="AD638" s="72">
        <v>0.994082840236686</v>
      </c>
      <c r="AE638" s="72">
        <v>0.994825355756792</v>
      </c>
      <c r="AF638" s="72">
        <v>0.995695839311334</v>
      </c>
      <c r="AG638" s="72">
        <v>0.99442292796282</v>
      </c>
      <c r="AH638" s="74">
        <v>0.92</v>
      </c>
      <c r="AI638" s="72">
        <v>0.793217644721155</v>
      </c>
      <c r="AJ638" s="72">
        <v>0.862219632974075</v>
      </c>
      <c r="AK638" s="72">
        <v>0.930777871384443</v>
      </c>
      <c r="AL638" s="72">
        <v>0.88007419671327</v>
      </c>
      <c r="AM638" s="71">
        <v>0.99</v>
      </c>
      <c r="AN638" s="76">
        <v>1</v>
      </c>
      <c r="AO638" s="76">
        <v>1</v>
      </c>
      <c r="AP638" s="76">
        <v>1</v>
      </c>
      <c r="AQ638" s="76">
        <v>1</v>
      </c>
      <c r="AR638" s="96">
        <v>0.05</v>
      </c>
      <c r="AS638" s="80">
        <v>0.125</v>
      </c>
      <c r="AT638" s="80">
        <v>0</v>
      </c>
      <c r="AU638" s="80">
        <v>0.0967741935483871</v>
      </c>
      <c r="AV638" s="80">
        <v>0.0837696335078534</v>
      </c>
      <c r="AW638" s="36"/>
      <c r="AX638" s="34"/>
    </row>
    <row r="639" ht="14.5" spans="1:50">
      <c r="A639" s="32"/>
      <c r="B639" s="36"/>
      <c r="C639" s="91" t="s">
        <v>401</v>
      </c>
      <c r="D639" s="69" t="s">
        <v>19</v>
      </c>
      <c r="E639" s="92" t="s">
        <v>690</v>
      </c>
      <c r="F639" s="92" t="s">
        <v>690</v>
      </c>
      <c r="G639" s="92" t="s">
        <v>690</v>
      </c>
      <c r="H639" s="92" t="s">
        <v>690</v>
      </c>
      <c r="I639" s="71">
        <v>0.9</v>
      </c>
      <c r="J639" s="72">
        <v>0.307692307692308</v>
      </c>
      <c r="K639" s="72">
        <v>0.27027027027027</v>
      </c>
      <c r="L639" s="73">
        <v>0.216867469879518</v>
      </c>
      <c r="M639" s="72">
        <v>0.183908045977011</v>
      </c>
      <c r="N639" s="74">
        <v>0.9</v>
      </c>
      <c r="O639" s="72">
        <v>0.596005801628919</v>
      </c>
      <c r="P639" s="72">
        <v>0.739912618864045</v>
      </c>
      <c r="Q639" s="72">
        <v>0.681503835030806</v>
      </c>
      <c r="R639" s="72">
        <v>0.478723552824523</v>
      </c>
      <c r="S639" s="74">
        <v>0.9</v>
      </c>
      <c r="T639" s="72">
        <v>0.638625460225371</v>
      </c>
      <c r="U639" s="72">
        <v>0.720123361603701</v>
      </c>
      <c r="V639" s="72">
        <v>0.7356972211744</v>
      </c>
      <c r="W639" s="72">
        <v>0.659912017317226</v>
      </c>
      <c r="X639" s="74">
        <v>0.92</v>
      </c>
      <c r="Y639" s="74">
        <v>0.923611111111111</v>
      </c>
      <c r="Z639" s="74">
        <v>0.25</v>
      </c>
      <c r="AA639" s="74">
        <v>0</v>
      </c>
      <c r="AB639" s="74">
        <v>0.794594594594595</v>
      </c>
      <c r="AC639" s="74">
        <v>0.92</v>
      </c>
      <c r="AD639" s="72">
        <v>0.990768946736823</v>
      </c>
      <c r="AE639" s="72">
        <v>0.960690492841106</v>
      </c>
      <c r="AF639" s="72">
        <v>0.974069705501864</v>
      </c>
      <c r="AG639" s="72">
        <v>0.932363558510607</v>
      </c>
      <c r="AH639" s="74">
        <v>0.92</v>
      </c>
      <c r="AI639" s="72">
        <v>0.888550945035846</v>
      </c>
      <c r="AJ639" s="72">
        <v>0.936660268714012</v>
      </c>
      <c r="AK639" s="72">
        <v>0.953991200502828</v>
      </c>
      <c r="AL639" s="72">
        <v>0.936991445858544</v>
      </c>
      <c r="AM639" s="71">
        <v>0.99</v>
      </c>
      <c r="AN639" s="76">
        <v>1</v>
      </c>
      <c r="AO639" s="76">
        <v>1</v>
      </c>
      <c r="AP639" s="76">
        <v>1</v>
      </c>
      <c r="AQ639" s="76">
        <v>1</v>
      </c>
      <c r="AR639" s="96">
        <v>0.05</v>
      </c>
      <c r="AS639" s="80">
        <v>0.0588235294117647</v>
      </c>
      <c r="AT639" s="80">
        <v>0.12</v>
      </c>
      <c r="AU639" s="80">
        <v>0.0294117647058824</v>
      </c>
      <c r="AV639" s="80">
        <v>0.0716845878136201</v>
      </c>
      <c r="AW639" s="36"/>
      <c r="AX639" s="34"/>
    </row>
    <row r="640" ht="14.5" spans="1:50">
      <c r="A640" s="32"/>
      <c r="B640" s="36"/>
      <c r="C640" s="91" t="s">
        <v>401</v>
      </c>
      <c r="D640" s="69" t="s">
        <v>19</v>
      </c>
      <c r="E640" s="92" t="s">
        <v>691</v>
      </c>
      <c r="F640" s="92" t="s">
        <v>691</v>
      </c>
      <c r="G640" s="92" t="s">
        <v>691</v>
      </c>
      <c r="H640" s="92" t="s">
        <v>691</v>
      </c>
      <c r="I640" s="71">
        <v>0.9</v>
      </c>
      <c r="J640" s="72">
        <v>0.956521739130435</v>
      </c>
      <c r="K640" s="72">
        <v>0.977777777777778</v>
      </c>
      <c r="L640" s="73">
        <v>0.956521739130435</v>
      </c>
      <c r="M640" s="72">
        <v>0.973170731707317</v>
      </c>
      <c r="N640" s="74">
        <v>0.9</v>
      </c>
      <c r="O640" s="72">
        <v>0.971084337349398</v>
      </c>
      <c r="P640" s="72">
        <v>0.975372453633323</v>
      </c>
      <c r="Q640" s="72">
        <v>0.95753114382786</v>
      </c>
      <c r="R640" s="72">
        <v>0.968610670576618</v>
      </c>
      <c r="S640" s="74">
        <v>0.9</v>
      </c>
      <c r="T640" s="72">
        <v>0.83239625167336</v>
      </c>
      <c r="U640" s="72">
        <v>0.812100942535725</v>
      </c>
      <c r="V640" s="72">
        <v>0.791902604756512</v>
      </c>
      <c r="W640" s="72">
        <v>0.795296089051139</v>
      </c>
      <c r="X640" s="74">
        <v>0.92</v>
      </c>
      <c r="Y640" s="74">
        <v>0.90334402198809</v>
      </c>
      <c r="Z640" s="74">
        <v>0.924947145877378</v>
      </c>
      <c r="AA640" s="74">
        <v>0.909770421783235</v>
      </c>
      <c r="AB640" s="74">
        <v>0.921808960270499</v>
      </c>
      <c r="AC640" s="74">
        <v>0.92</v>
      </c>
      <c r="AD640" s="72">
        <v>0.998376623376623</v>
      </c>
      <c r="AE640" s="72">
        <v>0.998168498168498</v>
      </c>
      <c r="AF640" s="72">
        <v>0.997880607559166</v>
      </c>
      <c r="AG640" s="72">
        <v>0.99849630520708</v>
      </c>
      <c r="AH640" s="74">
        <v>0.92</v>
      </c>
      <c r="AI640" s="72">
        <v>0.939854705186687</v>
      </c>
      <c r="AJ640" s="72">
        <v>0.959089154766499</v>
      </c>
      <c r="AK640" s="72">
        <v>0.949528563505269</v>
      </c>
      <c r="AL640" s="72">
        <v>0.954554546545585</v>
      </c>
      <c r="AM640" s="71">
        <v>0.99</v>
      </c>
      <c r="AN640" s="76">
        <v>1</v>
      </c>
      <c r="AO640" s="76">
        <v>1</v>
      </c>
      <c r="AP640" s="76">
        <v>1</v>
      </c>
      <c r="AQ640" s="76">
        <v>1</v>
      </c>
      <c r="AR640" s="96">
        <v>0.05</v>
      </c>
      <c r="AS640" s="80">
        <v>0</v>
      </c>
      <c r="AT640" s="80">
        <v>0.142857142857143</v>
      </c>
      <c r="AU640" s="80">
        <v>0.03125</v>
      </c>
      <c r="AV640" s="80">
        <v>0.068421052631579</v>
      </c>
      <c r="AW640" s="36"/>
      <c r="AX640" s="34"/>
    </row>
    <row r="641" ht="14.5" spans="1:50">
      <c r="A641" s="32"/>
      <c r="B641" s="36"/>
      <c r="C641" s="91" t="s">
        <v>401</v>
      </c>
      <c r="D641" s="69" t="s">
        <v>19</v>
      </c>
      <c r="E641" s="92" t="s">
        <v>692</v>
      </c>
      <c r="F641" s="92" t="s">
        <v>692</v>
      </c>
      <c r="G641" s="92" t="s">
        <v>692</v>
      </c>
      <c r="H641" s="92" t="s">
        <v>692</v>
      </c>
      <c r="I641" s="71">
        <v>0.9</v>
      </c>
      <c r="J641" s="72">
        <v>0.74</v>
      </c>
      <c r="K641" s="72">
        <v>0.754385964912281</v>
      </c>
      <c r="L641" s="73">
        <v>0.807017543859649</v>
      </c>
      <c r="M641" s="72">
        <v>0.776876267748479</v>
      </c>
      <c r="N641" s="74">
        <v>0.9</v>
      </c>
      <c r="O641" s="72">
        <v>0.984411903637223</v>
      </c>
      <c r="P641" s="72">
        <v>0.983046357615894</v>
      </c>
      <c r="Q641" s="72">
        <v>0.995395449620802</v>
      </c>
      <c r="R641" s="72">
        <v>0.974094985054799</v>
      </c>
      <c r="S641" s="74">
        <v>0.9</v>
      </c>
      <c r="T641" s="72">
        <v>0.610533774208786</v>
      </c>
      <c r="U641" s="72">
        <v>0.696423841059603</v>
      </c>
      <c r="V641" s="72">
        <v>0.720747562296858</v>
      </c>
      <c r="W641" s="72">
        <v>0.659692239566036</v>
      </c>
      <c r="X641" s="74">
        <v>0.92</v>
      </c>
      <c r="Y641" s="74">
        <v>0.80406899601946</v>
      </c>
      <c r="Z641" s="74">
        <v>0.843625498007968</v>
      </c>
      <c r="AA641" s="74">
        <v>0.818556701030928</v>
      </c>
      <c r="AB641" s="74">
        <v>0.84439104442621</v>
      </c>
      <c r="AC641" s="74">
        <v>0.92</v>
      </c>
      <c r="AD641" s="72">
        <v>0.990309014445054</v>
      </c>
      <c r="AE641" s="72">
        <v>0.990857459481923</v>
      </c>
      <c r="AF641" s="72">
        <v>0.985714285714286</v>
      </c>
      <c r="AG641" s="72">
        <v>0.982742951117651</v>
      </c>
      <c r="AH641" s="74">
        <v>0.92</v>
      </c>
      <c r="AI641" s="72">
        <v>0.891454965357968</v>
      </c>
      <c r="AJ641" s="72">
        <v>0.916839557399723</v>
      </c>
      <c r="AK641" s="72">
        <v>0.913738019169329</v>
      </c>
      <c r="AL641" s="72">
        <v>0.921878523641284</v>
      </c>
      <c r="AM641" s="71">
        <v>0.99</v>
      </c>
      <c r="AN641" s="76">
        <v>1</v>
      </c>
      <c r="AO641" s="76">
        <v>1</v>
      </c>
      <c r="AP641" s="76">
        <v>1</v>
      </c>
      <c r="AQ641" s="76">
        <v>1</v>
      </c>
      <c r="AR641" s="96">
        <v>0.05</v>
      </c>
      <c r="AS641" s="80">
        <v>0.129032258064516</v>
      </c>
      <c r="AT641" s="80">
        <v>0</v>
      </c>
      <c r="AU641" s="80">
        <v>0.125</v>
      </c>
      <c r="AV641" s="80">
        <v>0.0880829015544041</v>
      </c>
      <c r="AW641" s="36"/>
      <c r="AX641" s="34"/>
    </row>
    <row r="642" ht="14.5" spans="1:50">
      <c r="A642" s="32"/>
      <c r="B642" s="36"/>
      <c r="C642" s="110"/>
      <c r="D642" s="111"/>
      <c r="E642" s="111"/>
      <c r="F642" s="84"/>
      <c r="G642" s="84"/>
      <c r="H642" s="111"/>
      <c r="I642" s="112"/>
      <c r="J642" s="113"/>
      <c r="K642" s="113"/>
      <c r="L642" s="73"/>
      <c r="M642" s="113"/>
      <c r="N642" s="89"/>
      <c r="O642" s="113"/>
      <c r="P642" s="113"/>
      <c r="Q642" s="72"/>
      <c r="R642" s="113"/>
      <c r="S642" s="89"/>
      <c r="T642" s="113"/>
      <c r="U642" s="113"/>
      <c r="V642" s="72"/>
      <c r="W642" s="113"/>
      <c r="X642" s="89"/>
      <c r="Y642" s="89"/>
      <c r="Z642" s="89"/>
      <c r="AA642" s="74"/>
      <c r="AB642" s="89"/>
      <c r="AC642" s="113"/>
      <c r="AD642" s="113"/>
      <c r="AE642" s="113"/>
      <c r="AF642" s="72"/>
      <c r="AG642" s="113"/>
      <c r="AH642" s="113"/>
      <c r="AI642" s="113"/>
      <c r="AJ642" s="113"/>
      <c r="AK642" s="72"/>
      <c r="AL642" s="113"/>
      <c r="AM642" s="112"/>
      <c r="AN642" s="112"/>
      <c r="AO642" s="112"/>
      <c r="AP642" s="76"/>
      <c r="AQ642" s="112"/>
      <c r="AR642" s="113"/>
      <c r="AS642" s="112"/>
      <c r="AT642" s="112"/>
      <c r="AU642" s="80"/>
      <c r="AV642" s="112"/>
      <c r="AW642" s="36"/>
      <c r="AX642" s="34"/>
    </row>
    <row r="643" ht="14.5" spans="1:50">
      <c r="A643" s="32"/>
      <c r="B643" s="36"/>
      <c r="C643" s="91" t="s">
        <v>693</v>
      </c>
      <c r="D643" s="69" t="s">
        <v>21</v>
      </c>
      <c r="E643" s="114" t="s">
        <v>694</v>
      </c>
      <c r="F643" s="114" t="s">
        <v>694</v>
      </c>
      <c r="G643" s="114" t="s">
        <v>694</v>
      </c>
      <c r="H643" s="114" t="s">
        <v>694</v>
      </c>
      <c r="I643" s="71">
        <v>0.9</v>
      </c>
      <c r="J643" s="72">
        <v>0.862068965517241</v>
      </c>
      <c r="K643" s="72">
        <v>1</v>
      </c>
      <c r="L643" s="73">
        <v>1</v>
      </c>
      <c r="M643" s="72">
        <v>0.981549815498155</v>
      </c>
      <c r="N643" s="74">
        <v>0.9</v>
      </c>
      <c r="O643" s="72">
        <v>0.96551724137931</v>
      </c>
      <c r="P643" s="72">
        <v>0.985667034178611</v>
      </c>
      <c r="Q643" s="72">
        <v>0.977059925093633</v>
      </c>
      <c r="R643" s="72">
        <v>0.977800776196637</v>
      </c>
      <c r="S643" s="74">
        <v>0.9</v>
      </c>
      <c r="T643" s="72">
        <v>0.923177651680489</v>
      </c>
      <c r="U643" s="72">
        <v>0.968026460859978</v>
      </c>
      <c r="V643" s="72">
        <v>0.966760299625468</v>
      </c>
      <c r="W643" s="72">
        <v>0.958395860284605</v>
      </c>
      <c r="X643" s="74">
        <v>0.92</v>
      </c>
      <c r="Y643" s="74">
        <v>0.892708333333333</v>
      </c>
      <c r="Z643" s="74">
        <v>0.935627081021088</v>
      </c>
      <c r="AA643" s="74">
        <v>0.922266139657444</v>
      </c>
      <c r="AB643" s="74">
        <v>0.919090231170768</v>
      </c>
      <c r="AC643" s="74">
        <v>0.92</v>
      </c>
      <c r="AD643" s="72">
        <v>0.993630573248408</v>
      </c>
      <c r="AE643" s="72">
        <v>0.996515679442509</v>
      </c>
      <c r="AF643" s="72">
        <v>1</v>
      </c>
      <c r="AG643" s="72">
        <v>0.9932785660941</v>
      </c>
      <c r="AH643" s="74">
        <v>0.92</v>
      </c>
      <c r="AI643" s="72">
        <v>0.947093202091664</v>
      </c>
      <c r="AJ643" s="72">
        <v>0.970534069981584</v>
      </c>
      <c r="AK643" s="72">
        <v>0.971339779005525</v>
      </c>
      <c r="AL643" s="72">
        <v>0.962883133014284</v>
      </c>
      <c r="AM643" s="71">
        <v>0.99</v>
      </c>
      <c r="AN643" s="76">
        <v>1</v>
      </c>
      <c r="AO643" s="76">
        <v>1</v>
      </c>
      <c r="AP643" s="76">
        <v>1</v>
      </c>
      <c r="AQ643" s="76">
        <v>1</v>
      </c>
      <c r="AR643" s="96">
        <v>0.0810595228934205</v>
      </c>
      <c r="AS643" s="80">
        <v>0.0909090909090909</v>
      </c>
      <c r="AT643" s="80">
        <v>0</v>
      </c>
      <c r="AU643" s="80">
        <v>0</v>
      </c>
      <c r="AV643" s="80">
        <v>0.036231884057971</v>
      </c>
      <c r="AW643" s="36"/>
      <c r="AX643" s="34"/>
    </row>
    <row r="644" ht="14.5" spans="1:50">
      <c r="A644" s="32"/>
      <c r="B644" s="36"/>
      <c r="C644" s="91" t="s">
        <v>693</v>
      </c>
      <c r="D644" s="69" t="s">
        <v>21</v>
      </c>
      <c r="E644" s="114" t="s">
        <v>695</v>
      </c>
      <c r="F644" s="114" t="s">
        <v>695</v>
      </c>
      <c r="G644" s="114" t="s">
        <v>695</v>
      </c>
      <c r="H644" s="114" t="s">
        <v>695</v>
      </c>
      <c r="I644" s="71">
        <v>0.9</v>
      </c>
      <c r="J644" s="72">
        <v>1</v>
      </c>
      <c r="K644" s="72">
        <v>1</v>
      </c>
      <c r="L644" s="73">
        <v>1</v>
      </c>
      <c r="M644" s="72">
        <v>1</v>
      </c>
      <c r="N644" s="74">
        <v>0.9</v>
      </c>
      <c r="O644" s="72">
        <v>0.960716061660865</v>
      </c>
      <c r="P644" s="72">
        <v>0.982327848872639</v>
      </c>
      <c r="Q644" s="72">
        <v>0.983816964285714</v>
      </c>
      <c r="R644" s="72">
        <v>0.979775828460039</v>
      </c>
      <c r="S644" s="74">
        <v>0.9</v>
      </c>
      <c r="T644" s="72">
        <v>0.95375435106912</v>
      </c>
      <c r="U644" s="72">
        <v>0.964655697745277</v>
      </c>
      <c r="V644" s="72">
        <v>0.9609375</v>
      </c>
      <c r="W644" s="72">
        <v>0.95687134502924</v>
      </c>
      <c r="X644" s="74">
        <v>0.92</v>
      </c>
      <c r="Y644" s="74">
        <v>0.969249692496925</v>
      </c>
      <c r="Z644" s="74">
        <v>0.969362745098039</v>
      </c>
      <c r="AA644" s="74">
        <v>0.986348122866894</v>
      </c>
      <c r="AB644" s="74">
        <v>0.968428781204112</v>
      </c>
      <c r="AC644" s="74">
        <v>0.92</v>
      </c>
      <c r="AD644" s="72">
        <v>0.995823665893271</v>
      </c>
      <c r="AE644" s="72">
        <v>0.993555617820118</v>
      </c>
      <c r="AF644" s="72">
        <v>0.997520917260614</v>
      </c>
      <c r="AG644" s="72">
        <v>0.991432909196067</v>
      </c>
      <c r="AH644" s="74">
        <v>0.92</v>
      </c>
      <c r="AI644" s="72">
        <v>0.980878186968839</v>
      </c>
      <c r="AJ644" s="72">
        <v>0.981293208621391</v>
      </c>
      <c r="AK644" s="72">
        <v>0.98781512605042</v>
      </c>
      <c r="AL644" s="72">
        <v>0.982268129976329</v>
      </c>
      <c r="AM644" s="71">
        <v>0.99</v>
      </c>
      <c r="AN644" s="76">
        <v>1</v>
      </c>
      <c r="AO644" s="76">
        <v>1</v>
      </c>
      <c r="AP644" s="76">
        <v>1</v>
      </c>
      <c r="AQ644" s="76">
        <v>1</v>
      </c>
      <c r="AR644" s="96">
        <v>0.0810595228934205</v>
      </c>
      <c r="AS644" s="80">
        <v>0.25</v>
      </c>
      <c r="AT644" s="80">
        <v>0</v>
      </c>
      <c r="AU644" s="80">
        <v>0</v>
      </c>
      <c r="AV644" s="80">
        <v>0.0535714285714286</v>
      </c>
      <c r="AW644" s="36"/>
      <c r="AX644" s="34"/>
    </row>
    <row r="645" ht="14.5" spans="1:50">
      <c r="A645" s="32"/>
      <c r="B645" s="36"/>
      <c r="C645" s="91" t="s">
        <v>693</v>
      </c>
      <c r="D645" s="69" t="s">
        <v>21</v>
      </c>
      <c r="E645" s="114" t="s">
        <v>696</v>
      </c>
      <c r="F645" s="114" t="s">
        <v>696</v>
      </c>
      <c r="G645" s="114" t="s">
        <v>696</v>
      </c>
      <c r="H645" s="114" t="s">
        <v>696</v>
      </c>
      <c r="I645" s="71">
        <v>0.9</v>
      </c>
      <c r="J645" s="72">
        <v>1</v>
      </c>
      <c r="K645" s="72">
        <v>1</v>
      </c>
      <c r="L645" s="73">
        <v>1</v>
      </c>
      <c r="M645" s="72">
        <v>0.994778067885117</v>
      </c>
      <c r="N645" s="74">
        <v>0.9</v>
      </c>
      <c r="O645" s="72">
        <v>0.956012658227848</v>
      </c>
      <c r="P645" s="72">
        <v>0.976210008203446</v>
      </c>
      <c r="Q645" s="72">
        <v>0.978490703609187</v>
      </c>
      <c r="R645" s="72">
        <v>0.967489582514349</v>
      </c>
      <c r="S645" s="74">
        <v>0.9</v>
      </c>
      <c r="T645" s="72">
        <v>0.912025316455696</v>
      </c>
      <c r="U645" s="72">
        <v>0.944626743232157</v>
      </c>
      <c r="V645" s="72">
        <v>0.932555596062705</v>
      </c>
      <c r="W645" s="72">
        <v>0.927470713106376</v>
      </c>
      <c r="X645" s="74">
        <v>0.92</v>
      </c>
      <c r="Y645" s="74">
        <v>0.753749013417522</v>
      </c>
      <c r="Z645" s="74">
        <v>0.781879194630873</v>
      </c>
      <c r="AA645" s="74">
        <v>0.809935205183585</v>
      </c>
      <c r="AB645" s="74">
        <v>0.713913546893091</v>
      </c>
      <c r="AC645" s="74">
        <v>0.92</v>
      </c>
      <c r="AD645" s="72">
        <v>1</v>
      </c>
      <c r="AE645" s="72">
        <v>0.977011494252874</v>
      </c>
      <c r="AF645" s="72">
        <v>0.988505747126437</v>
      </c>
      <c r="AG645" s="72">
        <v>0.981065088757396</v>
      </c>
      <c r="AH645" s="74">
        <v>0.92</v>
      </c>
      <c r="AI645" s="72">
        <v>0.898576914388977</v>
      </c>
      <c r="AJ645" s="72">
        <v>0.907988980716253</v>
      </c>
      <c r="AK645" s="72">
        <v>0.934041973289725</v>
      </c>
      <c r="AL645" s="72">
        <v>0.89308158534201</v>
      </c>
      <c r="AM645" s="71">
        <v>0.99</v>
      </c>
      <c r="AN645" s="76">
        <v>1</v>
      </c>
      <c r="AO645" s="76">
        <v>1</v>
      </c>
      <c r="AP645" s="76">
        <v>1</v>
      </c>
      <c r="AQ645" s="76">
        <v>1</v>
      </c>
      <c r="AR645" s="96">
        <v>0.0810595228934205</v>
      </c>
      <c r="AS645" s="80">
        <v>0</v>
      </c>
      <c r="AT645" s="80">
        <v>0</v>
      </c>
      <c r="AU645" s="80">
        <v>0</v>
      </c>
      <c r="AV645" s="80">
        <v>0.0341880341880342</v>
      </c>
      <c r="AW645" s="36"/>
      <c r="AX645" s="34"/>
    </row>
    <row r="646" ht="14.5" spans="1:50">
      <c r="A646" s="32"/>
      <c r="B646" s="36"/>
      <c r="C646" s="91" t="s">
        <v>693</v>
      </c>
      <c r="D646" s="69" t="s">
        <v>21</v>
      </c>
      <c r="E646" s="114" t="s">
        <v>697</v>
      </c>
      <c r="F646" s="114" t="s">
        <v>697</v>
      </c>
      <c r="G646" s="114" t="s">
        <v>697</v>
      </c>
      <c r="H646" s="114" t="s">
        <v>697</v>
      </c>
      <c r="I646" s="71">
        <v>0.9</v>
      </c>
      <c r="J646" s="72">
        <v>0.923076923076923</v>
      </c>
      <c r="K646" s="72">
        <v>0.904761904761905</v>
      </c>
      <c r="L646" s="73">
        <v>0.886363636363636</v>
      </c>
      <c r="M646" s="72">
        <v>0.897097625329815</v>
      </c>
      <c r="N646" s="74">
        <v>0.9</v>
      </c>
      <c r="O646" s="72">
        <v>0.971139541803035</v>
      </c>
      <c r="P646" s="72">
        <v>0.978017740069418</v>
      </c>
      <c r="Q646" s="72">
        <v>0.986236992279288</v>
      </c>
      <c r="R646" s="72">
        <v>0.979981038506418</v>
      </c>
      <c r="S646" s="74">
        <v>0.9</v>
      </c>
      <c r="T646" s="72">
        <v>0.944361797084201</v>
      </c>
      <c r="U646" s="72">
        <v>0.952178943308909</v>
      </c>
      <c r="V646" s="72">
        <v>0.96106075864384</v>
      </c>
      <c r="W646" s="72">
        <v>0.952924445740957</v>
      </c>
      <c r="X646" s="74">
        <v>0.92</v>
      </c>
      <c r="Y646" s="74">
        <v>0.908554572271386</v>
      </c>
      <c r="Z646" s="74">
        <v>0.927272727272727</v>
      </c>
      <c r="AA646" s="74">
        <v>0.92497430626927</v>
      </c>
      <c r="AB646" s="74">
        <v>0.918902278124725</v>
      </c>
      <c r="AC646" s="74">
        <v>0.92</v>
      </c>
      <c r="AD646" s="72">
        <v>0.996753246753247</v>
      </c>
      <c r="AE646" s="72">
        <v>0.996466431095406</v>
      </c>
      <c r="AF646" s="72">
        <v>0.991830065359477</v>
      </c>
      <c r="AG646" s="72">
        <v>0.991386991386991</v>
      </c>
      <c r="AH646" s="74">
        <v>0.92</v>
      </c>
      <c r="AI646" s="72">
        <v>0.961840152639389</v>
      </c>
      <c r="AJ646" s="72">
        <v>0.956810631229236</v>
      </c>
      <c r="AK646" s="72">
        <v>0.969398077895802</v>
      </c>
      <c r="AL646" s="72">
        <v>0.962730037630806</v>
      </c>
      <c r="AM646" s="71">
        <v>0.99</v>
      </c>
      <c r="AN646" s="76">
        <v>1</v>
      </c>
      <c r="AO646" s="76">
        <v>1</v>
      </c>
      <c r="AP646" s="76">
        <v>1</v>
      </c>
      <c r="AQ646" s="76">
        <v>1</v>
      </c>
      <c r="AR646" s="96">
        <v>0.0810595228934205</v>
      </c>
      <c r="AS646" s="80">
        <v>0</v>
      </c>
      <c r="AT646" s="80">
        <v>0.111111111111111</v>
      </c>
      <c r="AU646" s="80">
        <v>0.133333333333333</v>
      </c>
      <c r="AV646" s="80">
        <v>0.0636363636363636</v>
      </c>
      <c r="AW646" s="36"/>
      <c r="AX646" s="34"/>
    </row>
    <row r="647" ht="14.5" spans="1:50">
      <c r="A647" s="32"/>
      <c r="B647" s="36"/>
      <c r="C647" s="91" t="s">
        <v>693</v>
      </c>
      <c r="D647" s="69" t="s">
        <v>21</v>
      </c>
      <c r="E647" s="114" t="s">
        <v>698</v>
      </c>
      <c r="F647" s="114" t="s">
        <v>698</v>
      </c>
      <c r="G647" s="114" t="s">
        <v>698</v>
      </c>
      <c r="H647" s="114" t="s">
        <v>698</v>
      </c>
      <c r="I647" s="71">
        <v>0.9</v>
      </c>
      <c r="J647" s="72">
        <v>1</v>
      </c>
      <c r="K647" s="72">
        <v>1</v>
      </c>
      <c r="L647" s="73">
        <v>1</v>
      </c>
      <c r="M647" s="72">
        <v>1</v>
      </c>
      <c r="N647" s="74">
        <v>0.9</v>
      </c>
      <c r="O647" s="72">
        <v>0.98740377886634</v>
      </c>
      <c r="P647" s="72">
        <v>0.993316624895572</v>
      </c>
      <c r="Q647" s="72">
        <v>0.994860499265786</v>
      </c>
      <c r="R647" s="72">
        <v>0.990593047034765</v>
      </c>
      <c r="S647" s="74">
        <v>0.9</v>
      </c>
      <c r="T647" s="72">
        <v>0.961511546536039</v>
      </c>
      <c r="U647" s="72">
        <v>0.973266499582289</v>
      </c>
      <c r="V647" s="72">
        <v>0.985315712187959</v>
      </c>
      <c r="W647" s="72">
        <v>0.970715746421268</v>
      </c>
      <c r="X647" s="74">
        <v>0.92</v>
      </c>
      <c r="Y647" s="74">
        <v>0.958408679927667</v>
      </c>
      <c r="Z647" s="74">
        <v>0.962699822380107</v>
      </c>
      <c r="AA647" s="74">
        <v>0.963718820861678</v>
      </c>
      <c r="AB647" s="74">
        <v>0.95667001003009</v>
      </c>
      <c r="AC647" s="74">
        <v>0.92</v>
      </c>
      <c r="AD647" s="72">
        <v>1</v>
      </c>
      <c r="AE647" s="72">
        <v>0.997435897435897</v>
      </c>
      <c r="AF647" s="72">
        <v>0.988888888888889</v>
      </c>
      <c r="AG647" s="72">
        <v>0.992107069320522</v>
      </c>
      <c r="AH647" s="74">
        <v>0.92</v>
      </c>
      <c r="AI647" s="72">
        <v>0.979313824419778</v>
      </c>
      <c r="AJ647" s="72">
        <v>0.980681818181818</v>
      </c>
      <c r="AK647" s="72">
        <v>0.988352745424293</v>
      </c>
      <c r="AL647" s="72">
        <v>0.981232932426936</v>
      </c>
      <c r="AM647" s="71">
        <v>0.99</v>
      </c>
      <c r="AN647" s="76">
        <v>1</v>
      </c>
      <c r="AO647" s="76">
        <v>1</v>
      </c>
      <c r="AP647" s="76">
        <v>1</v>
      </c>
      <c r="AQ647" s="76">
        <v>1</v>
      </c>
      <c r="AR647" s="96">
        <v>0.0810595228934205</v>
      </c>
      <c r="AS647" s="80">
        <v>0</v>
      </c>
      <c r="AT647" s="80">
        <v>0</v>
      </c>
      <c r="AU647" s="80">
        <v>0.142857142857143</v>
      </c>
      <c r="AV647" s="80">
        <v>0.0491803278688525</v>
      </c>
      <c r="AW647" s="36"/>
      <c r="AX647" s="34"/>
    </row>
    <row r="648" ht="14.5" spans="1:50">
      <c r="A648" s="32"/>
      <c r="B648" s="36"/>
      <c r="C648" s="91" t="s">
        <v>693</v>
      </c>
      <c r="D648" s="69" t="s">
        <v>21</v>
      </c>
      <c r="E648" s="114" t="s">
        <v>699</v>
      </c>
      <c r="F648" s="114" t="s">
        <v>699</v>
      </c>
      <c r="G648" s="114" t="s">
        <v>699</v>
      </c>
      <c r="H648" s="114" t="s">
        <v>699</v>
      </c>
      <c r="I648" s="71">
        <v>0.9</v>
      </c>
      <c r="J648" s="72">
        <v>1</v>
      </c>
      <c r="K648" s="72">
        <v>0.958333333333333</v>
      </c>
      <c r="L648" s="73">
        <v>1</v>
      </c>
      <c r="M648" s="72">
        <v>0.995515695067265</v>
      </c>
      <c r="N648" s="74">
        <v>0.9</v>
      </c>
      <c r="O648" s="72">
        <v>0.977883781439722</v>
      </c>
      <c r="P648" s="72">
        <v>0.97885032537961</v>
      </c>
      <c r="Q648" s="72">
        <v>0.97383444338725</v>
      </c>
      <c r="R648" s="72">
        <v>0.97818746985369</v>
      </c>
      <c r="S648" s="74">
        <v>0.9</v>
      </c>
      <c r="T648" s="72">
        <v>0.954032957502168</v>
      </c>
      <c r="U648" s="72">
        <v>0.960412147505423</v>
      </c>
      <c r="V648" s="72">
        <v>0.960513796384396</v>
      </c>
      <c r="W648" s="72">
        <v>0.964681922932633</v>
      </c>
      <c r="X648" s="74">
        <v>0.92</v>
      </c>
      <c r="Y648" s="74">
        <v>0.918435754189944</v>
      </c>
      <c r="Z648" s="74">
        <v>0.949341438703141</v>
      </c>
      <c r="AA648" s="74">
        <v>0.933238636363636</v>
      </c>
      <c r="AB648" s="74">
        <v>0.943391393442623</v>
      </c>
      <c r="AC648" s="74">
        <v>0.92</v>
      </c>
      <c r="AD648" s="72">
        <v>0.996688741721854</v>
      </c>
      <c r="AE648" s="72">
        <v>0.997395833333333</v>
      </c>
      <c r="AF648" s="72">
        <v>0.991576413959085</v>
      </c>
      <c r="AG648" s="72">
        <v>0.987025784201018</v>
      </c>
      <c r="AH648" s="74">
        <v>0.92</v>
      </c>
      <c r="AI648" s="72">
        <v>0.960024984384759</v>
      </c>
      <c r="AJ648" s="72">
        <v>0.966442953020134</v>
      </c>
      <c r="AK648" s="72">
        <v>0.967569493941554</v>
      </c>
      <c r="AL648" s="72">
        <v>0.971402667069623</v>
      </c>
      <c r="AM648" s="71">
        <v>0.99</v>
      </c>
      <c r="AN648" s="76">
        <v>1</v>
      </c>
      <c r="AO648" s="76">
        <v>1</v>
      </c>
      <c r="AP648" s="76">
        <v>1</v>
      </c>
      <c r="AQ648" s="76">
        <v>1</v>
      </c>
      <c r="AR648" s="96">
        <v>0.0810595228934205</v>
      </c>
      <c r="AS648" s="80">
        <v>0.0909090909090909</v>
      </c>
      <c r="AT648" s="80">
        <v>0.142857142857143</v>
      </c>
      <c r="AU648" s="80">
        <v>0.0833333333333333</v>
      </c>
      <c r="AV648" s="80">
        <v>0.0535714285714286</v>
      </c>
      <c r="AW648" s="36"/>
      <c r="AX648" s="34"/>
    </row>
    <row r="649" ht="14.5" spans="1:50">
      <c r="A649" s="32"/>
      <c r="B649" s="36"/>
      <c r="C649" s="91" t="s">
        <v>693</v>
      </c>
      <c r="D649" s="69" t="s">
        <v>21</v>
      </c>
      <c r="E649" s="114" t="s">
        <v>700</v>
      </c>
      <c r="F649" s="114" t="s">
        <v>700</v>
      </c>
      <c r="G649" s="114" t="s">
        <v>700</v>
      </c>
      <c r="H649" s="114" t="s">
        <v>700</v>
      </c>
      <c r="I649" s="71">
        <v>0.9</v>
      </c>
      <c r="J649" s="72">
        <v>1</v>
      </c>
      <c r="K649" s="72">
        <v>1</v>
      </c>
      <c r="L649" s="73">
        <v>1</v>
      </c>
      <c r="M649" s="72">
        <v>1</v>
      </c>
      <c r="N649" s="74">
        <v>0.9</v>
      </c>
      <c r="O649" s="72">
        <v>0.989634146341463</v>
      </c>
      <c r="P649" s="72">
        <v>0.9944</v>
      </c>
      <c r="Q649" s="72">
        <v>0.994565217391304</v>
      </c>
      <c r="R649" s="72">
        <v>0.991151100535396</v>
      </c>
      <c r="S649" s="74">
        <v>0.9</v>
      </c>
      <c r="T649" s="72">
        <v>0.923170731707317</v>
      </c>
      <c r="U649" s="72">
        <v>0.9392</v>
      </c>
      <c r="V649" s="72">
        <v>0.949728260869565</v>
      </c>
      <c r="W649" s="72">
        <v>0.949211778703153</v>
      </c>
      <c r="X649" s="74">
        <v>0.92</v>
      </c>
      <c r="Y649" s="74">
        <v>0.806916426512968</v>
      </c>
      <c r="Z649" s="74">
        <v>0.871156661786237</v>
      </c>
      <c r="AA649" s="74">
        <v>0.843065693430657</v>
      </c>
      <c r="AB649" s="74">
        <v>0.887441375716519</v>
      </c>
      <c r="AC649" s="74">
        <v>0.92</v>
      </c>
      <c r="AD649" s="72">
        <v>0.994764397905759</v>
      </c>
      <c r="AE649" s="72">
        <v>0.994871794871795</v>
      </c>
      <c r="AF649" s="72">
        <v>0.989130434782609</v>
      </c>
      <c r="AG649" s="72">
        <v>0.991721132897603</v>
      </c>
      <c r="AH649" s="74">
        <v>0.92</v>
      </c>
      <c r="AI649" s="72">
        <v>0.93573264781491</v>
      </c>
      <c r="AJ649" s="72">
        <v>0.951370926021728</v>
      </c>
      <c r="AK649" s="72">
        <v>0.953465346534653</v>
      </c>
      <c r="AL649" s="72">
        <v>0.960426972142671</v>
      </c>
      <c r="AM649" s="71">
        <v>0.99</v>
      </c>
      <c r="AN649" s="76">
        <v>1</v>
      </c>
      <c r="AO649" s="76">
        <v>1</v>
      </c>
      <c r="AP649" s="76">
        <v>1</v>
      </c>
      <c r="AQ649" s="76">
        <v>1</v>
      </c>
      <c r="AR649" s="96">
        <v>0.0810595228934205</v>
      </c>
      <c r="AS649" s="80">
        <v>0</v>
      </c>
      <c r="AT649" s="80">
        <v>0.142857142857143</v>
      </c>
      <c r="AU649" s="80">
        <v>0</v>
      </c>
      <c r="AV649" s="80">
        <v>0.0666666666666667</v>
      </c>
      <c r="AW649" s="36"/>
      <c r="AX649" s="34"/>
    </row>
    <row r="650" ht="14.5" spans="1:50">
      <c r="A650" s="32"/>
      <c r="B650" s="36"/>
      <c r="C650" s="91" t="s">
        <v>693</v>
      </c>
      <c r="D650" s="69" t="s">
        <v>21</v>
      </c>
      <c r="E650" s="114" t="s">
        <v>701</v>
      </c>
      <c r="F650" s="114" t="s">
        <v>701</v>
      </c>
      <c r="G650" s="114" t="s">
        <v>701</v>
      </c>
      <c r="H650" s="114" t="s">
        <v>701</v>
      </c>
      <c r="I650" s="71">
        <v>0.9</v>
      </c>
      <c r="J650" s="72">
        <v>0.833333333333333</v>
      </c>
      <c r="K650" s="72">
        <v>0.884615384615385</v>
      </c>
      <c r="L650" s="73">
        <v>0.821428571428571</v>
      </c>
      <c r="M650" s="72">
        <v>0.842323651452282</v>
      </c>
      <c r="N650" s="74">
        <v>0.9</v>
      </c>
      <c r="O650" s="72">
        <v>0.974395448079659</v>
      </c>
      <c r="P650" s="72">
        <v>0.974186307519641</v>
      </c>
      <c r="Q650" s="72">
        <v>0.980263157894737</v>
      </c>
      <c r="R650" s="72">
        <v>0.978152275347203</v>
      </c>
      <c r="S650" s="74">
        <v>0.9</v>
      </c>
      <c r="T650" s="72">
        <v>0.963963963963964</v>
      </c>
      <c r="U650" s="72">
        <v>0.959034792368126</v>
      </c>
      <c r="V650" s="72">
        <v>0.968984962406015</v>
      </c>
      <c r="W650" s="72">
        <v>0.964099467530329</v>
      </c>
      <c r="X650" s="74">
        <v>0.92</v>
      </c>
      <c r="Y650" s="74">
        <v>0.949090909090909</v>
      </c>
      <c r="Z650" s="74">
        <v>0.970217640320733</v>
      </c>
      <c r="AA650" s="74">
        <v>0.973988439306358</v>
      </c>
      <c r="AB650" s="74">
        <v>0.969112988384372</v>
      </c>
      <c r="AC650" s="74">
        <v>0.92</v>
      </c>
      <c r="AD650" s="72">
        <v>1</v>
      </c>
      <c r="AE650" s="72">
        <v>0.991886409736308</v>
      </c>
      <c r="AF650" s="72">
        <v>0.992628992628993</v>
      </c>
      <c r="AG650" s="72">
        <v>0.99479843953186</v>
      </c>
      <c r="AH650" s="74">
        <v>0.92</v>
      </c>
      <c r="AI650" s="72">
        <v>0.978875638841567</v>
      </c>
      <c r="AJ650" s="72">
        <v>0.981174698795181</v>
      </c>
      <c r="AK650" s="72">
        <v>0.987943262411348</v>
      </c>
      <c r="AL650" s="72">
        <v>0.983719037097337</v>
      </c>
      <c r="AM650" s="71">
        <v>0.99</v>
      </c>
      <c r="AN650" s="76">
        <v>1</v>
      </c>
      <c r="AO650" s="76">
        <v>1</v>
      </c>
      <c r="AP650" s="76">
        <v>1</v>
      </c>
      <c r="AQ650" s="76">
        <v>1</v>
      </c>
      <c r="AR650" s="96">
        <v>0.0810595228934205</v>
      </c>
      <c r="AS650" s="80">
        <v>0</v>
      </c>
      <c r="AT650" s="80">
        <v>0</v>
      </c>
      <c r="AU650" s="80">
        <v>0</v>
      </c>
      <c r="AV650" s="80">
        <v>0.0612244897959184</v>
      </c>
      <c r="AW650" s="36"/>
      <c r="AX650" s="34"/>
    </row>
    <row r="651" ht="14.5" spans="1:50">
      <c r="A651" s="32"/>
      <c r="B651" s="36"/>
      <c r="C651" s="91" t="s">
        <v>693</v>
      </c>
      <c r="D651" s="69" t="s">
        <v>21</v>
      </c>
      <c r="E651" s="114" t="s">
        <v>702</v>
      </c>
      <c r="F651" s="114" t="s">
        <v>702</v>
      </c>
      <c r="G651" s="114" t="s">
        <v>702</v>
      </c>
      <c r="H651" s="114" t="s">
        <v>702</v>
      </c>
      <c r="I651" s="71">
        <v>0.9</v>
      </c>
      <c r="J651" s="72">
        <v>0.918918918918919</v>
      </c>
      <c r="K651" s="72">
        <v>0.928571428571429</v>
      </c>
      <c r="L651" s="73">
        <v>1</v>
      </c>
      <c r="M651" s="72">
        <v>0.972375690607735</v>
      </c>
      <c r="N651" s="74">
        <v>0.9</v>
      </c>
      <c r="O651" s="72">
        <v>0.905546623794212</v>
      </c>
      <c r="P651" s="72">
        <v>0.964980544747082</v>
      </c>
      <c r="Q651" s="72">
        <v>0.962837837837838</v>
      </c>
      <c r="R651" s="72">
        <v>0.938098397952413</v>
      </c>
      <c r="S651" s="74">
        <v>0.9</v>
      </c>
      <c r="T651" s="72">
        <v>0.920819935691318</v>
      </c>
      <c r="U651" s="72">
        <v>0.942120622568093</v>
      </c>
      <c r="V651" s="72">
        <v>0.939611486486487</v>
      </c>
      <c r="W651" s="72">
        <v>0.934875343634468</v>
      </c>
      <c r="X651" s="74">
        <v>0.92</v>
      </c>
      <c r="Y651" s="74">
        <v>0.706448508180943</v>
      </c>
      <c r="Z651" s="74">
        <v>0.831892411143132</v>
      </c>
      <c r="AA651" s="74">
        <v>0.826302729528536</v>
      </c>
      <c r="AB651" s="74">
        <v>0.800888990198313</v>
      </c>
      <c r="AC651" s="74">
        <v>0.92</v>
      </c>
      <c r="AD651" s="72">
        <v>0.988059701492537</v>
      </c>
      <c r="AE651" s="72">
        <v>0.99</v>
      </c>
      <c r="AF651" s="72">
        <v>0.989510489510489</v>
      </c>
      <c r="AG651" s="72">
        <v>0.98578431372549</v>
      </c>
      <c r="AH651" s="74">
        <v>0.92</v>
      </c>
      <c r="AI651" s="72">
        <v>0.883753898497306</v>
      </c>
      <c r="AJ651" s="72">
        <v>0.927049709489994</v>
      </c>
      <c r="AK651" s="72">
        <v>0.939546599496222</v>
      </c>
      <c r="AL651" s="72">
        <v>0.923555793560479</v>
      </c>
      <c r="AM651" s="71">
        <v>0.99</v>
      </c>
      <c r="AN651" s="76">
        <v>1</v>
      </c>
      <c r="AO651" s="76">
        <v>1</v>
      </c>
      <c r="AP651" s="76">
        <v>1</v>
      </c>
      <c r="AQ651" s="76">
        <v>1</v>
      </c>
      <c r="AR651" s="96">
        <v>0.0810595228934205</v>
      </c>
      <c r="AS651" s="80">
        <v>0.272727272727273</v>
      </c>
      <c r="AT651" s="80">
        <v>0.0769230769230769</v>
      </c>
      <c r="AU651" s="80">
        <v>0</v>
      </c>
      <c r="AV651" s="80">
        <v>0.0714285714285714</v>
      </c>
      <c r="AW651" s="36"/>
      <c r="AX651" s="34"/>
    </row>
    <row r="652" ht="14.5" spans="1:50">
      <c r="A652" s="32"/>
      <c r="B652" s="36"/>
      <c r="C652" s="91" t="s">
        <v>693</v>
      </c>
      <c r="D652" s="69" t="s">
        <v>21</v>
      </c>
      <c r="E652" s="114" t="s">
        <v>703</v>
      </c>
      <c r="F652" s="114" t="s">
        <v>703</v>
      </c>
      <c r="G652" s="114" t="s">
        <v>703</v>
      </c>
      <c r="H652" s="114" t="s">
        <v>703</v>
      </c>
      <c r="I652" s="71">
        <v>0.9</v>
      </c>
      <c r="J652" s="72">
        <v>1</v>
      </c>
      <c r="K652" s="72">
        <v>1</v>
      </c>
      <c r="L652" s="73">
        <v>1</v>
      </c>
      <c r="M652" s="72">
        <v>0.995833333333333</v>
      </c>
      <c r="N652" s="74">
        <v>0.9</v>
      </c>
      <c r="O652" s="72">
        <v>0.933920704845815</v>
      </c>
      <c r="P652" s="72">
        <v>0.934002869440459</v>
      </c>
      <c r="Q652" s="72">
        <v>0.916930022573363</v>
      </c>
      <c r="R652" s="72">
        <v>0.93837113301928</v>
      </c>
      <c r="S652" s="74">
        <v>0.9</v>
      </c>
      <c r="T652" s="72">
        <v>0.89747697236684</v>
      </c>
      <c r="U652" s="72">
        <v>0.90961262553802</v>
      </c>
      <c r="V652" s="72">
        <v>0.932279909706546</v>
      </c>
      <c r="W652" s="72">
        <v>0.920353552522947</v>
      </c>
      <c r="X652" s="74">
        <v>0.92</v>
      </c>
      <c r="Y652" s="74">
        <v>0.822429906542056</v>
      </c>
      <c r="Z652" s="74">
        <v>0.893401015228426</v>
      </c>
      <c r="AA652" s="74">
        <v>0.875457875457875</v>
      </c>
      <c r="AB652" s="74">
        <v>0.869545957918051</v>
      </c>
      <c r="AC652" s="74">
        <v>0.92</v>
      </c>
      <c r="AD652" s="72">
        <v>0.996302165874274</v>
      </c>
      <c r="AE652" s="72">
        <v>0.992956092979573</v>
      </c>
      <c r="AF652" s="72">
        <v>0.995844269466317</v>
      </c>
      <c r="AG652" s="72">
        <v>0.995448634590377</v>
      </c>
      <c r="AH652" s="74">
        <v>0.92</v>
      </c>
      <c r="AI652" s="72">
        <v>0.919854881266491</v>
      </c>
      <c r="AJ652" s="72">
        <v>0.942601565411852</v>
      </c>
      <c r="AK652" s="72">
        <v>0.953639985512496</v>
      </c>
      <c r="AL652" s="72">
        <v>0.947232178414974</v>
      </c>
      <c r="AM652" s="71">
        <v>0.99</v>
      </c>
      <c r="AN652" s="76">
        <v>1</v>
      </c>
      <c r="AO652" s="76">
        <v>1</v>
      </c>
      <c r="AP652" s="76">
        <v>1</v>
      </c>
      <c r="AQ652" s="76">
        <v>1</v>
      </c>
      <c r="AR652" s="96">
        <v>0.0810595228934205</v>
      </c>
      <c r="AS652" s="80">
        <v>0</v>
      </c>
      <c r="AT652" s="80">
        <v>0</v>
      </c>
      <c r="AU652" s="80">
        <v>0</v>
      </c>
      <c r="AV652" s="80">
        <v>0.0337078651685393</v>
      </c>
      <c r="AW652" s="36"/>
      <c r="AX652" s="34"/>
    </row>
    <row r="653" ht="14.5" spans="1:50">
      <c r="A653" s="32"/>
      <c r="B653" s="36"/>
      <c r="C653" s="91" t="s">
        <v>693</v>
      </c>
      <c r="D653" s="69" t="s">
        <v>21</v>
      </c>
      <c r="E653" s="114" t="s">
        <v>704</v>
      </c>
      <c r="F653" s="114" t="s">
        <v>704</v>
      </c>
      <c r="G653" s="114" t="s">
        <v>704</v>
      </c>
      <c r="H653" s="114" t="s">
        <v>704</v>
      </c>
      <c r="I653" s="71">
        <v>0.9</v>
      </c>
      <c r="J653" s="72">
        <v>0.95</v>
      </c>
      <c r="K653" s="72">
        <v>0.952380952380952</v>
      </c>
      <c r="L653" s="73">
        <v>0.883333333333333</v>
      </c>
      <c r="M653" s="72">
        <v>0.950877192982456</v>
      </c>
      <c r="N653" s="74">
        <v>0.9</v>
      </c>
      <c r="O653" s="72">
        <v>0.957136824324324</v>
      </c>
      <c r="P653" s="72">
        <v>0.96516443361754</v>
      </c>
      <c r="Q653" s="72">
        <v>0.96025011165699</v>
      </c>
      <c r="R653" s="72">
        <v>0.969658976930792</v>
      </c>
      <c r="S653" s="74">
        <v>0.9</v>
      </c>
      <c r="T653" s="72">
        <v>0.94066722972973</v>
      </c>
      <c r="U653" s="72">
        <v>0.951035322777101</v>
      </c>
      <c r="V653" s="72">
        <v>0.935685573916927</v>
      </c>
      <c r="W653" s="72">
        <v>0.949348044132397</v>
      </c>
      <c r="X653" s="74">
        <v>0.92</v>
      </c>
      <c r="Y653" s="74">
        <v>0.970069071373753</v>
      </c>
      <c r="Z653" s="74">
        <v>0.976725521669342</v>
      </c>
      <c r="AA653" s="74">
        <v>0.981085526315789</v>
      </c>
      <c r="AB653" s="74">
        <v>0.973985104374279</v>
      </c>
      <c r="AC653" s="74">
        <v>0.92</v>
      </c>
      <c r="AD653" s="72">
        <v>0.993011289455495</v>
      </c>
      <c r="AE653" s="72">
        <v>0.967444157422884</v>
      </c>
      <c r="AF653" s="72">
        <v>0.977490402101435</v>
      </c>
      <c r="AG653" s="72">
        <v>0.96795671524257</v>
      </c>
      <c r="AH653" s="74">
        <v>0.92</v>
      </c>
      <c r="AI653" s="72">
        <v>0.983780205230056</v>
      </c>
      <c r="AJ653" s="72">
        <v>0.987296842891836</v>
      </c>
      <c r="AK653" s="72">
        <v>0.98840885142255</v>
      </c>
      <c r="AL653" s="72">
        <v>0.987515681275545</v>
      </c>
      <c r="AM653" s="71">
        <v>0.99</v>
      </c>
      <c r="AN653" s="76">
        <v>1</v>
      </c>
      <c r="AO653" s="76">
        <v>1</v>
      </c>
      <c r="AP653" s="76">
        <v>1</v>
      </c>
      <c r="AQ653" s="76">
        <v>1</v>
      </c>
      <c r="AR653" s="96">
        <v>0.0810595228934205</v>
      </c>
      <c r="AS653" s="80">
        <v>0</v>
      </c>
      <c r="AT653" s="80">
        <v>0</v>
      </c>
      <c r="AU653" s="80">
        <v>0</v>
      </c>
      <c r="AV653" s="80">
        <v>0.0238095238095238</v>
      </c>
      <c r="AW653" s="36"/>
      <c r="AX653" s="34"/>
    </row>
    <row r="654" ht="14.5" spans="1:50">
      <c r="A654" s="32"/>
      <c r="B654" s="36"/>
      <c r="C654" s="91" t="s">
        <v>693</v>
      </c>
      <c r="D654" s="69" t="s">
        <v>21</v>
      </c>
      <c r="E654" s="114" t="s">
        <v>705</v>
      </c>
      <c r="F654" s="114" t="s">
        <v>705</v>
      </c>
      <c r="G654" s="114" t="s">
        <v>705</v>
      </c>
      <c r="H654" s="114" t="s">
        <v>705</v>
      </c>
      <c r="I654" s="71">
        <v>0.9</v>
      </c>
      <c r="J654" s="72">
        <v>0.944444444444444</v>
      </c>
      <c r="K654" s="72">
        <v>0.944444444444444</v>
      </c>
      <c r="L654" s="73">
        <v>0.888888888888889</v>
      </c>
      <c r="M654" s="72">
        <v>0.969135802469136</v>
      </c>
      <c r="N654" s="74">
        <v>0.9</v>
      </c>
      <c r="O654" s="72">
        <v>0.949263502454992</v>
      </c>
      <c r="P654" s="72">
        <v>0.947304663840097</v>
      </c>
      <c r="Q654" s="72">
        <v>0.893538461538462</v>
      </c>
      <c r="R654" s="72">
        <v>0.948762310354006</v>
      </c>
      <c r="S654" s="74">
        <v>0.9</v>
      </c>
      <c r="T654" s="72">
        <v>0.89961811238407</v>
      </c>
      <c r="U654" s="72">
        <v>0.918231374924288</v>
      </c>
      <c r="V654" s="72">
        <v>0.892307692307692</v>
      </c>
      <c r="W654" s="72">
        <v>0.907372903912696</v>
      </c>
      <c r="X654" s="74">
        <v>0.92</v>
      </c>
      <c r="Y654" s="74">
        <v>0.831408775981524</v>
      </c>
      <c r="Z654" s="74">
        <v>0.822368421052632</v>
      </c>
      <c r="AA654" s="74">
        <v>0.888888888888889</v>
      </c>
      <c r="AB654" s="74">
        <v>0.824736225087925</v>
      </c>
      <c r="AC654" s="74">
        <v>0.92</v>
      </c>
      <c r="AD654" s="72">
        <v>0.988311688311688</v>
      </c>
      <c r="AE654" s="72">
        <v>0.988841405508072</v>
      </c>
      <c r="AF654" s="72">
        <v>0.996938552372622</v>
      </c>
      <c r="AG654" s="72">
        <v>0.993193984195769</v>
      </c>
      <c r="AH654" s="74">
        <v>0.92</v>
      </c>
      <c r="AI654" s="72">
        <v>0.946601941747573</v>
      </c>
      <c r="AJ654" s="72">
        <v>0.930232558139535</v>
      </c>
      <c r="AK654" s="72">
        <v>0.945071113290829</v>
      </c>
      <c r="AL654" s="72">
        <v>0.942468278928533</v>
      </c>
      <c r="AM654" s="71">
        <v>0.99</v>
      </c>
      <c r="AN654" s="76">
        <v>1</v>
      </c>
      <c r="AO654" s="76">
        <v>1</v>
      </c>
      <c r="AP654" s="76">
        <v>1</v>
      </c>
      <c r="AQ654" s="76">
        <v>1</v>
      </c>
      <c r="AR654" s="96">
        <v>0.0810595228934205</v>
      </c>
      <c r="AS654" s="80">
        <v>0</v>
      </c>
      <c r="AT654" s="80">
        <v>0</v>
      </c>
      <c r="AU654" s="80">
        <v>0</v>
      </c>
      <c r="AV654" s="80">
        <v>0.117647058823529</v>
      </c>
      <c r="AW654" s="36"/>
      <c r="AX654" s="34"/>
    </row>
    <row r="655" ht="14.5" spans="1:50">
      <c r="A655" s="32"/>
      <c r="B655" s="36"/>
      <c r="C655" s="91" t="s">
        <v>693</v>
      </c>
      <c r="D655" s="69" t="s">
        <v>21</v>
      </c>
      <c r="E655" s="114" t="s">
        <v>706</v>
      </c>
      <c r="F655" s="114" t="s">
        <v>706</v>
      </c>
      <c r="G655" s="114" t="s">
        <v>706</v>
      </c>
      <c r="H655" s="114" t="s">
        <v>706</v>
      </c>
      <c r="I655" s="71">
        <v>0.9</v>
      </c>
      <c r="J655" s="72">
        <v>1</v>
      </c>
      <c r="K655" s="72">
        <v>0.979166666666667</v>
      </c>
      <c r="L655" s="73">
        <v>1</v>
      </c>
      <c r="M655" s="72">
        <v>0.977324263038549</v>
      </c>
      <c r="N655" s="74">
        <v>0.9</v>
      </c>
      <c r="O655" s="72">
        <v>0.984406779661017</v>
      </c>
      <c r="P655" s="72">
        <v>0.981052106706557</v>
      </c>
      <c r="Q655" s="72">
        <v>0.981026001405481</v>
      </c>
      <c r="R655" s="72">
        <v>0.982375805335179</v>
      </c>
      <c r="S655" s="74">
        <v>0.9</v>
      </c>
      <c r="T655" s="72">
        <v>0.871638418079096</v>
      </c>
      <c r="U655" s="72">
        <v>0.914983794564946</v>
      </c>
      <c r="V655" s="72">
        <v>0.925977980791755</v>
      </c>
      <c r="W655" s="72">
        <v>0.902880570789628</v>
      </c>
      <c r="X655" s="74">
        <v>0.92</v>
      </c>
      <c r="Y655" s="74">
        <v>0.878437047756874</v>
      </c>
      <c r="Z655" s="74">
        <v>0.865612648221344</v>
      </c>
      <c r="AA655" s="74">
        <v>0.910425844346549</v>
      </c>
      <c r="AB655" s="74">
        <v>0.883031629202307</v>
      </c>
      <c r="AC655" s="74">
        <v>0.92</v>
      </c>
      <c r="AD655" s="72">
        <v>0.975951796949984</v>
      </c>
      <c r="AE655" s="72">
        <v>0.995148434792653</v>
      </c>
      <c r="AF655" s="72">
        <v>0.989132371280955</v>
      </c>
      <c r="AG655" s="72">
        <v>0.981707406056184</v>
      </c>
      <c r="AH655" s="74">
        <v>0.92</v>
      </c>
      <c r="AI655" s="72">
        <v>0.930945410711211</v>
      </c>
      <c r="AJ655" s="72">
        <v>0.940507768093975</v>
      </c>
      <c r="AK655" s="72">
        <v>0.956490854199964</v>
      </c>
      <c r="AL655" s="72">
        <v>0.944648594166684</v>
      </c>
      <c r="AM655" s="71">
        <v>0.99</v>
      </c>
      <c r="AN655" s="76">
        <v>1</v>
      </c>
      <c r="AO655" s="76">
        <v>1</v>
      </c>
      <c r="AP655" s="76">
        <v>1</v>
      </c>
      <c r="AQ655" s="76">
        <v>1</v>
      </c>
      <c r="AR655" s="96">
        <v>0.0810595228934205</v>
      </c>
      <c r="AS655" s="80">
        <v>0</v>
      </c>
      <c r="AT655" s="80">
        <v>0.1</v>
      </c>
      <c r="AU655" s="80">
        <v>0</v>
      </c>
      <c r="AV655" s="80">
        <v>0.0526315789473684</v>
      </c>
      <c r="AW655" s="36"/>
      <c r="AX655" s="34"/>
    </row>
    <row r="656" ht="14.5" spans="1:50">
      <c r="A656" s="32"/>
      <c r="B656" s="36"/>
      <c r="C656" s="91" t="s">
        <v>693</v>
      </c>
      <c r="D656" s="69" t="s">
        <v>21</v>
      </c>
      <c r="E656" s="114" t="s">
        <v>707</v>
      </c>
      <c r="F656" s="114" t="s">
        <v>707</v>
      </c>
      <c r="G656" s="114" t="s">
        <v>707</v>
      </c>
      <c r="H656" s="114" t="s">
        <v>707</v>
      </c>
      <c r="I656" s="71">
        <v>0.9</v>
      </c>
      <c r="J656" s="72">
        <v>0.833333333333333</v>
      </c>
      <c r="K656" s="72">
        <v>0.916666666666667</v>
      </c>
      <c r="L656" s="73">
        <v>0.769230769230769</v>
      </c>
      <c r="M656" s="72">
        <v>0.896551724137931</v>
      </c>
      <c r="N656" s="74">
        <v>0.9</v>
      </c>
      <c r="O656" s="72">
        <v>0.869728209934395</v>
      </c>
      <c r="P656" s="72">
        <v>0.865641025641026</v>
      </c>
      <c r="Q656" s="72">
        <v>0.954907161803713</v>
      </c>
      <c r="R656" s="72">
        <v>0.945454545454545</v>
      </c>
      <c r="S656" s="74">
        <v>0.9</v>
      </c>
      <c r="T656" s="72">
        <v>0.846298031865042</v>
      </c>
      <c r="U656" s="72">
        <v>0.806153846153846</v>
      </c>
      <c r="V656" s="72">
        <v>0.884615384615385</v>
      </c>
      <c r="W656" s="72">
        <v>0.905836139169472</v>
      </c>
      <c r="X656" s="74">
        <v>0.92</v>
      </c>
      <c r="Y656" s="74">
        <v>0.760869565217391</v>
      </c>
      <c r="Z656" s="74">
        <v>0.778210116731518</v>
      </c>
      <c r="AA656" s="74">
        <v>0.820754716981132</v>
      </c>
      <c r="AB656" s="74">
        <v>0.837333333333333</v>
      </c>
      <c r="AC656" s="74">
        <v>0.92</v>
      </c>
      <c r="AD656" s="72">
        <v>0.997260273972603</v>
      </c>
      <c r="AE656" s="72">
        <v>0.992248062015504</v>
      </c>
      <c r="AF656" s="72">
        <v>1</v>
      </c>
      <c r="AG656" s="72">
        <v>0.995763709108025</v>
      </c>
      <c r="AH656" s="74">
        <v>0.92</v>
      </c>
      <c r="AI656" s="72">
        <v>0.899768696993061</v>
      </c>
      <c r="AJ656" s="72">
        <v>0.87987012987013</v>
      </c>
      <c r="AK656" s="72">
        <v>0.944099378881988</v>
      </c>
      <c r="AL656" s="72">
        <v>0.944459898006491</v>
      </c>
      <c r="AM656" s="71">
        <v>0.99</v>
      </c>
      <c r="AN656" s="76">
        <v>1</v>
      </c>
      <c r="AO656" s="76">
        <v>1</v>
      </c>
      <c r="AP656" s="76">
        <v>1</v>
      </c>
      <c r="AQ656" s="76">
        <v>1</v>
      </c>
      <c r="AR656" s="96">
        <v>0.0810595228934205</v>
      </c>
      <c r="AS656" s="80">
        <v>0</v>
      </c>
      <c r="AT656" s="80">
        <v>0.333333333333333</v>
      </c>
      <c r="AU656" s="80">
        <v>0</v>
      </c>
      <c r="AV656" s="80">
        <v>0.0476190476190476</v>
      </c>
      <c r="AW656" s="36"/>
      <c r="AX656" s="34"/>
    </row>
    <row r="657" ht="14.5" spans="1:50">
      <c r="A657" s="32"/>
      <c r="B657" s="36"/>
      <c r="C657" s="91" t="s">
        <v>693</v>
      </c>
      <c r="D657" s="69" t="s">
        <v>21</v>
      </c>
      <c r="E657" s="114" t="s">
        <v>708</v>
      </c>
      <c r="F657" s="114" t="s">
        <v>708</v>
      </c>
      <c r="G657" s="114" t="s">
        <v>708</v>
      </c>
      <c r="H657" s="114" t="s">
        <v>708</v>
      </c>
      <c r="I657" s="71">
        <v>0.9</v>
      </c>
      <c r="J657" s="72">
        <v>1</v>
      </c>
      <c r="K657" s="72">
        <v>0.96969696969697</v>
      </c>
      <c r="L657" s="73">
        <v>0.96551724137931</v>
      </c>
      <c r="M657" s="72">
        <v>0.97153024911032</v>
      </c>
      <c r="N657" s="74">
        <v>0.9</v>
      </c>
      <c r="O657" s="72">
        <v>0.808805544231553</v>
      </c>
      <c r="P657" s="72">
        <v>0.970356646595646</v>
      </c>
      <c r="Q657" s="72">
        <v>0.933157431838171</v>
      </c>
      <c r="R657" s="72">
        <v>0.86761160929515</v>
      </c>
      <c r="S657" s="74">
        <v>0.9</v>
      </c>
      <c r="T657" s="72">
        <v>0.926620464737057</v>
      </c>
      <c r="U657" s="72">
        <v>0.963408985641501</v>
      </c>
      <c r="V657" s="72">
        <v>0.948548812664908</v>
      </c>
      <c r="W657" s="72">
        <v>0.954777745636872</v>
      </c>
      <c r="X657" s="74">
        <v>0.92</v>
      </c>
      <c r="Y657" s="74">
        <v>0.9552</v>
      </c>
      <c r="Z657" s="74">
        <v>0.974723538704581</v>
      </c>
      <c r="AA657" s="74">
        <v>0.975961538461538</v>
      </c>
      <c r="AB657" s="74">
        <v>0.965559157212318</v>
      </c>
      <c r="AC657" s="74">
        <v>0.92</v>
      </c>
      <c r="AD657" s="72">
        <v>0.999277514650397</v>
      </c>
      <c r="AE657" s="72">
        <v>0.998207470799121</v>
      </c>
      <c r="AF657" s="72">
        <v>0.981997516898883</v>
      </c>
      <c r="AG657" s="72">
        <v>0.996553573921798</v>
      </c>
      <c r="AH657" s="74">
        <v>0.92</v>
      </c>
      <c r="AI657" s="72">
        <v>0.97498375568551</v>
      </c>
      <c r="AJ657" s="72">
        <v>0.988538681948424</v>
      </c>
      <c r="AK657" s="72">
        <v>0.982746721877157</v>
      </c>
      <c r="AL657" s="72">
        <v>0.984387774965933</v>
      </c>
      <c r="AM657" s="71">
        <v>0.99</v>
      </c>
      <c r="AN657" s="76">
        <v>1</v>
      </c>
      <c r="AO657" s="76">
        <v>1</v>
      </c>
      <c r="AP657" s="76">
        <v>1</v>
      </c>
      <c r="AQ657" s="76">
        <v>1</v>
      </c>
      <c r="AR657" s="96">
        <v>0.0810595228934205</v>
      </c>
      <c r="AS657" s="80">
        <v>0</v>
      </c>
      <c r="AT657" s="80">
        <v>0.125</v>
      </c>
      <c r="AU657" s="80">
        <v>0</v>
      </c>
      <c r="AV657" s="80">
        <v>0.0441176470588235</v>
      </c>
      <c r="AW657" s="36"/>
      <c r="AX657" s="34"/>
    </row>
    <row r="658" ht="14.5" spans="1:50">
      <c r="A658" s="32"/>
      <c r="B658" s="36"/>
      <c r="C658" s="91" t="s">
        <v>693</v>
      </c>
      <c r="D658" s="69" t="s">
        <v>21</v>
      </c>
      <c r="E658" s="114" t="s">
        <v>709</v>
      </c>
      <c r="F658" s="114" t="s">
        <v>709</v>
      </c>
      <c r="G658" s="114" t="s">
        <v>709</v>
      </c>
      <c r="H658" s="114" t="s">
        <v>709</v>
      </c>
      <c r="I658" s="71">
        <v>0.9</v>
      </c>
      <c r="J658" s="72">
        <v>0.807692307692308</v>
      </c>
      <c r="K658" s="72">
        <v>0.925925925925926</v>
      </c>
      <c r="L658" s="73">
        <v>0.92</v>
      </c>
      <c r="M658" s="72">
        <v>0.908695652173913</v>
      </c>
      <c r="N658" s="74">
        <v>0.9</v>
      </c>
      <c r="O658" s="72">
        <v>0.711589278973197</v>
      </c>
      <c r="P658" s="72">
        <v>0.864708500222519</v>
      </c>
      <c r="Q658" s="72">
        <v>0.905281536446966</v>
      </c>
      <c r="R658" s="72">
        <v>0.869926073744841</v>
      </c>
      <c r="S658" s="74">
        <v>0.9</v>
      </c>
      <c r="T658" s="72">
        <v>0.47036617591544</v>
      </c>
      <c r="U658" s="72">
        <v>0.544726301735648</v>
      </c>
      <c r="V658" s="72">
        <v>0.573985159319075</v>
      </c>
      <c r="W658" s="72">
        <v>0.521021361512994</v>
      </c>
      <c r="X658" s="74">
        <v>0.92</v>
      </c>
      <c r="Y658" s="74">
        <v>0.407871198568873</v>
      </c>
      <c r="Z658" s="74">
        <v>0.473851030110935</v>
      </c>
      <c r="AA658" s="74">
        <v>0.50503355704698</v>
      </c>
      <c r="AB658" s="74">
        <v>0.472845460264206</v>
      </c>
      <c r="AC658" s="74">
        <v>0.92</v>
      </c>
      <c r="AD658" s="72">
        <v>0.99803497740224</v>
      </c>
      <c r="AE658" s="72">
        <v>0.980115990057995</v>
      </c>
      <c r="AF658" s="72">
        <v>0.994576446280992</v>
      </c>
      <c r="AG658" s="72">
        <v>0.991976933684342</v>
      </c>
      <c r="AH658" s="74">
        <v>0.92</v>
      </c>
      <c r="AI658" s="72">
        <v>0.752493765586035</v>
      </c>
      <c r="AJ658" s="72">
        <v>0.781521361583883</v>
      </c>
      <c r="AK658" s="72">
        <v>0.744024939383443</v>
      </c>
      <c r="AL658" s="72">
        <v>0.793453135485795</v>
      </c>
      <c r="AM658" s="71">
        <v>0.99</v>
      </c>
      <c r="AN658" s="76">
        <v>1</v>
      </c>
      <c r="AO658" s="76">
        <v>1</v>
      </c>
      <c r="AP658" s="76">
        <v>1</v>
      </c>
      <c r="AQ658" s="76">
        <v>1</v>
      </c>
      <c r="AR658" s="96">
        <v>0.0810595228934205</v>
      </c>
      <c r="AS658" s="80">
        <v>0</v>
      </c>
      <c r="AT658" s="80">
        <v>0</v>
      </c>
      <c r="AU658" s="80">
        <v>0</v>
      </c>
      <c r="AV658" s="80">
        <v>0.012987012987013</v>
      </c>
      <c r="AW658" s="36"/>
      <c r="AX658" s="34"/>
    </row>
    <row r="659" ht="14.5" spans="1:50">
      <c r="A659" s="32"/>
      <c r="B659" s="36"/>
      <c r="C659" s="91" t="s">
        <v>693</v>
      </c>
      <c r="D659" s="69" t="s">
        <v>21</v>
      </c>
      <c r="E659" s="114" t="s">
        <v>710</v>
      </c>
      <c r="F659" s="114" t="s">
        <v>710</v>
      </c>
      <c r="G659" s="114" t="s">
        <v>710</v>
      </c>
      <c r="H659" s="114" t="s">
        <v>710</v>
      </c>
      <c r="I659" s="71">
        <v>0.9</v>
      </c>
      <c r="J659" s="72">
        <v>0.941176470588235</v>
      </c>
      <c r="K659" s="72">
        <v>1</v>
      </c>
      <c r="L659" s="73">
        <v>1</v>
      </c>
      <c r="M659" s="72">
        <v>0.965189873417722</v>
      </c>
      <c r="N659" s="74">
        <v>0.9</v>
      </c>
      <c r="O659" s="72">
        <v>0.987570621468927</v>
      </c>
      <c r="P659" s="72">
        <v>0.985369711348359</v>
      </c>
      <c r="Q659" s="72">
        <v>0.985714285714286</v>
      </c>
      <c r="R659" s="72">
        <v>0.975369031643652</v>
      </c>
      <c r="S659" s="74">
        <v>0.9</v>
      </c>
      <c r="T659" s="72">
        <v>0.967984934086629</v>
      </c>
      <c r="U659" s="72">
        <v>0.973507315144326</v>
      </c>
      <c r="V659" s="72">
        <v>0.977142857142857</v>
      </c>
      <c r="W659" s="72">
        <v>0.96229600450197</v>
      </c>
      <c r="X659" s="74">
        <v>0.92</v>
      </c>
      <c r="Y659" s="74">
        <v>0.983908045977012</v>
      </c>
      <c r="Z659" s="74">
        <v>0.984555984555985</v>
      </c>
      <c r="AA659" s="74">
        <v>0.983210912906611</v>
      </c>
      <c r="AB659" s="74">
        <v>0.978867808113528</v>
      </c>
      <c r="AC659" s="74">
        <v>0.92</v>
      </c>
      <c r="AD659" s="72">
        <v>0.988270053358028</v>
      </c>
      <c r="AE659" s="72">
        <v>0.987552397505367</v>
      </c>
      <c r="AF659" s="72">
        <v>0.973883384765308</v>
      </c>
      <c r="AG659" s="72">
        <v>0.970732199462355</v>
      </c>
      <c r="AH659" s="74">
        <v>0.92</v>
      </c>
      <c r="AI659" s="72">
        <v>0.985536018150879</v>
      </c>
      <c r="AJ659" s="72">
        <v>0.990625944965225</v>
      </c>
      <c r="AK659" s="72">
        <v>0.989882854100106</v>
      </c>
      <c r="AL659" s="72">
        <v>0.987598837602217</v>
      </c>
      <c r="AM659" s="71">
        <v>0.99</v>
      </c>
      <c r="AN659" s="76">
        <v>1</v>
      </c>
      <c r="AO659" s="76">
        <v>1</v>
      </c>
      <c r="AP659" s="76">
        <v>1</v>
      </c>
      <c r="AQ659" s="76">
        <v>1</v>
      </c>
      <c r="AR659" s="96">
        <v>0.0810595228934205</v>
      </c>
      <c r="AS659" s="80">
        <v>0</v>
      </c>
      <c r="AT659" s="80">
        <v>0</v>
      </c>
      <c r="AU659" s="80">
        <v>0</v>
      </c>
      <c r="AV659" s="80">
        <v>0</v>
      </c>
      <c r="AW659" s="36"/>
      <c r="AX659" s="34"/>
    </row>
    <row r="660" ht="14.5" spans="1:50">
      <c r="A660" s="32"/>
      <c r="B660" s="36"/>
      <c r="C660" s="91" t="s">
        <v>693</v>
      </c>
      <c r="D660" s="69" t="s">
        <v>21</v>
      </c>
      <c r="E660" s="114" t="s">
        <v>711</v>
      </c>
      <c r="F660" s="114" t="s">
        <v>711</v>
      </c>
      <c r="G660" s="114" t="s">
        <v>711</v>
      </c>
      <c r="H660" s="114" t="s">
        <v>711</v>
      </c>
      <c r="I660" s="71">
        <v>0.9</v>
      </c>
      <c r="J660" s="72">
        <v>0.949152542372881</v>
      </c>
      <c r="K660" s="72">
        <v>0.939393939393939</v>
      </c>
      <c r="L660" s="73">
        <v>0.96969696969697</v>
      </c>
      <c r="M660" s="72">
        <v>0.959798994974874</v>
      </c>
      <c r="N660" s="74">
        <v>0.9</v>
      </c>
      <c r="O660" s="72">
        <v>0.675342465753425</v>
      </c>
      <c r="P660" s="72">
        <v>0.960617059891107</v>
      </c>
      <c r="Q660" s="72">
        <v>0.969498910675381</v>
      </c>
      <c r="R660" s="72">
        <v>0.920028406288837</v>
      </c>
      <c r="S660" s="74">
        <v>0.9</v>
      </c>
      <c r="T660" s="72">
        <v>0.938527397260274</v>
      </c>
      <c r="U660" s="72">
        <v>0.955898366606171</v>
      </c>
      <c r="V660" s="72">
        <v>0.959276018099548</v>
      </c>
      <c r="W660" s="72">
        <v>0.952577278914248</v>
      </c>
      <c r="X660" s="74">
        <v>0.92</v>
      </c>
      <c r="Y660" s="74">
        <v>0.910684931506849</v>
      </c>
      <c r="Z660" s="74">
        <v>0.899233942251031</v>
      </c>
      <c r="AA660" s="74">
        <v>0.911220043572985</v>
      </c>
      <c r="AB660" s="74">
        <v>0.902535296796721</v>
      </c>
      <c r="AC660" s="74">
        <v>0.92</v>
      </c>
      <c r="AD660" s="72">
        <v>0.996098051419543</v>
      </c>
      <c r="AE660" s="72">
        <v>0.98077814434114</v>
      </c>
      <c r="AF660" s="72">
        <v>0.978877050828063</v>
      </c>
      <c r="AG660" s="72">
        <v>0.975613861699663</v>
      </c>
      <c r="AH660" s="74">
        <v>0.92</v>
      </c>
      <c r="AI660" s="72">
        <v>0.956958393113343</v>
      </c>
      <c r="AJ660" s="72">
        <v>0.962819089900111</v>
      </c>
      <c r="AK660" s="72">
        <v>0.96668802049968</v>
      </c>
      <c r="AL660" s="72">
        <v>0.965234405572513</v>
      </c>
      <c r="AM660" s="71">
        <v>0.99</v>
      </c>
      <c r="AN660" s="76">
        <v>1</v>
      </c>
      <c r="AO660" s="76">
        <v>1</v>
      </c>
      <c r="AP660" s="76">
        <v>1</v>
      </c>
      <c r="AQ660" s="76">
        <v>1</v>
      </c>
      <c r="AR660" s="96">
        <v>0.0810595228934205</v>
      </c>
      <c r="AS660" s="80">
        <v>0</v>
      </c>
      <c r="AT660" s="80">
        <v>0</v>
      </c>
      <c r="AU660" s="80">
        <v>0.0476190476190476</v>
      </c>
      <c r="AV660" s="80">
        <v>0.0193548387096774</v>
      </c>
      <c r="AW660" s="36"/>
      <c r="AX660" s="34"/>
    </row>
    <row r="661" ht="14.5" spans="1:50">
      <c r="A661" s="32"/>
      <c r="B661" s="36"/>
      <c r="C661" s="91" t="s">
        <v>693</v>
      </c>
      <c r="D661" s="69" t="s">
        <v>21</v>
      </c>
      <c r="E661" s="114" t="s">
        <v>712</v>
      </c>
      <c r="F661" s="114" t="s">
        <v>712</v>
      </c>
      <c r="G661" s="114" t="s">
        <v>712</v>
      </c>
      <c r="H661" s="114" t="s">
        <v>712</v>
      </c>
      <c r="I661" s="71">
        <v>0.9</v>
      </c>
      <c r="J661" s="72">
        <v>0.916666666666667</v>
      </c>
      <c r="K661" s="72">
        <v>0.961538461538462</v>
      </c>
      <c r="L661" s="73">
        <v>0.931034482758621</v>
      </c>
      <c r="M661" s="72">
        <v>0.957081545064378</v>
      </c>
      <c r="N661" s="74">
        <v>0.9</v>
      </c>
      <c r="O661" s="72">
        <v>0.91554928252176</v>
      </c>
      <c r="P661" s="72">
        <v>0.95254319785836</v>
      </c>
      <c r="Q661" s="72">
        <v>0.939784946236559</v>
      </c>
      <c r="R661" s="72">
        <v>0.857597538657401</v>
      </c>
      <c r="S661" s="74">
        <v>0.9</v>
      </c>
      <c r="T661" s="72">
        <v>0.959303693248647</v>
      </c>
      <c r="U661" s="72">
        <v>0.959600876125578</v>
      </c>
      <c r="V661" s="72">
        <v>0.950752688172043</v>
      </c>
      <c r="W661" s="72">
        <v>0.947776039041986</v>
      </c>
      <c r="X661" s="74">
        <v>0.92</v>
      </c>
      <c r="Y661" s="74">
        <v>0.958712811171828</v>
      </c>
      <c r="Z661" s="74">
        <v>0.958304378040306</v>
      </c>
      <c r="AA661" s="74">
        <v>0.977650429799427</v>
      </c>
      <c r="AB661" s="74">
        <v>0.957645620469828</v>
      </c>
      <c r="AC661" s="74">
        <v>0.92</v>
      </c>
      <c r="AD661" s="72">
        <v>0.986950966299313</v>
      </c>
      <c r="AE661" s="72">
        <v>0.973103232259955</v>
      </c>
      <c r="AF661" s="72">
        <v>0.973350964344853</v>
      </c>
      <c r="AG661" s="72">
        <v>0.96982905229211</v>
      </c>
      <c r="AH661" s="74">
        <v>0.92</v>
      </c>
      <c r="AI661" s="72">
        <v>0.974059003051882</v>
      </c>
      <c r="AJ661" s="72">
        <v>0.977841830300847</v>
      </c>
      <c r="AK661" s="72">
        <v>0.981081926203877</v>
      </c>
      <c r="AL661" s="72">
        <v>0.976879435508469</v>
      </c>
      <c r="AM661" s="71">
        <v>0.99</v>
      </c>
      <c r="AN661" s="76">
        <v>1</v>
      </c>
      <c r="AO661" s="76">
        <v>1</v>
      </c>
      <c r="AP661" s="76">
        <v>1</v>
      </c>
      <c r="AQ661" s="76">
        <v>1</v>
      </c>
      <c r="AR661" s="96">
        <v>0.0810595228934205</v>
      </c>
      <c r="AS661" s="80">
        <v>0</v>
      </c>
      <c r="AT661" s="80">
        <v>0</v>
      </c>
      <c r="AU661" s="80">
        <v>0</v>
      </c>
      <c r="AV661" s="80">
        <v>0.0227272727272727</v>
      </c>
      <c r="AW661" s="36"/>
      <c r="AX661" s="34"/>
    </row>
    <row r="662" ht="14.5" spans="1:50">
      <c r="A662" s="32"/>
      <c r="B662" s="36"/>
      <c r="C662" s="91" t="s">
        <v>693</v>
      </c>
      <c r="D662" s="69" t="s">
        <v>21</v>
      </c>
      <c r="E662" s="114" t="s">
        <v>713</v>
      </c>
      <c r="F662" s="114" t="s">
        <v>713</v>
      </c>
      <c r="G662" s="114" t="s">
        <v>713</v>
      </c>
      <c r="H662" s="114" t="s">
        <v>713</v>
      </c>
      <c r="I662" s="71">
        <v>0.9</v>
      </c>
      <c r="J662" s="72">
        <v>1</v>
      </c>
      <c r="K662" s="72">
        <v>0.973684210526316</v>
      </c>
      <c r="L662" s="73">
        <v>1</v>
      </c>
      <c r="M662" s="72">
        <v>0.984848484848485</v>
      </c>
      <c r="N662" s="74">
        <v>0.9</v>
      </c>
      <c r="O662" s="72">
        <v>0.907337367624811</v>
      </c>
      <c r="P662" s="72">
        <v>0.966414777497901</v>
      </c>
      <c r="Q662" s="72">
        <v>0.966359631557869</v>
      </c>
      <c r="R662" s="72">
        <v>0.951419612559598</v>
      </c>
      <c r="S662" s="74">
        <v>0.9</v>
      </c>
      <c r="T662" s="72">
        <v>0.883131618759455</v>
      </c>
      <c r="U662" s="72">
        <v>0.926112510495382</v>
      </c>
      <c r="V662" s="72">
        <v>0.941129355226272</v>
      </c>
      <c r="W662" s="72">
        <v>0.923757570551093</v>
      </c>
      <c r="X662" s="74">
        <v>0.92</v>
      </c>
      <c r="Y662" s="74">
        <v>0.875656742556918</v>
      </c>
      <c r="Z662" s="74">
        <v>0.925869894099849</v>
      </c>
      <c r="AA662" s="74">
        <v>0.952229299363057</v>
      </c>
      <c r="AB662" s="74">
        <v>0.921899224806202</v>
      </c>
      <c r="AC662" s="74">
        <v>0.92</v>
      </c>
      <c r="AD662" s="72">
        <v>0.998893805309734</v>
      </c>
      <c r="AE662" s="72">
        <v>0.986541049798116</v>
      </c>
      <c r="AF662" s="72">
        <v>0.989830508474576</v>
      </c>
      <c r="AG662" s="72">
        <v>0.991695346401317</v>
      </c>
      <c r="AH662" s="74">
        <v>0.92</v>
      </c>
      <c r="AI662" s="72">
        <v>0.919440124416796</v>
      </c>
      <c r="AJ662" s="72">
        <v>0.952678278015117</v>
      </c>
      <c r="AK662" s="72">
        <v>0.96384</v>
      </c>
      <c r="AL662" s="72">
        <v>0.953517808797159</v>
      </c>
      <c r="AM662" s="71">
        <v>0.99</v>
      </c>
      <c r="AN662" s="76">
        <v>1</v>
      </c>
      <c r="AO662" s="76">
        <v>1</v>
      </c>
      <c r="AP662" s="76">
        <v>1</v>
      </c>
      <c r="AQ662" s="76">
        <v>1</v>
      </c>
      <c r="AR662" s="96">
        <v>0.0810595228934205</v>
      </c>
      <c r="AS662" s="80">
        <v>0</v>
      </c>
      <c r="AT662" s="80">
        <v>0.0833333333333333</v>
      </c>
      <c r="AU662" s="80">
        <v>0</v>
      </c>
      <c r="AV662" s="80">
        <v>0.0240963855421687</v>
      </c>
      <c r="AW662" s="36"/>
      <c r="AX662" s="34"/>
    </row>
    <row r="663" ht="14.5" spans="1:50">
      <c r="A663" s="32"/>
      <c r="B663" s="36"/>
      <c r="C663" s="91" t="s">
        <v>693</v>
      </c>
      <c r="D663" s="69" t="s">
        <v>21</v>
      </c>
      <c r="E663" s="114" t="s">
        <v>714</v>
      </c>
      <c r="F663" s="114" t="s">
        <v>714</v>
      </c>
      <c r="G663" s="114" t="s">
        <v>714</v>
      </c>
      <c r="H663" s="114" t="s">
        <v>714</v>
      </c>
      <c r="I663" s="71">
        <v>0.9</v>
      </c>
      <c r="J663" s="72">
        <v>0.88</v>
      </c>
      <c r="K663" s="72">
        <v>0.91304347826087</v>
      </c>
      <c r="L663" s="73">
        <v>0.958333333333333</v>
      </c>
      <c r="M663" s="72">
        <v>0.896713615023474</v>
      </c>
      <c r="N663" s="74">
        <v>0.9</v>
      </c>
      <c r="O663" s="72">
        <v>0.696194635059264</v>
      </c>
      <c r="P663" s="72">
        <v>0.766458766458766</v>
      </c>
      <c r="Q663" s="72">
        <v>0.7017099430019</v>
      </c>
      <c r="R663" s="72">
        <v>0.768459953095018</v>
      </c>
      <c r="S663" s="74">
        <v>0.9</v>
      </c>
      <c r="T663" s="72">
        <v>0.897067997504679</v>
      </c>
      <c r="U663" s="72">
        <v>0.907830907830908</v>
      </c>
      <c r="V663" s="72">
        <v>0.925269157694743</v>
      </c>
      <c r="W663" s="72">
        <v>0.917063463861843</v>
      </c>
      <c r="X663" s="74">
        <v>0.92</v>
      </c>
      <c r="Y663" s="74">
        <v>0.903133903133903</v>
      </c>
      <c r="Z663" s="74">
        <v>0.92255125284738</v>
      </c>
      <c r="AA663" s="74">
        <v>0.942211055276382</v>
      </c>
      <c r="AB663" s="74">
        <v>0.927222050170331</v>
      </c>
      <c r="AC663" s="74">
        <v>0.92</v>
      </c>
      <c r="AD663" s="72">
        <v>1</v>
      </c>
      <c r="AE663" s="72">
        <v>0.973983739837398</v>
      </c>
      <c r="AF663" s="72">
        <v>0.989051094890511</v>
      </c>
      <c r="AG663" s="72">
        <v>0.990360023608105</v>
      </c>
      <c r="AH663" s="74">
        <v>0.92</v>
      </c>
      <c r="AI663" s="72">
        <v>0.940634595701126</v>
      </c>
      <c r="AJ663" s="72">
        <v>0.946865037194474</v>
      </c>
      <c r="AK663" s="72">
        <v>0.966616084977238</v>
      </c>
      <c r="AL663" s="72">
        <v>0.96121387283237</v>
      </c>
      <c r="AM663" s="71">
        <v>0.99</v>
      </c>
      <c r="AN663" s="76">
        <v>1</v>
      </c>
      <c r="AO663" s="76">
        <v>1</v>
      </c>
      <c r="AP663" s="76">
        <v>1</v>
      </c>
      <c r="AQ663" s="76">
        <v>1</v>
      </c>
      <c r="AR663" s="96">
        <v>0.0810595228934205</v>
      </c>
      <c r="AS663" s="80">
        <v>0</v>
      </c>
      <c r="AT663" s="80">
        <v>0</v>
      </c>
      <c r="AU663" s="80">
        <v>0</v>
      </c>
      <c r="AV663" s="80">
        <v>0.0365853658536585</v>
      </c>
      <c r="AW663" s="36"/>
      <c r="AX663" s="34"/>
    </row>
    <row r="664" ht="14.5" spans="1:50">
      <c r="A664" s="32"/>
      <c r="B664" s="36"/>
      <c r="C664" s="91" t="s">
        <v>693</v>
      </c>
      <c r="D664" s="69" t="s">
        <v>21</v>
      </c>
      <c r="E664" s="114" t="s">
        <v>715</v>
      </c>
      <c r="F664" s="114" t="s">
        <v>715</v>
      </c>
      <c r="G664" s="114" t="s">
        <v>715</v>
      </c>
      <c r="H664" s="114" t="s">
        <v>715</v>
      </c>
      <c r="I664" s="71">
        <v>0.9</v>
      </c>
      <c r="J664" s="72">
        <v>0.964285714285714</v>
      </c>
      <c r="K664" s="72">
        <v>0.967741935483871</v>
      </c>
      <c r="L664" s="73">
        <v>0.931034482758621</v>
      </c>
      <c r="M664" s="72">
        <v>0.942528735632184</v>
      </c>
      <c r="N664" s="74">
        <v>0.9</v>
      </c>
      <c r="O664" s="72">
        <v>0.988095238095238</v>
      </c>
      <c r="P664" s="72">
        <v>0.995718654434251</v>
      </c>
      <c r="Q664" s="72">
        <v>0.980266976204295</v>
      </c>
      <c r="R664" s="72">
        <v>0.890715353128452</v>
      </c>
      <c r="S664" s="74">
        <v>0.9</v>
      </c>
      <c r="T664" s="72">
        <v>0.852607709750567</v>
      </c>
      <c r="U664" s="72">
        <v>0.908256880733945</v>
      </c>
      <c r="V664" s="72">
        <v>0.941961694718514</v>
      </c>
      <c r="W664" s="72">
        <v>0.905334286271197</v>
      </c>
      <c r="X664" s="74">
        <v>0.92</v>
      </c>
      <c r="Y664" s="74">
        <v>0.774535809018568</v>
      </c>
      <c r="Z664" s="74">
        <v>0.87551867219917</v>
      </c>
      <c r="AA664" s="74">
        <v>0.877551020408163</v>
      </c>
      <c r="AB664" s="74">
        <v>0.848133484162896</v>
      </c>
      <c r="AC664" s="74">
        <v>0.92</v>
      </c>
      <c r="AD664" s="72">
        <v>0.99850411368736</v>
      </c>
      <c r="AE664" s="72">
        <v>0.996114447191805</v>
      </c>
      <c r="AF664" s="72">
        <v>0.967682702901212</v>
      </c>
      <c r="AG664" s="72">
        <v>0.982621814930711</v>
      </c>
      <c r="AH664" s="74">
        <v>0.92</v>
      </c>
      <c r="AI664" s="72">
        <v>0.887902849135918</v>
      </c>
      <c r="AJ664" s="72">
        <v>0.921152030217186</v>
      </c>
      <c r="AK664" s="72">
        <v>0.948243992606285</v>
      </c>
      <c r="AL664" s="72">
        <v>0.928786518041101</v>
      </c>
      <c r="AM664" s="71">
        <v>0.99</v>
      </c>
      <c r="AN664" s="76">
        <v>1</v>
      </c>
      <c r="AO664" s="76">
        <v>1</v>
      </c>
      <c r="AP664" s="76">
        <v>1</v>
      </c>
      <c r="AQ664" s="76">
        <v>1</v>
      </c>
      <c r="AR664" s="96">
        <v>0.0810595228934205</v>
      </c>
      <c r="AS664" s="80">
        <v>0</v>
      </c>
      <c r="AT664" s="80">
        <v>0</v>
      </c>
      <c r="AU664" s="80">
        <v>0</v>
      </c>
      <c r="AV664" s="80">
        <v>0.036144578313253</v>
      </c>
      <c r="AW664" s="36"/>
      <c r="AX664" s="34"/>
    </row>
    <row r="665" ht="14.5" spans="1:50">
      <c r="A665" s="32"/>
      <c r="B665" s="36"/>
      <c r="C665" s="91" t="s">
        <v>693</v>
      </c>
      <c r="D665" s="69" t="s">
        <v>21</v>
      </c>
      <c r="E665" s="114" t="s">
        <v>716</v>
      </c>
      <c r="F665" s="114" t="s">
        <v>716</v>
      </c>
      <c r="G665" s="114" t="s">
        <v>716</v>
      </c>
      <c r="H665" s="114" t="s">
        <v>716</v>
      </c>
      <c r="I665" s="71">
        <v>0.9</v>
      </c>
      <c r="J665" s="72">
        <v>0.925925925925926</v>
      </c>
      <c r="K665" s="72">
        <v>0.888888888888889</v>
      </c>
      <c r="L665" s="73">
        <v>0.964285714285714</v>
      </c>
      <c r="M665" s="72">
        <v>0.951612903225806</v>
      </c>
      <c r="N665" s="74">
        <v>0.9</v>
      </c>
      <c r="O665" s="72">
        <v>0.970534069981584</v>
      </c>
      <c r="P665" s="72">
        <v>0.93560404470463</v>
      </c>
      <c r="Q665" s="72">
        <v>0.936590436590437</v>
      </c>
      <c r="R665" s="72">
        <v>0.967845481210914</v>
      </c>
      <c r="S665" s="74">
        <v>0.9</v>
      </c>
      <c r="T665" s="72">
        <v>0.904235727440147</v>
      </c>
      <c r="U665" s="72">
        <v>0.932410856838744</v>
      </c>
      <c r="V665" s="72">
        <v>0.951143451143451</v>
      </c>
      <c r="W665" s="72">
        <v>0.935524932204328</v>
      </c>
      <c r="X665" s="74">
        <v>0.92</v>
      </c>
      <c r="Y665" s="74">
        <v>0.878787878787879</v>
      </c>
      <c r="Z665" s="74">
        <v>0.924953095684803</v>
      </c>
      <c r="AA665" s="74">
        <v>0.91156462585034</v>
      </c>
      <c r="AB665" s="74">
        <v>0.916585838991271</v>
      </c>
      <c r="AC665" s="74">
        <v>0.92</v>
      </c>
      <c r="AD665" s="72">
        <v>0.995073891625616</v>
      </c>
      <c r="AE665" s="72">
        <v>0.985583224115334</v>
      </c>
      <c r="AF665" s="72">
        <v>0.991634491634492</v>
      </c>
      <c r="AG665" s="72">
        <v>0.984253331026129</v>
      </c>
      <c r="AH665" s="74">
        <v>0.92</v>
      </c>
      <c r="AI665" s="72">
        <v>0.941913439635535</v>
      </c>
      <c r="AJ665" s="72">
        <v>0.963101160862355</v>
      </c>
      <c r="AK665" s="72">
        <v>0.967864693446089</v>
      </c>
      <c r="AL665" s="72">
        <v>0.963862479160095</v>
      </c>
      <c r="AM665" s="71">
        <v>0.99</v>
      </c>
      <c r="AN665" s="76">
        <v>1</v>
      </c>
      <c r="AO665" s="76">
        <v>1</v>
      </c>
      <c r="AP665" s="76">
        <v>1</v>
      </c>
      <c r="AQ665" s="76">
        <v>1</v>
      </c>
      <c r="AR665" s="96">
        <v>0.0810595228934205</v>
      </c>
      <c r="AS665" s="80">
        <v>0</v>
      </c>
      <c r="AT665" s="80">
        <v>0</v>
      </c>
      <c r="AU665" s="80">
        <v>0</v>
      </c>
      <c r="AV665" s="80">
        <v>0.0373831775700935</v>
      </c>
      <c r="AW665" s="36"/>
      <c r="AX665" s="34"/>
    </row>
    <row r="666" ht="14.5" spans="1:50">
      <c r="A666" s="32"/>
      <c r="B666" s="36"/>
      <c r="C666" s="91" t="s">
        <v>693</v>
      </c>
      <c r="D666" s="69" t="s">
        <v>21</v>
      </c>
      <c r="E666" s="114" t="s">
        <v>717</v>
      </c>
      <c r="F666" s="114" t="s">
        <v>717</v>
      </c>
      <c r="G666" s="114" t="s">
        <v>717</v>
      </c>
      <c r="H666" s="114" t="s">
        <v>717</v>
      </c>
      <c r="I666" s="71">
        <v>0.9</v>
      </c>
      <c r="J666" s="72">
        <v>0.92</v>
      </c>
      <c r="K666" s="72">
        <v>1</v>
      </c>
      <c r="L666" s="73">
        <v>1</v>
      </c>
      <c r="M666" s="72">
        <v>0.973333333333333</v>
      </c>
      <c r="N666" s="74">
        <v>0.9</v>
      </c>
      <c r="O666" s="72">
        <v>0.978156400174749</v>
      </c>
      <c r="P666" s="72">
        <v>0.979782270606532</v>
      </c>
      <c r="Q666" s="72">
        <v>0.983647175421209</v>
      </c>
      <c r="R666" s="72">
        <v>0.975702232190537</v>
      </c>
      <c r="S666" s="74">
        <v>0.9</v>
      </c>
      <c r="T666" s="72">
        <v>0.940148536478812</v>
      </c>
      <c r="U666" s="72">
        <v>0.95386210471747</v>
      </c>
      <c r="V666" s="72">
        <v>0.954905847373637</v>
      </c>
      <c r="W666" s="72">
        <v>0.950763644131155</v>
      </c>
      <c r="X666" s="74">
        <v>0.92</v>
      </c>
      <c r="Y666" s="74">
        <v>0.890688259109312</v>
      </c>
      <c r="Z666" s="74">
        <v>0.938405797101449</v>
      </c>
      <c r="AA666" s="74">
        <v>0.926441351888668</v>
      </c>
      <c r="AB666" s="74">
        <v>0.935092225075881</v>
      </c>
      <c r="AC666" s="74">
        <v>0.92</v>
      </c>
      <c r="AD666" s="72">
        <v>0.999365482233503</v>
      </c>
      <c r="AE666" s="72">
        <v>0.995708154506438</v>
      </c>
      <c r="AF666" s="72">
        <v>0.997363796133568</v>
      </c>
      <c r="AG666" s="72">
        <v>0.996850654732306</v>
      </c>
      <c r="AH666" s="74">
        <v>0.92</v>
      </c>
      <c r="AI666" s="72">
        <v>0.955803090190442</v>
      </c>
      <c r="AJ666" s="72">
        <v>0.972188633615478</v>
      </c>
      <c r="AK666" s="72">
        <v>0.978976596588655</v>
      </c>
      <c r="AL666" s="72">
        <v>0.975708326090735</v>
      </c>
      <c r="AM666" s="71">
        <v>0.99</v>
      </c>
      <c r="AN666" s="76">
        <v>1</v>
      </c>
      <c r="AO666" s="76">
        <v>1</v>
      </c>
      <c r="AP666" s="76">
        <v>1</v>
      </c>
      <c r="AQ666" s="76">
        <v>1</v>
      </c>
      <c r="AR666" s="96">
        <v>0.0810595228934205</v>
      </c>
      <c r="AS666" s="80">
        <v>0.153846153846154</v>
      </c>
      <c r="AT666" s="80">
        <v>0</v>
      </c>
      <c r="AU666" s="80">
        <v>0</v>
      </c>
      <c r="AV666" s="80">
        <v>0.0549450549450549</v>
      </c>
      <c r="AW666" s="36"/>
      <c r="AX666" s="34"/>
    </row>
    <row r="667" ht="14.5" spans="1:50">
      <c r="A667" s="32"/>
      <c r="B667" s="36"/>
      <c r="C667" s="91" t="s">
        <v>693</v>
      </c>
      <c r="D667" s="69" t="s">
        <v>21</v>
      </c>
      <c r="E667" s="114" t="s">
        <v>718</v>
      </c>
      <c r="F667" s="114" t="s">
        <v>718</v>
      </c>
      <c r="G667" s="114" t="s">
        <v>718</v>
      </c>
      <c r="H667" s="114" t="s">
        <v>718</v>
      </c>
      <c r="I667" s="71">
        <v>0.9</v>
      </c>
      <c r="J667" s="72">
        <v>1</v>
      </c>
      <c r="K667" s="72">
        <v>1</v>
      </c>
      <c r="L667" s="73">
        <v>1</v>
      </c>
      <c r="M667" s="72">
        <v>1</v>
      </c>
      <c r="N667" s="74">
        <v>0.9</v>
      </c>
      <c r="O667" s="72">
        <v>0.954529307282416</v>
      </c>
      <c r="P667" s="72">
        <v>0.925355450236967</v>
      </c>
      <c r="Q667" s="72">
        <v>0.937570093457944</v>
      </c>
      <c r="R667" s="72">
        <v>0.935374842203852</v>
      </c>
      <c r="S667" s="74">
        <v>0.9</v>
      </c>
      <c r="T667" s="72">
        <v>0.974422735346359</v>
      </c>
      <c r="U667" s="72">
        <v>0.97432859399684</v>
      </c>
      <c r="V667" s="72">
        <v>0.981308411214953</v>
      </c>
      <c r="W667" s="72">
        <v>0.978173229629026</v>
      </c>
      <c r="X667" s="74">
        <v>0.92</v>
      </c>
      <c r="Y667" s="74">
        <v>0.947860962566845</v>
      </c>
      <c r="Z667" s="74">
        <v>0.96398891966759</v>
      </c>
      <c r="AA667" s="74">
        <v>0.96943231441048</v>
      </c>
      <c r="AB667" s="74">
        <v>0.965872156013001</v>
      </c>
      <c r="AC667" s="74">
        <v>0.92</v>
      </c>
      <c r="AD667" s="72">
        <v>0.984536082474227</v>
      </c>
      <c r="AE667" s="72">
        <v>0.997467713345151</v>
      </c>
      <c r="AF667" s="72">
        <v>0.996754057428215</v>
      </c>
      <c r="AG667" s="72">
        <v>0.996511019363843</v>
      </c>
      <c r="AH667" s="74">
        <v>0.92</v>
      </c>
      <c r="AI667" s="72">
        <v>0.977291841883936</v>
      </c>
      <c r="AJ667" s="72">
        <v>0.985578398281681</v>
      </c>
      <c r="AK667" s="72">
        <v>0.990184414039262</v>
      </c>
      <c r="AL667" s="72">
        <v>0.98711263161391</v>
      </c>
      <c r="AM667" s="71">
        <v>0.99</v>
      </c>
      <c r="AN667" s="76">
        <v>1</v>
      </c>
      <c r="AO667" s="76">
        <v>1</v>
      </c>
      <c r="AP667" s="76">
        <v>1</v>
      </c>
      <c r="AQ667" s="76">
        <v>1</v>
      </c>
      <c r="AR667" s="96">
        <v>0.0810595228934205</v>
      </c>
      <c r="AS667" s="80">
        <v>0.1</v>
      </c>
      <c r="AT667" s="80">
        <v>0</v>
      </c>
      <c r="AU667" s="80">
        <v>0</v>
      </c>
      <c r="AV667" s="80">
        <v>0.0303030303030303</v>
      </c>
      <c r="AW667" s="36"/>
      <c r="AX667" s="34"/>
    </row>
    <row r="668" ht="14.5" spans="1:50">
      <c r="A668" s="32"/>
      <c r="B668" s="36"/>
      <c r="C668" s="91" t="s">
        <v>693</v>
      </c>
      <c r="D668" s="69" t="s">
        <v>21</v>
      </c>
      <c r="E668" s="114" t="s">
        <v>719</v>
      </c>
      <c r="F668" s="114" t="s">
        <v>719</v>
      </c>
      <c r="G668" s="114" t="s">
        <v>719</v>
      </c>
      <c r="H668" s="114" t="s">
        <v>719</v>
      </c>
      <c r="I668" s="71">
        <v>0.9</v>
      </c>
      <c r="J668" s="72">
        <v>1</v>
      </c>
      <c r="K668" s="72">
        <v>1</v>
      </c>
      <c r="L668" s="73">
        <v>1</v>
      </c>
      <c r="M668" s="72">
        <v>0.993610223642173</v>
      </c>
      <c r="N668" s="74">
        <v>0.9</v>
      </c>
      <c r="O668" s="72">
        <v>0.984641068447412</v>
      </c>
      <c r="P668" s="72">
        <v>0.99512012012012</v>
      </c>
      <c r="Q668" s="72">
        <v>0.994164843180161</v>
      </c>
      <c r="R668" s="72">
        <v>0.992686623721106</v>
      </c>
      <c r="S668" s="74">
        <v>0.9</v>
      </c>
      <c r="T668" s="72">
        <v>0.930884808013356</v>
      </c>
      <c r="U668" s="72">
        <v>0.941816816816817</v>
      </c>
      <c r="V668" s="72">
        <v>0.954048140043764</v>
      </c>
      <c r="W668" s="72">
        <v>0.950852595680182</v>
      </c>
      <c r="X668" s="74">
        <v>0.92</v>
      </c>
      <c r="Y668" s="74">
        <v>0.889380530973451</v>
      </c>
      <c r="Z668" s="74">
        <v>0.925221799746515</v>
      </c>
      <c r="AA668" s="74">
        <v>0.943164362519201</v>
      </c>
      <c r="AB668" s="74">
        <v>0.924970886707703</v>
      </c>
      <c r="AC668" s="74">
        <v>0.92</v>
      </c>
      <c r="AD668" s="72">
        <v>0.997816593886463</v>
      </c>
      <c r="AE668" s="72">
        <v>0.9968</v>
      </c>
      <c r="AF668" s="72">
        <v>0.992932862190813</v>
      </c>
      <c r="AG668" s="72">
        <v>0.996697105109773</v>
      </c>
      <c r="AH668" s="74">
        <v>0.92</v>
      </c>
      <c r="AI668" s="72">
        <v>0.947726653961339</v>
      </c>
      <c r="AJ668" s="72">
        <v>0.957717926440776</v>
      </c>
      <c r="AK668" s="72">
        <v>0.970822281167109</v>
      </c>
      <c r="AL668" s="72">
        <v>0.967660309819169</v>
      </c>
      <c r="AM668" s="71">
        <v>0.99</v>
      </c>
      <c r="AN668" s="76">
        <v>1</v>
      </c>
      <c r="AO668" s="76">
        <v>1</v>
      </c>
      <c r="AP668" s="76">
        <v>1</v>
      </c>
      <c r="AQ668" s="76">
        <v>1</v>
      </c>
      <c r="AR668" s="96">
        <v>0.0810595228934205</v>
      </c>
      <c r="AS668" s="80">
        <v>0</v>
      </c>
      <c r="AT668" s="80">
        <v>0</v>
      </c>
      <c r="AU668" s="80">
        <v>0</v>
      </c>
      <c r="AV668" s="80">
        <v>0.0303030303030303</v>
      </c>
      <c r="AW668" s="36"/>
      <c r="AX668" s="34"/>
    </row>
    <row r="669" ht="14.5" spans="1:50">
      <c r="A669" s="32"/>
      <c r="B669" s="36"/>
      <c r="C669" s="91" t="s">
        <v>693</v>
      </c>
      <c r="D669" s="69" t="s">
        <v>21</v>
      </c>
      <c r="E669" s="114" t="s">
        <v>720</v>
      </c>
      <c r="F669" s="114" t="s">
        <v>720</v>
      </c>
      <c r="G669" s="114" t="s">
        <v>720</v>
      </c>
      <c r="H669" s="114" t="s">
        <v>720</v>
      </c>
      <c r="I669" s="71">
        <v>0.9</v>
      </c>
      <c r="J669" s="72">
        <v>1</v>
      </c>
      <c r="K669" s="72">
        <v>1</v>
      </c>
      <c r="L669" s="73">
        <v>1</v>
      </c>
      <c r="M669" s="72">
        <v>1</v>
      </c>
      <c r="N669" s="74">
        <v>0.9</v>
      </c>
      <c r="O669" s="72">
        <v>0.996918335901387</v>
      </c>
      <c r="P669" s="72">
        <v>0.982690794649882</v>
      </c>
      <c r="Q669" s="72">
        <v>0.981376518218623</v>
      </c>
      <c r="R669" s="72">
        <v>0.988823888937396</v>
      </c>
      <c r="S669" s="74">
        <v>0.9</v>
      </c>
      <c r="T669" s="72">
        <v>0.937596302003082</v>
      </c>
      <c r="U669" s="72">
        <v>0.931549960660897</v>
      </c>
      <c r="V669" s="72">
        <v>0.931174089068826</v>
      </c>
      <c r="W669" s="72">
        <v>0.937047061905178</v>
      </c>
      <c r="X669" s="74">
        <v>0.92</v>
      </c>
      <c r="Y669" s="74">
        <v>0.925266903914591</v>
      </c>
      <c r="Z669" s="74">
        <v>0.931952662721893</v>
      </c>
      <c r="AA669" s="74">
        <v>0.9375</v>
      </c>
      <c r="AB669" s="74">
        <v>0.937873357228196</v>
      </c>
      <c r="AC669" s="74">
        <v>0.92</v>
      </c>
      <c r="AD669" s="72">
        <v>1</v>
      </c>
      <c r="AE669" s="72">
        <v>1</v>
      </c>
      <c r="AF669" s="72">
        <v>0.994152046783626</v>
      </c>
      <c r="AG669" s="72">
        <v>0.994582043343653</v>
      </c>
      <c r="AH669" s="74">
        <v>0.92</v>
      </c>
      <c r="AI669" s="72">
        <v>0.965801139962001</v>
      </c>
      <c r="AJ669" s="72">
        <v>0.958980733374767</v>
      </c>
      <c r="AK669" s="72">
        <v>0.973954763536669</v>
      </c>
      <c r="AL669" s="72">
        <v>0.972357490690347</v>
      </c>
      <c r="AM669" s="71">
        <v>0.99</v>
      </c>
      <c r="AN669" s="76">
        <v>1</v>
      </c>
      <c r="AO669" s="76">
        <v>1</v>
      </c>
      <c r="AP669" s="76">
        <v>1</v>
      </c>
      <c r="AQ669" s="76">
        <v>1</v>
      </c>
      <c r="AR669" s="96">
        <v>0.0810595228934205</v>
      </c>
      <c r="AS669" s="80">
        <v>0</v>
      </c>
      <c r="AT669" s="80">
        <v>0</v>
      </c>
      <c r="AU669" s="80">
        <v>0.111111111111111</v>
      </c>
      <c r="AV669" s="80">
        <v>0.0410958904109589</v>
      </c>
      <c r="AW669" s="36"/>
      <c r="AX669" s="34"/>
    </row>
    <row r="670" ht="14.5" spans="1:50">
      <c r="A670" s="32"/>
      <c r="B670" s="36"/>
      <c r="C670" s="91" t="s">
        <v>693</v>
      </c>
      <c r="D670" s="69" t="s">
        <v>21</v>
      </c>
      <c r="E670" s="114" t="s">
        <v>721</v>
      </c>
      <c r="F670" s="114" t="s">
        <v>721</v>
      </c>
      <c r="G670" s="114" t="s">
        <v>721</v>
      </c>
      <c r="H670" s="114" t="s">
        <v>721</v>
      </c>
      <c r="I670" s="71">
        <v>0.9</v>
      </c>
      <c r="J670" s="72">
        <v>0</v>
      </c>
      <c r="K670" s="72">
        <v>0</v>
      </c>
      <c r="L670" s="73">
        <v>0</v>
      </c>
      <c r="M670" s="72">
        <v>0</v>
      </c>
      <c r="N670" s="74">
        <v>0.9</v>
      </c>
      <c r="O670" s="72">
        <v>0</v>
      </c>
      <c r="P670" s="72">
        <v>0</v>
      </c>
      <c r="Q670" s="72">
        <v>0</v>
      </c>
      <c r="R670" s="72">
        <v>0</v>
      </c>
      <c r="S670" s="74">
        <v>0.9</v>
      </c>
      <c r="T670" s="72">
        <v>0</v>
      </c>
      <c r="U670" s="72">
        <v>0</v>
      </c>
      <c r="V670" s="72">
        <v>0</v>
      </c>
      <c r="W670" s="72">
        <v>0</v>
      </c>
      <c r="X670" s="74">
        <v>0.92</v>
      </c>
      <c r="Y670" s="74">
        <v>0</v>
      </c>
      <c r="Z670" s="74">
        <v>0</v>
      </c>
      <c r="AA670" s="74">
        <v>0</v>
      </c>
      <c r="AB670" s="74">
        <v>0</v>
      </c>
      <c r="AC670" s="74">
        <v>0.92</v>
      </c>
      <c r="AD670" s="72">
        <v>0</v>
      </c>
      <c r="AE670" s="72">
        <v>0</v>
      </c>
      <c r="AF670" s="72">
        <v>0</v>
      </c>
      <c r="AG670" s="72">
        <v>0</v>
      </c>
      <c r="AH670" s="74">
        <v>0.92</v>
      </c>
      <c r="AI670" s="72">
        <v>0</v>
      </c>
      <c r="AJ670" s="72">
        <v>0</v>
      </c>
      <c r="AK670" s="72">
        <v>0</v>
      </c>
      <c r="AL670" s="72">
        <v>0</v>
      </c>
      <c r="AM670" s="71">
        <v>0.99</v>
      </c>
      <c r="AN670" s="76">
        <v>0</v>
      </c>
      <c r="AO670" s="76">
        <v>0</v>
      </c>
      <c r="AP670" s="76">
        <v>0</v>
      </c>
      <c r="AQ670" s="76">
        <v>0</v>
      </c>
      <c r="AR670" s="96">
        <v>0.0810595228934205</v>
      </c>
      <c r="AS670" s="80">
        <v>0</v>
      </c>
      <c r="AT670" s="80">
        <v>0</v>
      </c>
      <c r="AU670" s="80">
        <v>0</v>
      </c>
      <c r="AV670" s="80">
        <v>0</v>
      </c>
      <c r="AW670" s="36"/>
      <c r="AX670" s="34"/>
    </row>
    <row r="671" ht="14.5" spans="1:50">
      <c r="A671" s="32"/>
      <c r="B671" s="36"/>
      <c r="C671" s="91" t="s">
        <v>693</v>
      </c>
      <c r="D671" s="69" t="s">
        <v>21</v>
      </c>
      <c r="E671" s="114" t="s">
        <v>722</v>
      </c>
      <c r="F671" s="114" t="s">
        <v>722</v>
      </c>
      <c r="G671" s="114" t="s">
        <v>722</v>
      </c>
      <c r="H671" s="114" t="s">
        <v>722</v>
      </c>
      <c r="I671" s="71">
        <v>0.9</v>
      </c>
      <c r="J671" s="72">
        <v>0.896551724137931</v>
      </c>
      <c r="K671" s="72">
        <v>0.8</v>
      </c>
      <c r="L671" s="73">
        <v>0.888888888888889</v>
      </c>
      <c r="M671" s="72">
        <v>0.905737704918033</v>
      </c>
      <c r="N671" s="74">
        <v>0.9</v>
      </c>
      <c r="O671" s="72">
        <v>0.948212648945921</v>
      </c>
      <c r="P671" s="72">
        <v>0.945154419595314</v>
      </c>
      <c r="Q671" s="72">
        <v>0.96</v>
      </c>
      <c r="R671" s="72">
        <v>0.94688489968321</v>
      </c>
      <c r="S671" s="74">
        <v>0.9</v>
      </c>
      <c r="T671" s="72">
        <v>0.95692025664528</v>
      </c>
      <c r="U671" s="72">
        <v>0.939829605963791</v>
      </c>
      <c r="V671" s="72">
        <v>0.953734939759036</v>
      </c>
      <c r="W671" s="72">
        <v>0.946409714889124</v>
      </c>
      <c r="X671" s="74">
        <v>0.92</v>
      </c>
      <c r="Y671" s="74">
        <v>0.946236559139785</v>
      </c>
      <c r="Z671" s="74">
        <v>0.967637540453074</v>
      </c>
      <c r="AA671" s="74">
        <v>0.961309523809524</v>
      </c>
      <c r="AB671" s="74">
        <v>0.960127324509968</v>
      </c>
      <c r="AC671" s="74">
        <v>0.92</v>
      </c>
      <c r="AD671" s="72">
        <v>0.996699669966997</v>
      </c>
      <c r="AE671" s="72">
        <v>0.996927803379416</v>
      </c>
      <c r="AF671" s="72">
        <v>1</v>
      </c>
      <c r="AG671" s="72">
        <v>0.996045867931989</v>
      </c>
      <c r="AH671" s="74">
        <v>0.92</v>
      </c>
      <c r="AI671" s="72">
        <v>0.974938228026827</v>
      </c>
      <c r="AJ671" s="72">
        <v>0.979975971165398</v>
      </c>
      <c r="AK671" s="72">
        <v>0.981070258463779</v>
      </c>
      <c r="AL671" s="72">
        <v>0.978250401284109</v>
      </c>
      <c r="AM671" s="71">
        <v>0.99</v>
      </c>
      <c r="AN671" s="76">
        <v>1</v>
      </c>
      <c r="AO671" s="76">
        <v>1</v>
      </c>
      <c r="AP671" s="76">
        <v>1</v>
      </c>
      <c r="AQ671" s="76">
        <v>1</v>
      </c>
      <c r="AR671" s="96">
        <v>0.0810595228934205</v>
      </c>
      <c r="AS671" s="80">
        <v>0</v>
      </c>
      <c r="AT671" s="80">
        <v>0</v>
      </c>
      <c r="AU671" s="80">
        <v>0</v>
      </c>
      <c r="AV671" s="80">
        <v>0.05</v>
      </c>
      <c r="AW671" s="36"/>
      <c r="AX671" s="34"/>
    </row>
    <row r="672" ht="14.5" spans="1:50">
      <c r="A672" s="32"/>
      <c r="B672" s="36"/>
      <c r="C672" s="91" t="s">
        <v>693</v>
      </c>
      <c r="D672" s="69" t="s">
        <v>21</v>
      </c>
      <c r="E672" s="114" t="s">
        <v>723</v>
      </c>
      <c r="F672" s="114" t="s">
        <v>723</v>
      </c>
      <c r="G672" s="114" t="s">
        <v>723</v>
      </c>
      <c r="H672" s="114" t="s">
        <v>723</v>
      </c>
      <c r="I672" s="71">
        <v>0.9</v>
      </c>
      <c r="J672" s="72">
        <v>0.884615384615385</v>
      </c>
      <c r="K672" s="72">
        <v>0.846153846153846</v>
      </c>
      <c r="L672" s="73">
        <v>0.88</v>
      </c>
      <c r="M672" s="72">
        <v>0.855932203389831</v>
      </c>
      <c r="N672" s="74">
        <v>0.9</v>
      </c>
      <c r="O672" s="72">
        <v>0.951177730192719</v>
      </c>
      <c r="P672" s="72">
        <v>0.946192430460556</v>
      </c>
      <c r="Q672" s="72">
        <v>0.954484605087015</v>
      </c>
      <c r="R672" s="72">
        <v>0.953894533139816</v>
      </c>
      <c r="S672" s="74">
        <v>0.9</v>
      </c>
      <c r="T672" s="72">
        <v>0.934047109207709</v>
      </c>
      <c r="U672" s="72">
        <v>0.948472412220702</v>
      </c>
      <c r="V672" s="72">
        <v>0.94689870593485</v>
      </c>
      <c r="W672" s="72">
        <v>0.944605708756652</v>
      </c>
      <c r="X672" s="74">
        <v>0.92</v>
      </c>
      <c r="Y672" s="74">
        <v>0.914925373134328</v>
      </c>
      <c r="Z672" s="74">
        <v>0.912636505460218</v>
      </c>
      <c r="AA672" s="74">
        <v>0.9184</v>
      </c>
      <c r="AB672" s="74">
        <v>0.921601615074024</v>
      </c>
      <c r="AC672" s="74">
        <v>0.92</v>
      </c>
      <c r="AD672" s="72">
        <v>1</v>
      </c>
      <c r="AE672" s="72">
        <v>0.991869918699187</v>
      </c>
      <c r="AF672" s="72">
        <v>0.994736842105263</v>
      </c>
      <c r="AG672" s="72">
        <v>0.986301369863014</v>
      </c>
      <c r="AH672" s="74">
        <v>0.92</v>
      </c>
      <c r="AI672" s="72">
        <v>0.956102427668773</v>
      </c>
      <c r="AJ672" s="72">
        <v>0.965784832451499</v>
      </c>
      <c r="AK672" s="72">
        <v>0.967213114754098</v>
      </c>
      <c r="AL672" s="72">
        <v>0.966490299823633</v>
      </c>
      <c r="AM672" s="71">
        <v>0.99</v>
      </c>
      <c r="AN672" s="76">
        <v>1</v>
      </c>
      <c r="AO672" s="76">
        <v>1</v>
      </c>
      <c r="AP672" s="76">
        <v>1</v>
      </c>
      <c r="AQ672" s="76">
        <v>1</v>
      </c>
      <c r="AR672" s="96">
        <v>0.0810595228934205</v>
      </c>
      <c r="AS672" s="80">
        <v>0</v>
      </c>
      <c r="AT672" s="80">
        <v>0</v>
      </c>
      <c r="AU672" s="80">
        <v>0</v>
      </c>
      <c r="AV672" s="80">
        <v>0.03125</v>
      </c>
      <c r="AW672" s="36"/>
      <c r="AX672" s="34"/>
    </row>
    <row r="673" ht="14.5" spans="1:50">
      <c r="A673" s="32"/>
      <c r="B673" s="36"/>
      <c r="C673" s="91" t="s">
        <v>693</v>
      </c>
      <c r="D673" s="69" t="s">
        <v>21</v>
      </c>
      <c r="E673" s="114" t="s">
        <v>724</v>
      </c>
      <c r="F673" s="114" t="s">
        <v>724</v>
      </c>
      <c r="G673" s="114" t="s">
        <v>724</v>
      </c>
      <c r="H673" s="114" t="s">
        <v>724</v>
      </c>
      <c r="I673" s="71">
        <v>0.9</v>
      </c>
      <c r="J673" s="72">
        <v>0.941176470588235</v>
      </c>
      <c r="K673" s="72">
        <v>0.891891891891892</v>
      </c>
      <c r="L673" s="73">
        <v>0.828571428571429</v>
      </c>
      <c r="M673" s="72">
        <v>0.843260188087774</v>
      </c>
      <c r="N673" s="74">
        <v>0.9</v>
      </c>
      <c r="O673" s="72">
        <v>0.865213082259663</v>
      </c>
      <c r="P673" s="72">
        <v>0.964359964359964</v>
      </c>
      <c r="Q673" s="72">
        <v>0.918710388536787</v>
      </c>
      <c r="R673" s="72">
        <v>0.91473295966079</v>
      </c>
      <c r="S673" s="74">
        <v>0.9</v>
      </c>
      <c r="T673" s="72">
        <v>0.884786917740337</v>
      </c>
      <c r="U673" s="72">
        <v>0.933768933768934</v>
      </c>
      <c r="V673" s="72">
        <v>0.908239184348305</v>
      </c>
      <c r="W673" s="72">
        <v>0.914994336828043</v>
      </c>
      <c r="X673" s="74">
        <v>0.92</v>
      </c>
      <c r="Y673" s="74">
        <v>0.895907473309609</v>
      </c>
      <c r="Z673" s="74">
        <v>0.922396856581532</v>
      </c>
      <c r="AA673" s="74">
        <v>0.929508196721311</v>
      </c>
      <c r="AB673" s="74">
        <v>0.92982286322718</v>
      </c>
      <c r="AC673" s="74">
        <v>0.92</v>
      </c>
      <c r="AD673" s="72">
        <v>0.982142857142857</v>
      </c>
      <c r="AE673" s="72">
        <v>0.99254215304799</v>
      </c>
      <c r="AF673" s="72">
        <v>0.992194275802255</v>
      </c>
      <c r="AG673" s="72">
        <v>0.992286427679686</v>
      </c>
      <c r="AH673" s="74">
        <v>0.92</v>
      </c>
      <c r="AI673" s="72">
        <v>0.956791319511723</v>
      </c>
      <c r="AJ673" s="72">
        <v>0.967616875712657</v>
      </c>
      <c r="AK673" s="72">
        <v>0.969272014848422</v>
      </c>
      <c r="AL673" s="72">
        <v>0.970134917798427</v>
      </c>
      <c r="AM673" s="71">
        <v>0.99</v>
      </c>
      <c r="AN673" s="76">
        <v>1</v>
      </c>
      <c r="AO673" s="76">
        <v>1</v>
      </c>
      <c r="AP673" s="76">
        <v>1</v>
      </c>
      <c r="AQ673" s="76">
        <v>1</v>
      </c>
      <c r="AR673" s="96">
        <v>0.0810595228934205</v>
      </c>
      <c r="AS673" s="80">
        <v>0</v>
      </c>
      <c r="AT673" s="80">
        <v>0</v>
      </c>
      <c r="AU673" s="80">
        <v>0</v>
      </c>
      <c r="AV673" s="80">
        <v>0.0196078431372549</v>
      </c>
      <c r="AW673" s="36"/>
      <c r="AX673" s="34"/>
    </row>
    <row r="674" ht="14.5" spans="1:50">
      <c r="A674" s="32"/>
      <c r="B674" s="36"/>
      <c r="C674" s="91" t="s">
        <v>693</v>
      </c>
      <c r="D674" s="69" t="s">
        <v>21</v>
      </c>
      <c r="E674" s="114" t="s">
        <v>725</v>
      </c>
      <c r="F674" s="114" t="s">
        <v>725</v>
      </c>
      <c r="G674" s="114" t="s">
        <v>725</v>
      </c>
      <c r="H674" s="114" t="s">
        <v>725</v>
      </c>
      <c r="I674" s="71">
        <v>0.9</v>
      </c>
      <c r="J674" s="72">
        <v>0.703703703703704</v>
      </c>
      <c r="K674" s="72">
        <v>0.740740740740741</v>
      </c>
      <c r="L674" s="73">
        <v>0.75</v>
      </c>
      <c r="M674" s="72">
        <v>0.773279352226721</v>
      </c>
      <c r="N674" s="74">
        <v>0.9</v>
      </c>
      <c r="O674" s="72">
        <v>0.92643391521197</v>
      </c>
      <c r="P674" s="72">
        <v>0.912505158893933</v>
      </c>
      <c r="Q674" s="72">
        <v>0.949523052464229</v>
      </c>
      <c r="R674" s="72">
        <v>0.930955727336613</v>
      </c>
      <c r="S674" s="74">
        <v>0.9</v>
      </c>
      <c r="T674" s="72">
        <v>0.911886949293433</v>
      </c>
      <c r="U674" s="72">
        <v>0.908378043747421</v>
      </c>
      <c r="V674" s="72">
        <v>0.937201907790143</v>
      </c>
      <c r="W674" s="72">
        <v>0.922742445537597</v>
      </c>
      <c r="X674" s="74">
        <v>0.92</v>
      </c>
      <c r="Y674" s="74">
        <v>0.893351800554017</v>
      </c>
      <c r="Z674" s="74">
        <v>0.876712328767123</v>
      </c>
      <c r="AA674" s="74">
        <v>0.914948453608247</v>
      </c>
      <c r="AB674" s="74">
        <v>0.896770298822819</v>
      </c>
      <c r="AC674" s="74">
        <v>0.92</v>
      </c>
      <c r="AD674" s="72">
        <v>0.999621785173979</v>
      </c>
      <c r="AE674" s="72">
        <v>1</v>
      </c>
      <c r="AF674" s="72">
        <v>0.998875562218891</v>
      </c>
      <c r="AG674" s="72">
        <v>0.99871646240477</v>
      </c>
      <c r="AH674" s="74">
        <v>0.92</v>
      </c>
      <c r="AI674" s="72">
        <v>0.939277724512624</v>
      </c>
      <c r="AJ674" s="72">
        <v>0.931862426995458</v>
      </c>
      <c r="AK674" s="72">
        <v>0.962940461725395</v>
      </c>
      <c r="AL674" s="72">
        <v>0.950516936471228</v>
      </c>
      <c r="AM674" s="71">
        <v>0.99</v>
      </c>
      <c r="AN674" s="76">
        <v>1</v>
      </c>
      <c r="AO674" s="76">
        <v>1</v>
      </c>
      <c r="AP674" s="76">
        <v>1</v>
      </c>
      <c r="AQ674" s="76">
        <v>1</v>
      </c>
      <c r="AR674" s="96">
        <v>0.0810595228934205</v>
      </c>
      <c r="AS674" s="80">
        <v>0</v>
      </c>
      <c r="AT674" s="80">
        <v>0.0769230769230769</v>
      </c>
      <c r="AU674" s="80">
        <v>0</v>
      </c>
      <c r="AV674" s="80">
        <v>-0.0121951219512195</v>
      </c>
      <c r="AW674" s="36"/>
      <c r="AX674" s="34"/>
    </row>
    <row r="675" ht="14.5" spans="1:50">
      <c r="A675" s="32"/>
      <c r="B675" s="36"/>
      <c r="C675" s="91" t="s">
        <v>693</v>
      </c>
      <c r="D675" s="69" t="s">
        <v>21</v>
      </c>
      <c r="E675" s="114" t="s">
        <v>726</v>
      </c>
      <c r="F675" s="114" t="s">
        <v>726</v>
      </c>
      <c r="G675" s="114" t="s">
        <v>726</v>
      </c>
      <c r="H675" s="114" t="s">
        <v>726</v>
      </c>
      <c r="I675" s="71">
        <v>0.9</v>
      </c>
      <c r="J675" s="72">
        <v>1</v>
      </c>
      <c r="K675" s="72">
        <v>0.611111111111111</v>
      </c>
      <c r="L675" s="73">
        <v>0.944444444444444</v>
      </c>
      <c r="M675" s="72">
        <v>0.827380952380952</v>
      </c>
      <c r="N675" s="74">
        <v>0.9</v>
      </c>
      <c r="O675" s="72">
        <v>0.974725274725275</v>
      </c>
      <c r="P675" s="72">
        <v>0.983333333333333</v>
      </c>
      <c r="Q675" s="72">
        <v>0.989972144846797</v>
      </c>
      <c r="R675" s="72">
        <v>0.982040093593878</v>
      </c>
      <c r="S675" s="74">
        <v>0.9</v>
      </c>
      <c r="T675" s="72">
        <v>0.934065934065934</v>
      </c>
      <c r="U675" s="72">
        <v>0.930128205128205</v>
      </c>
      <c r="V675" s="72">
        <v>0.947632311977716</v>
      </c>
      <c r="W675" s="72">
        <v>0.941756782394233</v>
      </c>
      <c r="X675" s="74">
        <v>0.92</v>
      </c>
      <c r="Y675" s="74">
        <v>0.912727272727273</v>
      </c>
      <c r="Z675" s="74">
        <v>0.942268041237113</v>
      </c>
      <c r="AA675" s="74">
        <v>0.909584086799277</v>
      </c>
      <c r="AB675" s="74">
        <v>0.940394600207684</v>
      </c>
      <c r="AC675" s="74">
        <v>0.92</v>
      </c>
      <c r="AD675" s="72">
        <v>1</v>
      </c>
      <c r="AE675" s="72">
        <v>0.997054491899853</v>
      </c>
      <c r="AF675" s="72">
        <v>1</v>
      </c>
      <c r="AG675" s="72">
        <v>0.994506500640908</v>
      </c>
      <c r="AH675" s="74">
        <v>0.92</v>
      </c>
      <c r="AI675" s="72">
        <v>0.961181434599156</v>
      </c>
      <c r="AJ675" s="72">
        <v>0.962439024390244</v>
      </c>
      <c r="AK675" s="72">
        <v>0.968909710391823</v>
      </c>
      <c r="AL675" s="72">
        <v>0.970732180064932</v>
      </c>
      <c r="AM675" s="71">
        <v>0.99</v>
      </c>
      <c r="AN675" s="76">
        <v>1</v>
      </c>
      <c r="AO675" s="76">
        <v>1</v>
      </c>
      <c r="AP675" s="76">
        <v>1</v>
      </c>
      <c r="AQ675" s="76">
        <v>1</v>
      </c>
      <c r="AR675" s="96">
        <v>0.0810595228934205</v>
      </c>
      <c r="AS675" s="80">
        <v>0</v>
      </c>
      <c r="AT675" s="80">
        <v>0.333333333333333</v>
      </c>
      <c r="AU675" s="80">
        <v>0</v>
      </c>
      <c r="AV675" s="80">
        <v>0.1</v>
      </c>
      <c r="AW675" s="36"/>
      <c r="AX675" s="34"/>
    </row>
    <row r="676" ht="14.5" spans="1:50">
      <c r="A676" s="32"/>
      <c r="B676" s="36"/>
      <c r="C676" s="91" t="s">
        <v>693</v>
      </c>
      <c r="D676" s="69" t="s">
        <v>21</v>
      </c>
      <c r="E676" s="114" t="s">
        <v>727</v>
      </c>
      <c r="F676" s="114" t="s">
        <v>727</v>
      </c>
      <c r="G676" s="114" t="s">
        <v>727</v>
      </c>
      <c r="H676" s="114" t="s">
        <v>727</v>
      </c>
      <c r="I676" s="71">
        <v>0.9</v>
      </c>
      <c r="J676" s="72">
        <v>0.952380952380952</v>
      </c>
      <c r="K676" s="72">
        <v>1</v>
      </c>
      <c r="L676" s="73">
        <v>0.952380952380952</v>
      </c>
      <c r="M676" s="72">
        <v>0.973821989528796</v>
      </c>
      <c r="N676" s="74">
        <v>0.9</v>
      </c>
      <c r="O676" s="72">
        <v>0.997055937193327</v>
      </c>
      <c r="P676" s="72">
        <v>0.997893628225382</v>
      </c>
      <c r="Q676" s="72">
        <v>0.996975806451613</v>
      </c>
      <c r="R676" s="72">
        <v>0.995650737722969</v>
      </c>
      <c r="S676" s="74">
        <v>0.9</v>
      </c>
      <c r="T676" s="72">
        <v>0.966633954857704</v>
      </c>
      <c r="U676" s="72">
        <v>0.964718272775145</v>
      </c>
      <c r="V676" s="72">
        <v>0.967237903225806</v>
      </c>
      <c r="W676" s="72">
        <v>0.963829552961903</v>
      </c>
      <c r="X676" s="74">
        <v>0.92</v>
      </c>
      <c r="Y676" s="74">
        <v>0.978159126365055</v>
      </c>
      <c r="Z676" s="74">
        <v>0.965635738831615</v>
      </c>
      <c r="AA676" s="74">
        <v>0.981191222570533</v>
      </c>
      <c r="AB676" s="74">
        <v>0.976756287944493</v>
      </c>
      <c r="AC676" s="74">
        <v>0.92</v>
      </c>
      <c r="AD676" s="72">
        <v>1</v>
      </c>
      <c r="AE676" s="72">
        <v>1</v>
      </c>
      <c r="AF676" s="72">
        <v>1</v>
      </c>
      <c r="AG676" s="72">
        <v>0.991714995857498</v>
      </c>
      <c r="AH676" s="74">
        <v>0.92</v>
      </c>
      <c r="AI676" s="72">
        <v>0.988055244494214</v>
      </c>
      <c r="AJ676" s="72">
        <v>0.987101975010077</v>
      </c>
      <c r="AK676" s="72">
        <v>0.99160945842868</v>
      </c>
      <c r="AL676" s="72">
        <v>0.988758410297129</v>
      </c>
      <c r="AM676" s="71">
        <v>0.99</v>
      </c>
      <c r="AN676" s="76">
        <v>1</v>
      </c>
      <c r="AO676" s="76">
        <v>1</v>
      </c>
      <c r="AP676" s="76">
        <v>1</v>
      </c>
      <c r="AQ676" s="76">
        <v>1</v>
      </c>
      <c r="AR676" s="96">
        <v>0.0810595228934205</v>
      </c>
      <c r="AS676" s="80">
        <v>0.285714285714286</v>
      </c>
      <c r="AT676" s="80">
        <v>0</v>
      </c>
      <c r="AU676" s="80">
        <v>0</v>
      </c>
      <c r="AV676" s="80">
        <v>0.04</v>
      </c>
      <c r="AW676" s="36"/>
      <c r="AX676" s="34"/>
    </row>
    <row r="677" ht="14.5" spans="1:50">
      <c r="A677" s="32"/>
      <c r="B677" s="36"/>
      <c r="C677" s="91" t="s">
        <v>693</v>
      </c>
      <c r="D677" s="69" t="s">
        <v>21</v>
      </c>
      <c r="E677" s="114" t="s">
        <v>728</v>
      </c>
      <c r="F677" s="114" t="s">
        <v>728</v>
      </c>
      <c r="G677" s="114" t="s">
        <v>728</v>
      </c>
      <c r="H677" s="114" t="s">
        <v>728</v>
      </c>
      <c r="I677" s="71">
        <v>0.9</v>
      </c>
      <c r="J677" s="72">
        <v>0.84</v>
      </c>
      <c r="K677" s="72">
        <v>0.893333333333333</v>
      </c>
      <c r="L677" s="73">
        <v>0.853333333333333</v>
      </c>
      <c r="M677" s="72">
        <v>0.855263157894737</v>
      </c>
      <c r="N677" s="74">
        <v>0.9</v>
      </c>
      <c r="O677" s="72">
        <v>0.957356828193833</v>
      </c>
      <c r="P677" s="72">
        <v>0.976073850791259</v>
      </c>
      <c r="Q677" s="72">
        <v>0.935585669203638</v>
      </c>
      <c r="R677" s="72">
        <v>0.873191187762093</v>
      </c>
      <c r="S677" s="74">
        <v>0.9</v>
      </c>
      <c r="T677" s="72">
        <v>0.930396475770925</v>
      </c>
      <c r="U677" s="72">
        <v>0.922569706103994</v>
      </c>
      <c r="V677" s="72">
        <v>0.922220159643586</v>
      </c>
      <c r="W677" s="72">
        <v>0.928356269564704</v>
      </c>
      <c r="X677" s="74">
        <v>0.92</v>
      </c>
      <c r="Y677" s="74">
        <v>0.880382775119617</v>
      </c>
      <c r="Z677" s="74">
        <v>0.909033078880407</v>
      </c>
      <c r="AA677" s="74">
        <v>0.901358535144714</v>
      </c>
      <c r="AB677" s="74">
        <v>0.905178701677608</v>
      </c>
      <c r="AC677" s="74">
        <v>0.92</v>
      </c>
      <c r="AD677" s="72">
        <v>0.996865203761755</v>
      </c>
      <c r="AE677" s="72">
        <v>0.997395833333333</v>
      </c>
      <c r="AF677" s="72">
        <v>0.998449612403101</v>
      </c>
      <c r="AG677" s="72">
        <v>0.995359628770302</v>
      </c>
      <c r="AH677" s="74">
        <v>0.92</v>
      </c>
      <c r="AI677" s="72">
        <v>0.947225244831338</v>
      </c>
      <c r="AJ677" s="72">
        <v>0.959343691012052</v>
      </c>
      <c r="AK677" s="72">
        <v>0.960050818746471</v>
      </c>
      <c r="AL677" s="72">
        <v>0.960438860056451</v>
      </c>
      <c r="AM677" s="71">
        <v>0.99</v>
      </c>
      <c r="AN677" s="76">
        <v>1</v>
      </c>
      <c r="AO677" s="76">
        <v>1</v>
      </c>
      <c r="AP677" s="76">
        <v>1</v>
      </c>
      <c r="AQ677" s="76">
        <v>1</v>
      </c>
      <c r="AR677" s="96">
        <v>0.0810595228934205</v>
      </c>
      <c r="AS677" s="80">
        <v>0.111111111111111</v>
      </c>
      <c r="AT677" s="80">
        <v>0.105263157894737</v>
      </c>
      <c r="AU677" s="80">
        <v>0</v>
      </c>
      <c r="AV677" s="80">
        <v>0.0825242718446602</v>
      </c>
      <c r="AW677" s="36"/>
      <c r="AX677" s="34"/>
    </row>
    <row r="678" ht="14.5" spans="1:50">
      <c r="A678" s="32"/>
      <c r="B678" s="36"/>
      <c r="C678" s="91" t="s">
        <v>693</v>
      </c>
      <c r="D678" s="69" t="s">
        <v>21</v>
      </c>
      <c r="E678" s="114" t="s">
        <v>729</v>
      </c>
      <c r="F678" s="114" t="s">
        <v>729</v>
      </c>
      <c r="G678" s="114" t="s">
        <v>729</v>
      </c>
      <c r="H678" s="114" t="s">
        <v>729</v>
      </c>
      <c r="I678" s="71">
        <v>0.9</v>
      </c>
      <c r="J678" s="72">
        <v>0.833333333333333</v>
      </c>
      <c r="K678" s="72">
        <v>0.666666666666667</v>
      </c>
      <c r="L678" s="73">
        <v>0.75</v>
      </c>
      <c r="M678" s="72">
        <v>0.805555555555556</v>
      </c>
      <c r="N678" s="74">
        <v>0.9</v>
      </c>
      <c r="O678" s="72">
        <v>0.99327731092437</v>
      </c>
      <c r="P678" s="72">
        <v>0.987895716945996</v>
      </c>
      <c r="Q678" s="72">
        <v>0.988990825688073</v>
      </c>
      <c r="R678" s="72">
        <v>0.986431734665033</v>
      </c>
      <c r="S678" s="74">
        <v>0.9</v>
      </c>
      <c r="T678" s="72">
        <v>0.934453781512605</v>
      </c>
      <c r="U678" s="72">
        <v>0.932029795158287</v>
      </c>
      <c r="V678" s="72">
        <v>0.930275229357798</v>
      </c>
      <c r="W678" s="72">
        <v>0.938283237538867</v>
      </c>
      <c r="X678" s="74">
        <v>0.92</v>
      </c>
      <c r="Y678" s="74">
        <v>0.910769230769231</v>
      </c>
      <c r="Z678" s="74">
        <v>0.844984802431611</v>
      </c>
      <c r="AA678" s="74">
        <v>0.885714285714286</v>
      </c>
      <c r="AB678" s="74">
        <v>0.880569306930693</v>
      </c>
      <c r="AC678" s="74">
        <v>0.92</v>
      </c>
      <c r="AD678" s="72">
        <v>1</v>
      </c>
      <c r="AE678" s="72">
        <v>0.990990990990991</v>
      </c>
      <c r="AF678" s="72">
        <v>0.972602739726027</v>
      </c>
      <c r="AG678" s="72">
        <v>0.988388969521045</v>
      </c>
      <c r="AH678" s="74">
        <v>0.92</v>
      </c>
      <c r="AI678" s="72">
        <v>0.96039603960396</v>
      </c>
      <c r="AJ678" s="72">
        <v>0.944404846756949</v>
      </c>
      <c r="AK678" s="72">
        <v>0.959027777777778</v>
      </c>
      <c r="AL678" s="72">
        <v>0.957755632582322</v>
      </c>
      <c r="AM678" s="71">
        <v>0.99</v>
      </c>
      <c r="AN678" s="76">
        <v>1</v>
      </c>
      <c r="AO678" s="76">
        <v>1</v>
      </c>
      <c r="AP678" s="76">
        <v>1</v>
      </c>
      <c r="AQ678" s="76">
        <v>1</v>
      </c>
      <c r="AR678" s="96">
        <v>0.0810595228934205</v>
      </c>
      <c r="AS678" s="80">
        <v>0</v>
      </c>
      <c r="AT678" s="80">
        <v>0</v>
      </c>
      <c r="AU678" s="80">
        <v>0.142857142857143</v>
      </c>
      <c r="AV678" s="80">
        <v>0.0256410256410256</v>
      </c>
      <c r="AW678" s="36"/>
      <c r="AX678" s="34"/>
    </row>
    <row r="679" ht="14.5" spans="1:50">
      <c r="A679" s="32"/>
      <c r="B679" s="36"/>
      <c r="C679" s="91" t="s">
        <v>693</v>
      </c>
      <c r="D679" s="69" t="s">
        <v>21</v>
      </c>
      <c r="E679" s="114" t="s">
        <v>730</v>
      </c>
      <c r="F679" s="114" t="s">
        <v>730</v>
      </c>
      <c r="G679" s="114" t="s">
        <v>730</v>
      </c>
      <c r="H679" s="114" t="s">
        <v>730</v>
      </c>
      <c r="I679" s="71">
        <v>0.9</v>
      </c>
      <c r="J679" s="72">
        <v>0.826086956521739</v>
      </c>
      <c r="K679" s="72">
        <v>0.863636363636364</v>
      </c>
      <c r="L679" s="73">
        <v>0.875</v>
      </c>
      <c r="M679" s="72">
        <v>0.831683168316832</v>
      </c>
      <c r="N679" s="74">
        <v>0.9</v>
      </c>
      <c r="O679" s="72">
        <v>0.884593837535014</v>
      </c>
      <c r="P679" s="72">
        <v>0.873055382700685</v>
      </c>
      <c r="Q679" s="72">
        <v>0.940049443757726</v>
      </c>
      <c r="R679" s="72">
        <v>0.892302587923026</v>
      </c>
      <c r="S679" s="74">
        <v>0.9</v>
      </c>
      <c r="T679" s="72">
        <v>0.890756302521008</v>
      </c>
      <c r="U679" s="72">
        <v>0.901057871810828</v>
      </c>
      <c r="V679" s="72">
        <v>0.895550061804697</v>
      </c>
      <c r="W679" s="72">
        <v>0.899668214996682</v>
      </c>
      <c r="X679" s="74">
        <v>0.92</v>
      </c>
      <c r="Y679" s="74">
        <v>0.83921568627451</v>
      </c>
      <c r="Z679" s="74">
        <v>0.8984375</v>
      </c>
      <c r="AA679" s="74">
        <v>0.858627858627859</v>
      </c>
      <c r="AB679" s="74">
        <v>0.878853201120931</v>
      </c>
      <c r="AC679" s="74">
        <v>0.92</v>
      </c>
      <c r="AD679" s="72">
        <v>0.971428571428571</v>
      </c>
      <c r="AE679" s="72">
        <v>0.961538461538462</v>
      </c>
      <c r="AF679" s="72">
        <v>1</v>
      </c>
      <c r="AG679" s="72">
        <v>0.974763406940063</v>
      </c>
      <c r="AH679" s="74">
        <v>0.92</v>
      </c>
      <c r="AI679" s="72">
        <v>0.908932461873638</v>
      </c>
      <c r="AJ679" s="72">
        <v>0.9443133553563</v>
      </c>
      <c r="AK679" s="72">
        <v>0.933301572177227</v>
      </c>
      <c r="AL679" s="72">
        <v>0.933891425672248</v>
      </c>
      <c r="AM679" s="71">
        <v>0.99</v>
      </c>
      <c r="AN679" s="76">
        <v>1</v>
      </c>
      <c r="AO679" s="76">
        <v>1</v>
      </c>
      <c r="AP679" s="76">
        <v>1</v>
      </c>
      <c r="AQ679" s="76">
        <v>1</v>
      </c>
      <c r="AR679" s="96">
        <v>0.0810595228934205</v>
      </c>
      <c r="AS679" s="80">
        <v>0</v>
      </c>
      <c r="AT679" s="80">
        <v>0.333333333333333</v>
      </c>
      <c r="AU679" s="80">
        <v>0.333333333333333</v>
      </c>
      <c r="AV679" s="80">
        <v>0.0961538461538462</v>
      </c>
      <c r="AW679" s="36"/>
      <c r="AX679" s="34"/>
    </row>
    <row r="680" ht="14.5" spans="1:50">
      <c r="A680" s="32"/>
      <c r="B680" s="36"/>
      <c r="C680" s="91" t="s">
        <v>693</v>
      </c>
      <c r="D680" s="69" t="s">
        <v>21</v>
      </c>
      <c r="E680" s="114" t="s">
        <v>731</v>
      </c>
      <c r="F680" s="114" t="s">
        <v>731</v>
      </c>
      <c r="G680" s="114" t="s">
        <v>731</v>
      </c>
      <c r="H680" s="114" t="s">
        <v>731</v>
      </c>
      <c r="I680" s="71">
        <v>0.9</v>
      </c>
      <c r="J680" s="72">
        <v>0.866666666666667</v>
      </c>
      <c r="K680" s="72">
        <v>0.939393939393939</v>
      </c>
      <c r="L680" s="73">
        <v>0.911764705882353</v>
      </c>
      <c r="M680" s="72">
        <v>0.925675675675676</v>
      </c>
      <c r="N680" s="74">
        <v>0.9</v>
      </c>
      <c r="O680" s="72">
        <v>0.97177969959035</v>
      </c>
      <c r="P680" s="72">
        <v>0.946285140562249</v>
      </c>
      <c r="Q680" s="72">
        <v>0.97468958930277</v>
      </c>
      <c r="R680" s="72">
        <v>0.970746961214505</v>
      </c>
      <c r="S680" s="74">
        <v>0.9</v>
      </c>
      <c r="T680" s="72">
        <v>0.931725079654074</v>
      </c>
      <c r="U680" s="72">
        <v>0.916164658634538</v>
      </c>
      <c r="V680" s="72">
        <v>0.941260744985673</v>
      </c>
      <c r="W680" s="72">
        <v>0.937156402884955</v>
      </c>
      <c r="X680" s="74">
        <v>0.92</v>
      </c>
      <c r="Y680" s="74">
        <v>0.902597402597403</v>
      </c>
      <c r="Z680" s="74">
        <v>0.928870292887029</v>
      </c>
      <c r="AA680" s="74">
        <v>0.932203389830508</v>
      </c>
      <c r="AB680" s="74">
        <v>0.92841163310962</v>
      </c>
      <c r="AC680" s="74">
        <v>0.92</v>
      </c>
      <c r="AD680" s="72">
        <v>1</v>
      </c>
      <c r="AE680" s="72">
        <v>0.995381062355658</v>
      </c>
      <c r="AF680" s="72">
        <v>1</v>
      </c>
      <c r="AG680" s="72">
        <v>0.995212765957447</v>
      </c>
      <c r="AH680" s="74">
        <v>0.92</v>
      </c>
      <c r="AI680" s="72">
        <v>0.942430703624733</v>
      </c>
      <c r="AJ680" s="72">
        <v>0.946125461254612</v>
      </c>
      <c r="AK680" s="72">
        <v>0.958271236959762</v>
      </c>
      <c r="AL680" s="72">
        <v>0.957845433255269</v>
      </c>
      <c r="AM680" s="71">
        <v>0.99</v>
      </c>
      <c r="AN680" s="76">
        <v>1</v>
      </c>
      <c r="AO680" s="76">
        <v>1</v>
      </c>
      <c r="AP680" s="76">
        <v>1</v>
      </c>
      <c r="AQ680" s="76">
        <v>1</v>
      </c>
      <c r="AR680" s="96">
        <v>0.0810595228934205</v>
      </c>
      <c r="AS680" s="80">
        <v>0</v>
      </c>
      <c r="AT680" s="80">
        <v>0.111111111111111</v>
      </c>
      <c r="AU680" s="80">
        <v>0</v>
      </c>
      <c r="AV680" s="80">
        <v>0.0816326530612245</v>
      </c>
      <c r="AW680" s="36"/>
      <c r="AX680" s="34"/>
    </row>
    <row r="681" ht="14.5" spans="1:50">
      <c r="A681" s="32"/>
      <c r="B681" s="36"/>
      <c r="C681" s="91" t="s">
        <v>693</v>
      </c>
      <c r="D681" s="69" t="s">
        <v>21</v>
      </c>
      <c r="E681" s="114" t="s">
        <v>732</v>
      </c>
      <c r="F681" s="114" t="s">
        <v>732</v>
      </c>
      <c r="G681" s="114" t="s">
        <v>732</v>
      </c>
      <c r="H681" s="114" t="s">
        <v>732</v>
      </c>
      <c r="I681" s="71">
        <v>0.9</v>
      </c>
      <c r="J681" s="72">
        <v>0.777777777777778</v>
      </c>
      <c r="K681" s="72">
        <v>0.9</v>
      </c>
      <c r="L681" s="73">
        <v>0.80952380952381</v>
      </c>
      <c r="M681" s="72">
        <v>0.850828729281768</v>
      </c>
      <c r="N681" s="74">
        <v>0.9</v>
      </c>
      <c r="O681" s="72">
        <v>0.923420074349442</v>
      </c>
      <c r="P681" s="72">
        <v>0.971997052321297</v>
      </c>
      <c r="Q681" s="72">
        <v>0.975848563968668</v>
      </c>
      <c r="R681" s="72">
        <v>0.967644390686423</v>
      </c>
      <c r="S681" s="74">
        <v>0.9</v>
      </c>
      <c r="T681" s="72">
        <v>0.915985130111524</v>
      </c>
      <c r="U681" s="72">
        <v>0.938098747236551</v>
      </c>
      <c r="V681" s="72">
        <v>0.932114882506527</v>
      </c>
      <c r="W681" s="72">
        <v>0.938237072875718</v>
      </c>
      <c r="X681" s="74">
        <v>0.92</v>
      </c>
      <c r="Y681" s="74">
        <v>0.92</v>
      </c>
      <c r="Z681" s="74">
        <v>0.951648351648352</v>
      </c>
      <c r="AA681" s="74">
        <v>0.953051643192488</v>
      </c>
      <c r="AB681" s="74">
        <v>0.94270974748846</v>
      </c>
      <c r="AC681" s="74">
        <v>0.92</v>
      </c>
      <c r="AD681" s="72">
        <v>1</v>
      </c>
      <c r="AE681" s="72">
        <v>1</v>
      </c>
      <c r="AF681" s="72">
        <v>0.996661101836394</v>
      </c>
      <c r="AG681" s="72">
        <v>0.998331595411887</v>
      </c>
      <c r="AH681" s="74">
        <v>0.92</v>
      </c>
      <c r="AI681" s="72">
        <v>0.943839541547278</v>
      </c>
      <c r="AJ681" s="72">
        <v>0.962472406181015</v>
      </c>
      <c r="AK681" s="72">
        <v>0.957099080694586</v>
      </c>
      <c r="AL681" s="72">
        <v>0.961033585619678</v>
      </c>
      <c r="AM681" s="71">
        <v>0.99</v>
      </c>
      <c r="AN681" s="76">
        <v>1</v>
      </c>
      <c r="AO681" s="76">
        <v>1</v>
      </c>
      <c r="AP681" s="76">
        <v>1</v>
      </c>
      <c r="AQ681" s="76">
        <v>1</v>
      </c>
      <c r="AR681" s="96">
        <v>0.0810595228934205</v>
      </c>
      <c r="AS681" s="80">
        <v>0</v>
      </c>
      <c r="AT681" s="80">
        <v>0</v>
      </c>
      <c r="AU681" s="80">
        <v>0.1</v>
      </c>
      <c r="AV681" s="80">
        <v>0.0471698113207547</v>
      </c>
      <c r="AW681" s="36"/>
      <c r="AX681" s="34"/>
    </row>
    <row r="682" ht="14.5" spans="1:50">
      <c r="A682" s="32"/>
      <c r="B682" s="36"/>
      <c r="C682" s="91" t="s">
        <v>693</v>
      </c>
      <c r="D682" s="69" t="s">
        <v>21</v>
      </c>
      <c r="E682" s="114" t="s">
        <v>733</v>
      </c>
      <c r="F682" s="114" t="s">
        <v>733</v>
      </c>
      <c r="G682" s="114" t="s">
        <v>733</v>
      </c>
      <c r="H682" s="114" t="s">
        <v>733</v>
      </c>
      <c r="I682" s="71">
        <v>0.9</v>
      </c>
      <c r="J682" s="72">
        <v>0.961538461538462</v>
      </c>
      <c r="K682" s="72">
        <v>0.966666666666667</v>
      </c>
      <c r="L682" s="73">
        <v>0.90625</v>
      </c>
      <c r="M682" s="72">
        <v>0.925650557620818</v>
      </c>
      <c r="N682" s="74">
        <v>0.9</v>
      </c>
      <c r="O682" s="72">
        <v>0.871866295264624</v>
      </c>
      <c r="P682" s="72">
        <v>0.921006021962451</v>
      </c>
      <c r="Q682" s="72">
        <v>0.964878048780488</v>
      </c>
      <c r="R682" s="72">
        <v>0.939720244696455</v>
      </c>
      <c r="S682" s="74">
        <v>0.9</v>
      </c>
      <c r="T682" s="72">
        <v>0.86908077994429</v>
      </c>
      <c r="U682" s="72">
        <v>0.914275593340418</v>
      </c>
      <c r="V682" s="72">
        <v>0.92260162601626</v>
      </c>
      <c r="W682" s="72">
        <v>0.920724072550352</v>
      </c>
      <c r="X682" s="74">
        <v>0.92</v>
      </c>
      <c r="Y682" s="74">
        <v>0.915942028985507</v>
      </c>
      <c r="Z682" s="74">
        <v>0.922888616891065</v>
      </c>
      <c r="AA682" s="74">
        <v>0.926401869158878</v>
      </c>
      <c r="AB682" s="74">
        <v>0.934932533733133</v>
      </c>
      <c r="AC682" s="74">
        <v>0.92</v>
      </c>
      <c r="AD682" s="72">
        <v>0.993150684931507</v>
      </c>
      <c r="AE682" s="72">
        <v>0.990291262135922</v>
      </c>
      <c r="AF682" s="72">
        <v>0.997150997150997</v>
      </c>
      <c r="AG682" s="72">
        <v>0.992513676936366</v>
      </c>
      <c r="AH682" s="74">
        <v>0.92</v>
      </c>
      <c r="AI682" s="72">
        <v>0.934710533027289</v>
      </c>
      <c r="AJ682" s="72">
        <v>0.952472527472527</v>
      </c>
      <c r="AK682" s="72">
        <v>0.949122360722462</v>
      </c>
      <c r="AL682" s="72">
        <v>0.957231142428093</v>
      </c>
      <c r="AM682" s="71">
        <v>0.99</v>
      </c>
      <c r="AN682" s="76">
        <v>1</v>
      </c>
      <c r="AO682" s="76">
        <v>1</v>
      </c>
      <c r="AP682" s="76">
        <v>1</v>
      </c>
      <c r="AQ682" s="76">
        <v>1</v>
      </c>
      <c r="AR682" s="96">
        <v>0.0810595228934205</v>
      </c>
      <c r="AS682" s="80">
        <v>0.0769230769230769</v>
      </c>
      <c r="AT682" s="80">
        <v>-0.0625</v>
      </c>
      <c r="AU682" s="80">
        <v>0</v>
      </c>
      <c r="AV682" s="80">
        <v>0.0317460317460317</v>
      </c>
      <c r="AW682" s="36"/>
      <c r="AX682" s="34"/>
    </row>
    <row r="683" ht="14.5" spans="1:50">
      <c r="A683" s="32"/>
      <c r="B683" s="36"/>
      <c r="C683" s="91" t="s">
        <v>693</v>
      </c>
      <c r="D683" s="69" t="s">
        <v>21</v>
      </c>
      <c r="E683" s="114" t="s">
        <v>734</v>
      </c>
      <c r="F683" s="114" t="s">
        <v>734</v>
      </c>
      <c r="G683" s="114" t="s">
        <v>734</v>
      </c>
      <c r="H683" s="114" t="s">
        <v>734</v>
      </c>
      <c r="I683" s="71">
        <v>0.9</v>
      </c>
      <c r="J683" s="72">
        <v>0.869565217391304</v>
      </c>
      <c r="K683" s="72">
        <v>0.916666666666667</v>
      </c>
      <c r="L683" s="73">
        <v>0.923076923076923</v>
      </c>
      <c r="M683" s="72">
        <v>0.93953488372093</v>
      </c>
      <c r="N683" s="74">
        <v>0.9</v>
      </c>
      <c r="O683" s="72">
        <v>0.947513812154696</v>
      </c>
      <c r="P683" s="72">
        <v>0.943788379782711</v>
      </c>
      <c r="Q683" s="72">
        <v>0.947173308619092</v>
      </c>
      <c r="R683" s="72">
        <v>0.938305047266294</v>
      </c>
      <c r="S683" s="74">
        <v>0.9</v>
      </c>
      <c r="T683" s="72">
        <v>0.906537753222836</v>
      </c>
      <c r="U683" s="72">
        <v>0.894189891355692</v>
      </c>
      <c r="V683" s="72">
        <v>0.93466172381835</v>
      </c>
      <c r="W683" s="72">
        <v>0.917961191884571</v>
      </c>
      <c r="X683" s="74">
        <v>0.92</v>
      </c>
      <c r="Y683" s="74">
        <v>0.91500904159132</v>
      </c>
      <c r="Z683" s="74">
        <v>0.919736842105263</v>
      </c>
      <c r="AA683" s="74">
        <v>0.935691318327974</v>
      </c>
      <c r="AB683" s="74">
        <v>0.917609688306532</v>
      </c>
      <c r="AC683" s="74">
        <v>0.92</v>
      </c>
      <c r="AD683" s="72">
        <v>1</v>
      </c>
      <c r="AE683" s="72">
        <v>0.994334277620397</v>
      </c>
      <c r="AF683" s="72">
        <v>0.991031390134529</v>
      </c>
      <c r="AG683" s="72">
        <v>0.995327102803738</v>
      </c>
      <c r="AH683" s="74">
        <v>0.92</v>
      </c>
      <c r="AI683" s="72">
        <v>0.938715596330275</v>
      </c>
      <c r="AJ683" s="72">
        <v>0.950643030935002</v>
      </c>
      <c r="AK683" s="72">
        <v>0.96655879180151</v>
      </c>
      <c r="AL683" s="72">
        <v>0.953820210143988</v>
      </c>
      <c r="AM683" s="71">
        <v>0.99</v>
      </c>
      <c r="AN683" s="76">
        <v>1</v>
      </c>
      <c r="AO683" s="76">
        <v>1</v>
      </c>
      <c r="AP683" s="76">
        <v>1</v>
      </c>
      <c r="AQ683" s="76">
        <v>1</v>
      </c>
      <c r="AR683" s="96">
        <v>0.0810595228934205</v>
      </c>
      <c r="AS683" s="80">
        <v>0</v>
      </c>
      <c r="AT683" s="80">
        <v>0.0833333333333333</v>
      </c>
      <c r="AU683" s="80">
        <v>0</v>
      </c>
      <c r="AV683" s="80">
        <v>0.0588235294117647</v>
      </c>
      <c r="AW683" s="36"/>
      <c r="AX683" s="34"/>
    </row>
    <row r="684" ht="14.5" spans="1:50">
      <c r="A684" s="32"/>
      <c r="B684" s="36"/>
      <c r="C684" s="91" t="s">
        <v>693</v>
      </c>
      <c r="D684" s="69" t="s">
        <v>21</v>
      </c>
      <c r="E684" s="114" t="s">
        <v>735</v>
      </c>
      <c r="F684" s="114" t="s">
        <v>735</v>
      </c>
      <c r="G684" s="114" t="s">
        <v>735</v>
      </c>
      <c r="H684" s="114" t="s">
        <v>735</v>
      </c>
      <c r="I684" s="71">
        <v>0.9</v>
      </c>
      <c r="J684" s="72">
        <v>0.875</v>
      </c>
      <c r="K684" s="72">
        <v>0.892857142857143</v>
      </c>
      <c r="L684" s="73">
        <v>0.866666666666667</v>
      </c>
      <c r="M684" s="72">
        <v>0.891050583657588</v>
      </c>
      <c r="N684" s="74">
        <v>0.9</v>
      </c>
      <c r="O684" s="72">
        <v>0.848642172523962</v>
      </c>
      <c r="P684" s="72">
        <v>0.900785448532451</v>
      </c>
      <c r="Q684" s="72">
        <v>0.921997523730912</v>
      </c>
      <c r="R684" s="72">
        <v>0.903470569748126</v>
      </c>
      <c r="S684" s="74">
        <v>0.9</v>
      </c>
      <c r="T684" s="72">
        <v>0.89297124600639</v>
      </c>
      <c r="U684" s="72">
        <v>0.941298057048367</v>
      </c>
      <c r="V684" s="72">
        <v>0.937267849773009</v>
      </c>
      <c r="W684" s="72">
        <v>0.935437525254793</v>
      </c>
      <c r="X684" s="74">
        <v>0.92</v>
      </c>
      <c r="Y684" s="74">
        <v>0.936054421768707</v>
      </c>
      <c r="Z684" s="74">
        <v>0.939580764488286</v>
      </c>
      <c r="AA684" s="74">
        <v>0.94574780058651</v>
      </c>
      <c r="AB684" s="74">
        <v>0.939073923639318</v>
      </c>
      <c r="AC684" s="74">
        <v>0.92</v>
      </c>
      <c r="AD684" s="72">
        <v>0.982222222222222</v>
      </c>
      <c r="AE684" s="72">
        <v>0.989208633093525</v>
      </c>
      <c r="AF684" s="72">
        <v>0.996383363471971</v>
      </c>
      <c r="AG684" s="72">
        <v>0.995816929133858</v>
      </c>
      <c r="AH684" s="74">
        <v>0.92</v>
      </c>
      <c r="AI684" s="72">
        <v>0.948765432098765</v>
      </c>
      <c r="AJ684" s="72">
        <v>0.963777089783282</v>
      </c>
      <c r="AK684" s="72">
        <v>0.964906632324533</v>
      </c>
      <c r="AL684" s="72">
        <v>0.961309837853048</v>
      </c>
      <c r="AM684" s="71">
        <v>0.99</v>
      </c>
      <c r="AN684" s="76">
        <v>1</v>
      </c>
      <c r="AO684" s="76">
        <v>1</v>
      </c>
      <c r="AP684" s="76">
        <v>1</v>
      </c>
      <c r="AQ684" s="76">
        <v>1</v>
      </c>
      <c r="AR684" s="96">
        <v>0.0810595228934205</v>
      </c>
      <c r="AS684" s="80">
        <v>0</v>
      </c>
      <c r="AT684" s="80">
        <v>0</v>
      </c>
      <c r="AU684" s="80">
        <v>0</v>
      </c>
      <c r="AV684" s="80">
        <v>0.0309278350515464</v>
      </c>
      <c r="AW684" s="36"/>
      <c r="AX684" s="34"/>
    </row>
    <row r="685" ht="14.5" spans="1:50">
      <c r="A685" s="32"/>
      <c r="B685" s="36"/>
      <c r="C685" s="91" t="s">
        <v>693</v>
      </c>
      <c r="D685" s="69" t="s">
        <v>21</v>
      </c>
      <c r="E685" s="114" t="s">
        <v>736</v>
      </c>
      <c r="F685" s="114" t="s">
        <v>736</v>
      </c>
      <c r="G685" s="114" t="s">
        <v>736</v>
      </c>
      <c r="H685" s="114" t="s">
        <v>736</v>
      </c>
      <c r="I685" s="71">
        <v>0.9</v>
      </c>
      <c r="J685" s="72">
        <v>0.947368421052632</v>
      </c>
      <c r="K685" s="72">
        <v>1</v>
      </c>
      <c r="L685" s="73">
        <v>1</v>
      </c>
      <c r="M685" s="72">
        <v>0.971751412429379</v>
      </c>
      <c r="N685" s="74">
        <v>0.9</v>
      </c>
      <c r="O685" s="72">
        <v>0.975100942126514</v>
      </c>
      <c r="P685" s="72">
        <v>0.986577181208054</v>
      </c>
      <c r="Q685" s="72">
        <v>0.989816700610998</v>
      </c>
      <c r="R685" s="72">
        <v>0.978820628127947</v>
      </c>
      <c r="S685" s="74">
        <v>0.9</v>
      </c>
      <c r="T685" s="72">
        <v>0.94885598923284</v>
      </c>
      <c r="U685" s="72">
        <v>0.969798657718121</v>
      </c>
      <c r="V685" s="72">
        <v>0.970807875084861</v>
      </c>
      <c r="W685" s="72">
        <v>0.960397475883078</v>
      </c>
      <c r="X685" s="74">
        <v>0.92</v>
      </c>
      <c r="Y685" s="74">
        <v>0.835654596100279</v>
      </c>
      <c r="Z685" s="74">
        <v>0.897750511247444</v>
      </c>
      <c r="AA685" s="74">
        <v>0.836538461538462</v>
      </c>
      <c r="AB685" s="74">
        <v>0.871878393051032</v>
      </c>
      <c r="AC685" s="74">
        <v>0.92</v>
      </c>
      <c r="AD685" s="72">
        <v>1</v>
      </c>
      <c r="AE685" s="72">
        <v>0.996031746031746</v>
      </c>
      <c r="AF685" s="72">
        <v>0.991596638655462</v>
      </c>
      <c r="AG685" s="72">
        <v>0.995042141794745</v>
      </c>
      <c r="AH685" s="74">
        <v>0.92</v>
      </c>
      <c r="AI685" s="72">
        <v>0.934959349593496</v>
      </c>
      <c r="AJ685" s="72">
        <v>0.959575543203638</v>
      </c>
      <c r="AK685" s="72">
        <v>0.94973544973545</v>
      </c>
      <c r="AL685" s="72">
        <v>0.954384157509158</v>
      </c>
      <c r="AM685" s="71">
        <v>0.99</v>
      </c>
      <c r="AN685" s="76">
        <v>1</v>
      </c>
      <c r="AO685" s="76">
        <v>1</v>
      </c>
      <c r="AP685" s="76">
        <v>1</v>
      </c>
      <c r="AQ685" s="76">
        <v>1</v>
      </c>
      <c r="AR685" s="96">
        <v>0.0810595228934205</v>
      </c>
      <c r="AS685" s="80">
        <v>0</v>
      </c>
      <c r="AT685" s="80">
        <v>0</v>
      </c>
      <c r="AU685" s="80">
        <v>0.1</v>
      </c>
      <c r="AV685" s="80">
        <v>0.0319148936170213</v>
      </c>
      <c r="AW685" s="36"/>
      <c r="AX685" s="34"/>
    </row>
    <row r="686" ht="14.5" spans="1:50">
      <c r="A686" s="32"/>
      <c r="B686" s="36"/>
      <c r="C686" s="91" t="s">
        <v>693</v>
      </c>
      <c r="D686" s="69" t="s">
        <v>21</v>
      </c>
      <c r="E686" s="114" t="s">
        <v>737</v>
      </c>
      <c r="F686" s="114" t="s">
        <v>737</v>
      </c>
      <c r="G686" s="114" t="s">
        <v>737</v>
      </c>
      <c r="H686" s="114" t="s">
        <v>737</v>
      </c>
      <c r="I686" s="71">
        <v>0.9</v>
      </c>
      <c r="J686" s="72">
        <v>0.945945945945946</v>
      </c>
      <c r="K686" s="72">
        <v>0.902439024390244</v>
      </c>
      <c r="L686" s="73">
        <v>0.883720930232558</v>
      </c>
      <c r="M686" s="72">
        <v>0.899721448467967</v>
      </c>
      <c r="N686" s="74">
        <v>0.9</v>
      </c>
      <c r="O686" s="72">
        <v>0.955965909090909</v>
      </c>
      <c r="P686" s="72">
        <v>0.961720974375198</v>
      </c>
      <c r="Q686" s="72">
        <v>0.97987987987988</v>
      </c>
      <c r="R686" s="72">
        <v>0.953391607263813</v>
      </c>
      <c r="S686" s="74">
        <v>0.9</v>
      </c>
      <c r="T686" s="72">
        <v>0.908238636363636</v>
      </c>
      <c r="U686" s="72">
        <v>0.942106928187282</v>
      </c>
      <c r="V686" s="72">
        <v>0.956756756756757</v>
      </c>
      <c r="W686" s="72">
        <v>0.935844918233719</v>
      </c>
      <c r="X686" s="74">
        <v>0.92</v>
      </c>
      <c r="Y686" s="74">
        <v>0.881693648816936</v>
      </c>
      <c r="Z686" s="74">
        <v>0.935123042505593</v>
      </c>
      <c r="AA686" s="74">
        <v>0.951100244498778</v>
      </c>
      <c r="AB686" s="74">
        <v>0.930532445923461</v>
      </c>
      <c r="AC686" s="74">
        <v>0.92</v>
      </c>
      <c r="AD686" s="72">
        <v>0.993197278911565</v>
      </c>
      <c r="AE686" s="72">
        <v>0.994052676295667</v>
      </c>
      <c r="AF686" s="72">
        <v>0.998157531091663</v>
      </c>
      <c r="AG686" s="72">
        <v>0.99696670963828</v>
      </c>
      <c r="AH686" s="74">
        <v>0.92</v>
      </c>
      <c r="AI686" s="72">
        <v>0.925052047189452</v>
      </c>
      <c r="AJ686" s="72">
        <v>0.959072978303747</v>
      </c>
      <c r="AK686" s="72">
        <v>0.971077368040492</v>
      </c>
      <c r="AL686" s="72">
        <v>0.956092838265693</v>
      </c>
      <c r="AM686" s="71">
        <v>0.99</v>
      </c>
      <c r="AN686" s="76">
        <v>1</v>
      </c>
      <c r="AO686" s="76">
        <v>1</v>
      </c>
      <c r="AP686" s="76">
        <v>1</v>
      </c>
      <c r="AQ686" s="76">
        <v>1</v>
      </c>
      <c r="AR686" s="96">
        <v>0.0810595228934205</v>
      </c>
      <c r="AS686" s="80">
        <v>0</v>
      </c>
      <c r="AT686" s="80">
        <v>0.25</v>
      </c>
      <c r="AU686" s="80">
        <v>0</v>
      </c>
      <c r="AV686" s="80">
        <v>0.0604026845637584</v>
      </c>
      <c r="AW686" s="36"/>
      <c r="AX686" s="34"/>
    </row>
    <row r="687" ht="14.5" spans="1:50">
      <c r="A687" s="32"/>
      <c r="B687" s="36"/>
      <c r="C687" s="91" t="s">
        <v>693</v>
      </c>
      <c r="D687" s="69" t="s">
        <v>21</v>
      </c>
      <c r="E687" s="114" t="s">
        <v>738</v>
      </c>
      <c r="F687" s="114" t="s">
        <v>738</v>
      </c>
      <c r="G687" s="114" t="s">
        <v>738</v>
      </c>
      <c r="H687" s="114" t="s">
        <v>738</v>
      </c>
      <c r="I687" s="71">
        <v>0.9</v>
      </c>
      <c r="J687" s="72">
        <v>0.956521739130435</v>
      </c>
      <c r="K687" s="72">
        <v>0.91304347826087</v>
      </c>
      <c r="L687" s="73">
        <v>1</v>
      </c>
      <c r="M687" s="72">
        <v>0.986486486486487</v>
      </c>
      <c r="N687" s="74">
        <v>0.9</v>
      </c>
      <c r="O687" s="72">
        <v>0.950410396716826</v>
      </c>
      <c r="P687" s="72">
        <v>0.974569640062598</v>
      </c>
      <c r="Q687" s="72">
        <v>0.962148521989906</v>
      </c>
      <c r="R687" s="72">
        <v>0.966883411462271</v>
      </c>
      <c r="S687" s="74">
        <v>0.9</v>
      </c>
      <c r="T687" s="72">
        <v>0.939808481532148</v>
      </c>
      <c r="U687" s="72">
        <v>0.926447574334898</v>
      </c>
      <c r="V687" s="72">
        <v>0.941240086517664</v>
      </c>
      <c r="W687" s="72">
        <v>0.943180099803418</v>
      </c>
      <c r="X687" s="74">
        <v>0.92</v>
      </c>
      <c r="Y687" s="74">
        <v>0.945876288659794</v>
      </c>
      <c r="Z687" s="74">
        <v>0.95796178343949</v>
      </c>
      <c r="AA687" s="74">
        <v>0.914739884393064</v>
      </c>
      <c r="AB687" s="74">
        <v>0.952476780185759</v>
      </c>
      <c r="AC687" s="74">
        <v>0.92</v>
      </c>
      <c r="AD687" s="72">
        <v>0.994736842105263</v>
      </c>
      <c r="AE687" s="72">
        <v>0.992094861660079</v>
      </c>
      <c r="AF687" s="72">
        <v>0.996197718631179</v>
      </c>
      <c r="AG687" s="72">
        <v>0.993713733075435</v>
      </c>
      <c r="AH687" s="74">
        <v>0.92</v>
      </c>
      <c r="AI687" s="72">
        <v>0.959189189189189</v>
      </c>
      <c r="AJ687" s="72">
        <v>0.964980544747082</v>
      </c>
      <c r="AK687" s="72">
        <v>0.95931909982689</v>
      </c>
      <c r="AL687" s="72">
        <v>0.968674991644639</v>
      </c>
      <c r="AM687" s="71">
        <v>0.99</v>
      </c>
      <c r="AN687" s="76">
        <v>1</v>
      </c>
      <c r="AO687" s="76">
        <v>1</v>
      </c>
      <c r="AP687" s="76">
        <v>1</v>
      </c>
      <c r="AQ687" s="76">
        <v>1</v>
      </c>
      <c r="AR687" s="96">
        <v>0.0810595228934205</v>
      </c>
      <c r="AS687" s="80">
        <v>0</v>
      </c>
      <c r="AT687" s="80">
        <v>0</v>
      </c>
      <c r="AU687" s="80">
        <v>0</v>
      </c>
      <c r="AV687" s="80">
        <v>0</v>
      </c>
      <c r="AW687" s="36"/>
      <c r="AX687" s="34"/>
    </row>
    <row r="688" ht="14.5" spans="1:50">
      <c r="A688" s="32"/>
      <c r="B688" s="36"/>
      <c r="C688" s="91" t="s">
        <v>693</v>
      </c>
      <c r="D688" s="69" t="s">
        <v>21</v>
      </c>
      <c r="E688" s="114" t="s">
        <v>739</v>
      </c>
      <c r="F688" s="114" t="s">
        <v>739</v>
      </c>
      <c r="G688" s="114" t="s">
        <v>739</v>
      </c>
      <c r="H688" s="114" t="s">
        <v>739</v>
      </c>
      <c r="I688" s="71">
        <v>0.9</v>
      </c>
      <c r="J688" s="72">
        <v>0.915254237288136</v>
      </c>
      <c r="K688" s="72">
        <v>0.953125</v>
      </c>
      <c r="L688" s="73">
        <v>0.939393939393939</v>
      </c>
      <c r="M688" s="72">
        <v>0.953900709219858</v>
      </c>
      <c r="N688" s="74">
        <v>0.9</v>
      </c>
      <c r="O688" s="72">
        <v>0.941957255343082</v>
      </c>
      <c r="P688" s="72">
        <v>0.941546343735445</v>
      </c>
      <c r="Q688" s="72">
        <v>0.974155069582505</v>
      </c>
      <c r="R688" s="72">
        <v>0.958234347459575</v>
      </c>
      <c r="S688" s="74">
        <v>0.9</v>
      </c>
      <c r="T688" s="72">
        <v>0.892238470191226</v>
      </c>
      <c r="U688" s="72">
        <v>0.936655798789008</v>
      </c>
      <c r="V688" s="72">
        <v>0.945880273912083</v>
      </c>
      <c r="W688" s="72">
        <v>0.932791784811097</v>
      </c>
      <c r="X688" s="74">
        <v>0.92</v>
      </c>
      <c r="Y688" s="74">
        <v>0.872222222222222</v>
      </c>
      <c r="Z688" s="74">
        <v>0.899556868537666</v>
      </c>
      <c r="AA688" s="74">
        <v>0.925078864353312</v>
      </c>
      <c r="AB688" s="74">
        <v>0.900675024108004</v>
      </c>
      <c r="AC688" s="74">
        <v>0.92</v>
      </c>
      <c r="AD688" s="72">
        <v>0.997357992073976</v>
      </c>
      <c r="AE688" s="72">
        <v>0.995666666666667</v>
      </c>
      <c r="AF688" s="72">
        <v>0.996682960893855</v>
      </c>
      <c r="AG688" s="72">
        <v>0.996508103834497</v>
      </c>
      <c r="AH688" s="74">
        <v>0.92</v>
      </c>
      <c r="AI688" s="72">
        <v>0.919978987918053</v>
      </c>
      <c r="AJ688" s="72">
        <v>0.947060906515581</v>
      </c>
      <c r="AK688" s="72">
        <v>0.955682014140369</v>
      </c>
      <c r="AL688" s="72">
        <v>0.948431760384289</v>
      </c>
      <c r="AM688" s="71">
        <v>0.99</v>
      </c>
      <c r="AN688" s="76">
        <v>1</v>
      </c>
      <c r="AO688" s="76">
        <v>1</v>
      </c>
      <c r="AP688" s="76">
        <v>1</v>
      </c>
      <c r="AQ688" s="76">
        <v>1</v>
      </c>
      <c r="AR688" s="96">
        <v>0.0810595228934205</v>
      </c>
      <c r="AS688" s="80">
        <v>0.0217391304347826</v>
      </c>
      <c r="AT688" s="80">
        <v>0.0465116279069767</v>
      </c>
      <c r="AU688" s="80">
        <v>0.0192307692307692</v>
      </c>
      <c r="AV688" s="80">
        <v>0.0329411764705882</v>
      </c>
      <c r="AW688" s="36"/>
      <c r="AX688" s="34"/>
    </row>
    <row r="689" ht="14.5" spans="1:50">
      <c r="A689" s="32"/>
      <c r="B689" s="36"/>
      <c r="C689" s="91" t="s">
        <v>693</v>
      </c>
      <c r="D689" s="69" t="s">
        <v>21</v>
      </c>
      <c r="E689" s="114" t="s">
        <v>740</v>
      </c>
      <c r="F689" s="114" t="s">
        <v>740</v>
      </c>
      <c r="G689" s="114" t="s">
        <v>740</v>
      </c>
      <c r="H689" s="114" t="s">
        <v>740</v>
      </c>
      <c r="I689" s="71">
        <v>0.9</v>
      </c>
      <c r="J689" s="72">
        <v>1</v>
      </c>
      <c r="K689" s="72">
        <v>0.962962962962963</v>
      </c>
      <c r="L689" s="73">
        <v>1</v>
      </c>
      <c r="M689" s="72">
        <v>0.979508196721312</v>
      </c>
      <c r="N689" s="74">
        <v>0.9</v>
      </c>
      <c r="O689" s="72">
        <v>0.964154411764706</v>
      </c>
      <c r="P689" s="72">
        <v>0.941119691119691</v>
      </c>
      <c r="Q689" s="72">
        <v>0.959548447789276</v>
      </c>
      <c r="R689" s="72">
        <v>0.960889212070846</v>
      </c>
      <c r="S689" s="74">
        <v>0.9</v>
      </c>
      <c r="T689" s="72">
        <v>0.930606617647059</v>
      </c>
      <c r="U689" s="72">
        <v>0.924710424710425</v>
      </c>
      <c r="V689" s="72">
        <v>0.924741298212606</v>
      </c>
      <c r="W689" s="72">
        <v>0.931335376304991</v>
      </c>
      <c r="X689" s="74">
        <v>0.92</v>
      </c>
      <c r="Y689" s="74">
        <v>0.913494809688581</v>
      </c>
      <c r="Z689" s="74">
        <v>0.933110367892977</v>
      </c>
      <c r="AA689" s="74">
        <v>0.919463087248322</v>
      </c>
      <c r="AB689" s="74">
        <v>0.922604422604423</v>
      </c>
      <c r="AC689" s="74">
        <v>0.92</v>
      </c>
      <c r="AD689" s="72">
        <v>0.944444444444444</v>
      </c>
      <c r="AE689" s="72">
        <v>0.998704663212435</v>
      </c>
      <c r="AF689" s="72">
        <v>0.995863495346432</v>
      </c>
      <c r="AG689" s="72">
        <v>0.996208099499469</v>
      </c>
      <c r="AH689" s="74">
        <v>0.92</v>
      </c>
      <c r="AI689" s="72">
        <v>0.946623093681917</v>
      </c>
      <c r="AJ689" s="72">
        <v>0.948689138576779</v>
      </c>
      <c r="AK689" s="72">
        <v>0.961058045554739</v>
      </c>
      <c r="AL689" s="72">
        <v>0.957661874974108</v>
      </c>
      <c r="AM689" s="71">
        <v>0.99</v>
      </c>
      <c r="AN689" s="76">
        <v>1</v>
      </c>
      <c r="AO689" s="76">
        <v>1</v>
      </c>
      <c r="AP689" s="76">
        <v>1</v>
      </c>
      <c r="AQ689" s="76">
        <v>1</v>
      </c>
      <c r="AR689" s="96">
        <v>0.0810595228934205</v>
      </c>
      <c r="AS689" s="80">
        <v>0.0769230769230769</v>
      </c>
      <c r="AT689" s="80">
        <v>0.0588235294117647</v>
      </c>
      <c r="AU689" s="80">
        <v>0.0526315789473684</v>
      </c>
      <c r="AV689" s="80">
        <v>0.0656934306569343</v>
      </c>
      <c r="AW689" s="36"/>
      <c r="AX689" s="34"/>
    </row>
    <row r="690" ht="14.5" spans="1:50">
      <c r="A690" s="32"/>
      <c r="B690" s="36"/>
      <c r="C690" s="91" t="s">
        <v>693</v>
      </c>
      <c r="D690" s="69" t="s">
        <v>21</v>
      </c>
      <c r="E690" s="114" t="s">
        <v>741</v>
      </c>
      <c r="F690" s="114" t="s">
        <v>741</v>
      </c>
      <c r="G690" s="114" t="s">
        <v>741</v>
      </c>
      <c r="H690" s="114" t="s">
        <v>741</v>
      </c>
      <c r="I690" s="71">
        <v>0.9</v>
      </c>
      <c r="J690" s="72">
        <v>0.909090909090909</v>
      </c>
      <c r="K690" s="72">
        <v>0.925</v>
      </c>
      <c r="L690" s="73">
        <v>0.902439024390244</v>
      </c>
      <c r="M690" s="72">
        <v>0.923728813559322</v>
      </c>
      <c r="N690" s="74">
        <v>0.9</v>
      </c>
      <c r="O690" s="72">
        <v>0.921561969439728</v>
      </c>
      <c r="P690" s="72">
        <v>0.95422138836773</v>
      </c>
      <c r="Q690" s="72">
        <v>0.940940576011666</v>
      </c>
      <c r="R690" s="72">
        <v>0.948909098005542</v>
      </c>
      <c r="S690" s="74">
        <v>0.9</v>
      </c>
      <c r="T690" s="72">
        <v>0.873684210526316</v>
      </c>
      <c r="U690" s="72">
        <v>0.912945590994371</v>
      </c>
      <c r="V690" s="72">
        <v>0.93073277433467</v>
      </c>
      <c r="W690" s="72">
        <v>0.909058975059521</v>
      </c>
      <c r="X690" s="74">
        <v>0.92</v>
      </c>
      <c r="Y690" s="74">
        <v>0.844940867279895</v>
      </c>
      <c r="Z690" s="74">
        <v>0.897186147186147</v>
      </c>
      <c r="AA690" s="74">
        <v>0.933667083854819</v>
      </c>
      <c r="AB690" s="74">
        <v>0.898602974312753</v>
      </c>
      <c r="AC690" s="74">
        <v>0.92</v>
      </c>
      <c r="AD690" s="72">
        <v>0.997291807718348</v>
      </c>
      <c r="AE690" s="72">
        <v>0.998087954110899</v>
      </c>
      <c r="AF690" s="72">
        <v>0.999466666666667</v>
      </c>
      <c r="AG690" s="72">
        <v>0.99790454016298</v>
      </c>
      <c r="AH690" s="74">
        <v>0.92</v>
      </c>
      <c r="AI690" s="72">
        <v>0.89940668824164</v>
      </c>
      <c r="AJ690" s="72">
        <v>0.940094733909167</v>
      </c>
      <c r="AK690" s="72">
        <v>0.959627329192547</v>
      </c>
      <c r="AL690" s="72">
        <v>0.945172381748908</v>
      </c>
      <c r="AM690" s="71">
        <v>0.99</v>
      </c>
      <c r="AN690" s="76">
        <v>1</v>
      </c>
      <c r="AO690" s="76">
        <v>1</v>
      </c>
      <c r="AP690" s="76">
        <v>1</v>
      </c>
      <c r="AQ690" s="76">
        <v>1</v>
      </c>
      <c r="AR690" s="96">
        <v>0.0810595228934205</v>
      </c>
      <c r="AS690" s="80">
        <v>0.0769230769230769</v>
      </c>
      <c r="AT690" s="80">
        <v>0.142857142857143</v>
      </c>
      <c r="AU690" s="80">
        <v>0.0555555555555556</v>
      </c>
      <c r="AV690" s="80">
        <v>0.1</v>
      </c>
      <c r="AW690" s="36"/>
      <c r="AX690" s="34"/>
    </row>
    <row r="691" ht="14.5" spans="1:50">
      <c r="A691" s="32"/>
      <c r="B691" s="36"/>
      <c r="C691" s="91" t="s">
        <v>693</v>
      </c>
      <c r="D691" s="69" t="s">
        <v>21</v>
      </c>
      <c r="E691" s="114" t="s">
        <v>742</v>
      </c>
      <c r="F691" s="114" t="s">
        <v>742</v>
      </c>
      <c r="G691" s="114" t="s">
        <v>742</v>
      </c>
      <c r="H691" s="114" t="s">
        <v>742</v>
      </c>
      <c r="I691" s="71">
        <v>0.9</v>
      </c>
      <c r="J691" s="72">
        <v>0.793103448275862</v>
      </c>
      <c r="K691" s="72">
        <v>0.84375</v>
      </c>
      <c r="L691" s="73">
        <v>0.774193548387097</v>
      </c>
      <c r="M691" s="72">
        <v>0.805054151624549</v>
      </c>
      <c r="N691" s="74">
        <v>0.9</v>
      </c>
      <c r="O691" s="72">
        <v>0.945916114790287</v>
      </c>
      <c r="P691" s="72">
        <v>0.944381811349117</v>
      </c>
      <c r="Q691" s="72">
        <v>0.969059896866323</v>
      </c>
      <c r="R691" s="72">
        <v>0.943203949454233</v>
      </c>
      <c r="S691" s="74">
        <v>0.9</v>
      </c>
      <c r="T691" s="72">
        <v>0.879323031640912</v>
      </c>
      <c r="U691" s="72">
        <v>0.918451709883502</v>
      </c>
      <c r="V691" s="72">
        <v>0.934946449821499</v>
      </c>
      <c r="W691" s="72">
        <v>0.921146791068436</v>
      </c>
      <c r="X691" s="74">
        <v>0.92</v>
      </c>
      <c r="Y691" s="74">
        <v>0.884180790960452</v>
      </c>
      <c r="Z691" s="74">
        <v>0.900485436893204</v>
      </c>
      <c r="AA691" s="74">
        <v>0.899363057324841</v>
      </c>
      <c r="AB691" s="74">
        <v>0.894888775683478</v>
      </c>
      <c r="AC691" s="74">
        <v>0.92</v>
      </c>
      <c r="AD691" s="72">
        <v>0.998388396454472</v>
      </c>
      <c r="AE691" s="72">
        <v>0.99767416103666</v>
      </c>
      <c r="AF691" s="72">
        <v>0.998475398475398</v>
      </c>
      <c r="AG691" s="72">
        <v>0.996797627872498</v>
      </c>
      <c r="AH691" s="74">
        <v>0.92</v>
      </c>
      <c r="AI691" s="72">
        <v>0.911558669001751</v>
      </c>
      <c r="AJ691" s="72">
        <v>0.943775100401606</v>
      </c>
      <c r="AK691" s="72">
        <v>0.947973381730188</v>
      </c>
      <c r="AL691" s="72">
        <v>0.945052195052195</v>
      </c>
      <c r="AM691" s="71">
        <v>0.99</v>
      </c>
      <c r="AN691" s="76">
        <v>1</v>
      </c>
      <c r="AO691" s="76">
        <v>1</v>
      </c>
      <c r="AP691" s="76">
        <v>1</v>
      </c>
      <c r="AQ691" s="76">
        <v>1</v>
      </c>
      <c r="AR691" s="96">
        <v>0.0810595228934205</v>
      </c>
      <c r="AS691" s="80">
        <v>0.153846153846154</v>
      </c>
      <c r="AT691" s="80">
        <v>0.0952380952380952</v>
      </c>
      <c r="AU691" s="80">
        <v>0.0285714285714286</v>
      </c>
      <c r="AV691" s="80">
        <v>0.0171673819742489</v>
      </c>
      <c r="AW691" s="36"/>
      <c r="AX691" s="34"/>
    </row>
    <row r="692" ht="14.5" spans="1:50">
      <c r="A692" s="32"/>
      <c r="B692" s="36"/>
      <c r="C692" s="91" t="s">
        <v>693</v>
      </c>
      <c r="D692" s="69" t="s">
        <v>21</v>
      </c>
      <c r="E692" s="114" t="s">
        <v>743</v>
      </c>
      <c r="F692" s="114" t="s">
        <v>743</v>
      </c>
      <c r="G692" s="114" t="s">
        <v>743</v>
      </c>
      <c r="H692" s="114" t="s">
        <v>743</v>
      </c>
      <c r="I692" s="71">
        <v>0.9</v>
      </c>
      <c r="J692" s="72">
        <v>0.956521739130435</v>
      </c>
      <c r="K692" s="72">
        <v>0.961538461538462</v>
      </c>
      <c r="L692" s="73">
        <v>0.964285714285714</v>
      </c>
      <c r="M692" s="72">
        <v>0.96218487394958</v>
      </c>
      <c r="N692" s="74">
        <v>0.9</v>
      </c>
      <c r="O692" s="72">
        <v>0.958130477117819</v>
      </c>
      <c r="P692" s="72">
        <v>0.9442436757873</v>
      </c>
      <c r="Q692" s="72">
        <v>0.926505452821242</v>
      </c>
      <c r="R692" s="72">
        <v>0.951084667228307</v>
      </c>
      <c r="S692" s="74">
        <v>0.9</v>
      </c>
      <c r="T692" s="72">
        <v>0.895326192794547</v>
      </c>
      <c r="U692" s="72">
        <v>0.909137842023748</v>
      </c>
      <c r="V692" s="72">
        <v>0.922238027501185</v>
      </c>
      <c r="W692" s="72">
        <v>0.915859309182814</v>
      </c>
      <c r="X692" s="74">
        <v>0.92</v>
      </c>
      <c r="Y692" s="74">
        <v>0.857142857142857</v>
      </c>
      <c r="Z692" s="74">
        <v>0.866782006920415</v>
      </c>
      <c r="AA692" s="74">
        <v>0.851145038167939</v>
      </c>
      <c r="AB692" s="74">
        <v>0.854149203688181</v>
      </c>
      <c r="AC692" s="74">
        <v>0.92</v>
      </c>
      <c r="AD692" s="72">
        <v>0.956521739130435</v>
      </c>
      <c r="AE692" s="72">
        <v>0.996923076923077</v>
      </c>
      <c r="AF692" s="72">
        <v>1</v>
      </c>
      <c r="AG692" s="72">
        <v>0.991194082423388</v>
      </c>
      <c r="AH692" s="74">
        <v>0.92</v>
      </c>
      <c r="AI692" s="72">
        <v>0.930760499432463</v>
      </c>
      <c r="AJ692" s="72">
        <v>0.934791252485089</v>
      </c>
      <c r="AK692" s="72">
        <v>0.945330296127563</v>
      </c>
      <c r="AL692" s="72">
        <v>0.938446650959273</v>
      </c>
      <c r="AM692" s="71">
        <v>0.99</v>
      </c>
      <c r="AN692" s="76">
        <v>1</v>
      </c>
      <c r="AO692" s="76">
        <v>1</v>
      </c>
      <c r="AP692" s="76">
        <v>1</v>
      </c>
      <c r="AQ692" s="76">
        <v>1</v>
      </c>
      <c r="AR692" s="96">
        <v>0.0810595228934205</v>
      </c>
      <c r="AS692" s="80">
        <v>0</v>
      </c>
      <c r="AT692" s="80">
        <v>0.125</v>
      </c>
      <c r="AU692" s="80">
        <v>0.0555555555555556</v>
      </c>
      <c r="AV692" s="80">
        <v>0.0769230769230769</v>
      </c>
      <c r="AW692" s="36"/>
      <c r="AX692" s="34"/>
    </row>
    <row r="693" ht="14.5" spans="1:50">
      <c r="A693" s="32"/>
      <c r="B693" s="36"/>
      <c r="C693" s="91" t="s">
        <v>693</v>
      </c>
      <c r="D693" s="69" t="s">
        <v>21</v>
      </c>
      <c r="E693" s="114" t="s">
        <v>744</v>
      </c>
      <c r="F693" s="114" t="s">
        <v>744</v>
      </c>
      <c r="G693" s="114" t="s">
        <v>744</v>
      </c>
      <c r="H693" s="114" t="s">
        <v>744</v>
      </c>
      <c r="I693" s="71">
        <v>0.9</v>
      </c>
      <c r="J693" s="72">
        <v>0.962962962962963</v>
      </c>
      <c r="K693" s="72">
        <v>0.928571428571429</v>
      </c>
      <c r="L693" s="73">
        <v>0.931034482758621</v>
      </c>
      <c r="M693" s="72">
        <v>0.94758064516129</v>
      </c>
      <c r="N693" s="74">
        <v>0.9</v>
      </c>
      <c r="O693" s="72">
        <v>0.989164785553047</v>
      </c>
      <c r="P693" s="72">
        <v>0.981262327416174</v>
      </c>
      <c r="Q693" s="72">
        <v>0.984732824427481</v>
      </c>
      <c r="R693" s="72">
        <v>0.983094182102792</v>
      </c>
      <c r="S693" s="74">
        <v>0.9</v>
      </c>
      <c r="T693" s="72">
        <v>0.91196388261851</v>
      </c>
      <c r="U693" s="72">
        <v>0.907790927021696</v>
      </c>
      <c r="V693" s="72">
        <v>0.943702290076336</v>
      </c>
      <c r="W693" s="72">
        <v>0.934255152621967</v>
      </c>
      <c r="X693" s="74">
        <v>0.92</v>
      </c>
      <c r="Y693" s="74">
        <v>0.830750893921335</v>
      </c>
      <c r="Z693" s="74">
        <v>0.876526458616011</v>
      </c>
      <c r="AA693" s="74">
        <v>0.871345029239766</v>
      </c>
      <c r="AB693" s="74">
        <v>0.873260969270754</v>
      </c>
      <c r="AC693" s="74">
        <v>0.92</v>
      </c>
      <c r="AD693" s="72">
        <v>0.996023856858847</v>
      </c>
      <c r="AE693" s="72">
        <v>0.991116751269036</v>
      </c>
      <c r="AF693" s="72">
        <v>0.99002493765586</v>
      </c>
      <c r="AG693" s="72">
        <v>0.993207867553417</v>
      </c>
      <c r="AH693" s="74">
        <v>0.92</v>
      </c>
      <c r="AI693" s="72">
        <v>0.916175507531107</v>
      </c>
      <c r="AJ693" s="72">
        <v>0.934900542495479</v>
      </c>
      <c r="AK693" s="72">
        <v>0.952877697841727</v>
      </c>
      <c r="AL693" s="72">
        <v>0.948068619442175</v>
      </c>
      <c r="AM693" s="71">
        <v>0.99</v>
      </c>
      <c r="AN693" s="76">
        <v>1</v>
      </c>
      <c r="AO693" s="76">
        <v>1</v>
      </c>
      <c r="AP693" s="76">
        <v>1</v>
      </c>
      <c r="AQ693" s="76">
        <v>1</v>
      </c>
      <c r="AR693" s="96">
        <v>0.0810595228934205</v>
      </c>
      <c r="AS693" s="80">
        <v>0</v>
      </c>
      <c r="AT693" s="80">
        <v>0</v>
      </c>
      <c r="AU693" s="80">
        <v>0</v>
      </c>
      <c r="AV693" s="80">
        <v>0.0147058823529412</v>
      </c>
      <c r="AW693" s="36"/>
      <c r="AX693" s="34"/>
    </row>
    <row r="694" ht="14.5" spans="1:50">
      <c r="A694" s="32"/>
      <c r="B694" s="36"/>
      <c r="C694" s="91" t="s">
        <v>693</v>
      </c>
      <c r="D694" s="69" t="s">
        <v>21</v>
      </c>
      <c r="E694" s="114" t="s">
        <v>745</v>
      </c>
      <c r="F694" s="114" t="s">
        <v>745</v>
      </c>
      <c r="G694" s="114" t="s">
        <v>745</v>
      </c>
      <c r="H694" s="114" t="s">
        <v>745</v>
      </c>
      <c r="I694" s="71">
        <v>0.9</v>
      </c>
      <c r="J694" s="72">
        <v>0.846153846153846</v>
      </c>
      <c r="K694" s="72">
        <v>0.923076923076923</v>
      </c>
      <c r="L694" s="73">
        <v>0.952380952380952</v>
      </c>
      <c r="M694" s="72">
        <v>0.883008356545961</v>
      </c>
      <c r="N694" s="74">
        <v>0.9</v>
      </c>
      <c r="O694" s="72">
        <v>0.902335456475584</v>
      </c>
      <c r="P694" s="72">
        <v>0.960904684975767</v>
      </c>
      <c r="Q694" s="72">
        <v>0.969960949234004</v>
      </c>
      <c r="R694" s="72">
        <v>0.958591131734983</v>
      </c>
      <c r="S694" s="74">
        <v>0.9</v>
      </c>
      <c r="T694" s="72">
        <v>0.902942068547164</v>
      </c>
      <c r="U694" s="72">
        <v>0.929886914378029</v>
      </c>
      <c r="V694" s="72">
        <v>0.946530489636528</v>
      </c>
      <c r="W694" s="72">
        <v>0.930458881154937</v>
      </c>
      <c r="X694" s="74">
        <v>0.92</v>
      </c>
      <c r="Y694" s="74">
        <v>0.833333333333333</v>
      </c>
      <c r="Z694" s="74">
        <v>0.85084202085004</v>
      </c>
      <c r="AA694" s="74">
        <v>0.880650994575045</v>
      </c>
      <c r="AB694" s="74">
        <v>0.873915072328511</v>
      </c>
      <c r="AC694" s="74">
        <v>0.92</v>
      </c>
      <c r="AD694" s="72">
        <v>0.999529190207156</v>
      </c>
      <c r="AE694" s="72">
        <v>0.989504373177843</v>
      </c>
      <c r="AF694" s="72">
        <v>0.995192307692308</v>
      </c>
      <c r="AG694" s="72">
        <v>0.988411926411503</v>
      </c>
      <c r="AH694" s="74">
        <v>0.92</v>
      </c>
      <c r="AI694" s="72">
        <v>0.911682743837085</v>
      </c>
      <c r="AJ694" s="72">
        <v>0.93021649009673</v>
      </c>
      <c r="AK694" s="72">
        <v>0.94882777276826</v>
      </c>
      <c r="AL694" s="72">
        <v>0.94307268590588</v>
      </c>
      <c r="AM694" s="71">
        <v>0.99</v>
      </c>
      <c r="AN694" s="76">
        <v>1</v>
      </c>
      <c r="AO694" s="76">
        <v>1</v>
      </c>
      <c r="AP694" s="76">
        <v>1</v>
      </c>
      <c r="AQ694" s="76">
        <v>1</v>
      </c>
      <c r="AR694" s="96">
        <v>0.0810595228934205</v>
      </c>
      <c r="AS694" s="80">
        <v>0.0434782608695652</v>
      </c>
      <c r="AT694" s="80">
        <v>0</v>
      </c>
      <c r="AU694" s="80">
        <v>0.0434782608695652</v>
      </c>
      <c r="AV694" s="80">
        <v>0.0365296803652968</v>
      </c>
      <c r="AW694" s="36"/>
      <c r="AX694" s="34"/>
    </row>
    <row r="695" ht="14.5" spans="1:50">
      <c r="A695" s="32"/>
      <c r="B695" s="36"/>
      <c r="C695" s="91" t="s">
        <v>693</v>
      </c>
      <c r="D695" s="69" t="s">
        <v>21</v>
      </c>
      <c r="E695" s="114" t="s">
        <v>746</v>
      </c>
      <c r="F695" s="114" t="s">
        <v>746</v>
      </c>
      <c r="G695" s="114" t="s">
        <v>746</v>
      </c>
      <c r="H695" s="114" t="s">
        <v>746</v>
      </c>
      <c r="I695" s="71">
        <v>0.9</v>
      </c>
      <c r="J695" s="72">
        <v>0.697674418604651</v>
      </c>
      <c r="K695" s="72">
        <v>0.829787234042553</v>
      </c>
      <c r="L695" s="73">
        <v>0.957446808510638</v>
      </c>
      <c r="M695" s="72">
        <v>0.800947867298578</v>
      </c>
      <c r="N695" s="74">
        <v>0.9</v>
      </c>
      <c r="O695" s="72">
        <v>0.952639751552795</v>
      </c>
      <c r="P695" s="72">
        <v>0.955908289241623</v>
      </c>
      <c r="Q695" s="72">
        <v>0.976674803363168</v>
      </c>
      <c r="R695" s="72">
        <v>0.966702870442203</v>
      </c>
      <c r="S695" s="74">
        <v>0.9</v>
      </c>
      <c r="T695" s="72">
        <v>0.900621118012422</v>
      </c>
      <c r="U695" s="72">
        <v>0.922398589065256</v>
      </c>
      <c r="V695" s="72">
        <v>0.950366151342555</v>
      </c>
      <c r="W695" s="72">
        <v>0.937595034910784</v>
      </c>
      <c r="X695" s="74">
        <v>0.92</v>
      </c>
      <c r="Y695" s="74">
        <v>0.909511228533686</v>
      </c>
      <c r="Z695" s="74">
        <v>0.972312703583062</v>
      </c>
      <c r="AA695" s="74">
        <v>0.95458298926507</v>
      </c>
      <c r="AB695" s="74">
        <v>0.950251220720402</v>
      </c>
      <c r="AC695" s="74">
        <v>0.92</v>
      </c>
      <c r="AD695" s="72">
        <v>0.997489959839357</v>
      </c>
      <c r="AE695" s="72">
        <v>0.981754161331626</v>
      </c>
      <c r="AF695" s="72">
        <v>0.999471598414795</v>
      </c>
      <c r="AG695" s="72">
        <v>0.995922603602936</v>
      </c>
      <c r="AH695" s="74">
        <v>0.92</v>
      </c>
      <c r="AI695" s="72">
        <v>0.938301430960788</v>
      </c>
      <c r="AJ695" s="72">
        <v>0.97139896373057</v>
      </c>
      <c r="AK695" s="72">
        <v>0.976117575015309</v>
      </c>
      <c r="AL695" s="72">
        <v>0.968429224532045</v>
      </c>
      <c r="AM695" s="71">
        <v>0.99</v>
      </c>
      <c r="AN695" s="76">
        <v>1</v>
      </c>
      <c r="AO695" s="76">
        <v>1</v>
      </c>
      <c r="AP695" s="76">
        <v>1</v>
      </c>
      <c r="AQ695" s="76">
        <v>1</v>
      </c>
      <c r="AR695" s="96">
        <v>0.0810595228934205</v>
      </c>
      <c r="AS695" s="80">
        <v>0.0952380952380952</v>
      </c>
      <c r="AT695" s="80">
        <v>0.111111111111111</v>
      </c>
      <c r="AU695" s="80">
        <v>0</v>
      </c>
      <c r="AV695" s="80">
        <v>0.0809716599190283</v>
      </c>
      <c r="AW695" s="36"/>
      <c r="AX695" s="34"/>
    </row>
    <row r="696" ht="14.5" spans="1:50">
      <c r="A696" s="32"/>
      <c r="B696" s="36"/>
      <c r="C696" s="91" t="s">
        <v>693</v>
      </c>
      <c r="D696" s="69" t="s">
        <v>21</v>
      </c>
      <c r="E696" s="114" t="s">
        <v>747</v>
      </c>
      <c r="F696" s="114" t="s">
        <v>747</v>
      </c>
      <c r="G696" s="114" t="s">
        <v>747</v>
      </c>
      <c r="H696" s="114" t="s">
        <v>747</v>
      </c>
      <c r="I696" s="71">
        <v>0.9</v>
      </c>
      <c r="J696" s="72">
        <v>0.952380952380952</v>
      </c>
      <c r="K696" s="72">
        <v>1</v>
      </c>
      <c r="L696" s="73">
        <v>0.857142857142857</v>
      </c>
      <c r="M696" s="72">
        <v>0.946236559139785</v>
      </c>
      <c r="N696" s="74">
        <v>0.9</v>
      </c>
      <c r="O696" s="72">
        <v>0.99949494949495</v>
      </c>
      <c r="P696" s="72">
        <v>0.999420961204401</v>
      </c>
      <c r="Q696" s="72">
        <v>0.998921832884097</v>
      </c>
      <c r="R696" s="72">
        <v>0.998967593920275</v>
      </c>
      <c r="S696" s="74">
        <v>0.9</v>
      </c>
      <c r="T696" s="72">
        <v>0.961111111111111</v>
      </c>
      <c r="U696" s="72">
        <v>0.973364215402432</v>
      </c>
      <c r="V696" s="72">
        <v>0.972506738544474</v>
      </c>
      <c r="W696" s="72">
        <v>0.973444221393748</v>
      </c>
      <c r="X696" s="74">
        <v>0.92</v>
      </c>
      <c r="Y696" s="74">
        <v>0.953667953667954</v>
      </c>
      <c r="Z696" s="74">
        <v>0.964338781575037</v>
      </c>
      <c r="AA696" s="74">
        <v>0.965346534653465</v>
      </c>
      <c r="AB696" s="74">
        <v>0.964657308009909</v>
      </c>
      <c r="AC696" s="74">
        <v>0.92</v>
      </c>
      <c r="AD696" s="72">
        <v>0.989285714285714</v>
      </c>
      <c r="AE696" s="72">
        <v>0.992687385740402</v>
      </c>
      <c r="AF696" s="72">
        <v>0.997912317327766</v>
      </c>
      <c r="AG696" s="72">
        <v>0.994524298425736</v>
      </c>
      <c r="AH696" s="74">
        <v>0.92</v>
      </c>
      <c r="AI696" s="72">
        <v>0.972071091766413</v>
      </c>
      <c r="AJ696" s="72">
        <v>0.980416666666667</v>
      </c>
      <c r="AK696" s="72">
        <v>0.982121088988216</v>
      </c>
      <c r="AL696" s="72">
        <v>0.982758620689655</v>
      </c>
      <c r="AM696" s="71">
        <v>0.99</v>
      </c>
      <c r="AN696" s="76">
        <v>1</v>
      </c>
      <c r="AO696" s="76">
        <v>1</v>
      </c>
      <c r="AP696" s="76">
        <v>1</v>
      </c>
      <c r="AQ696" s="76">
        <v>1</v>
      </c>
      <c r="AR696" s="96">
        <v>0.0810595228934205</v>
      </c>
      <c r="AS696" s="80">
        <v>0</v>
      </c>
      <c r="AT696" s="80">
        <v>0</v>
      </c>
      <c r="AU696" s="80">
        <v>0.333333333333333</v>
      </c>
      <c r="AV696" s="80">
        <v>0.0428571428571429</v>
      </c>
      <c r="AW696" s="36"/>
      <c r="AX696" s="34"/>
    </row>
    <row r="697" ht="14.5" spans="1:50">
      <c r="A697" s="32"/>
      <c r="B697" s="36"/>
      <c r="C697" s="91" t="s">
        <v>693</v>
      </c>
      <c r="D697" s="69" t="s">
        <v>21</v>
      </c>
      <c r="E697" s="114" t="s">
        <v>748</v>
      </c>
      <c r="F697" s="114" t="s">
        <v>748</v>
      </c>
      <c r="G697" s="114" t="s">
        <v>748</v>
      </c>
      <c r="H697" s="114" t="s">
        <v>748</v>
      </c>
      <c r="I697" s="71">
        <v>0.9</v>
      </c>
      <c r="J697" s="72">
        <v>0.975</v>
      </c>
      <c r="K697" s="72">
        <v>1</v>
      </c>
      <c r="L697" s="73">
        <v>0.975</v>
      </c>
      <c r="M697" s="72">
        <v>0.994186046511628</v>
      </c>
      <c r="N697" s="74">
        <v>0.9</v>
      </c>
      <c r="O697" s="72">
        <v>0.989484752891693</v>
      </c>
      <c r="P697" s="72">
        <v>0.998849693251534</v>
      </c>
      <c r="Q697" s="72">
        <v>0.999631404349429</v>
      </c>
      <c r="R697" s="72">
        <v>0.994104326097142</v>
      </c>
      <c r="S697" s="74">
        <v>0.9</v>
      </c>
      <c r="T697" s="72">
        <v>0.937609533824045</v>
      </c>
      <c r="U697" s="72">
        <v>0.952453987730061</v>
      </c>
      <c r="V697" s="72">
        <v>0.957611500184298</v>
      </c>
      <c r="W697" s="72">
        <v>0.941628923941902</v>
      </c>
      <c r="X697" s="74">
        <v>0.92</v>
      </c>
      <c r="Y697" s="74">
        <v>0.897163120567376</v>
      </c>
      <c r="Z697" s="74">
        <v>0.95968534906588</v>
      </c>
      <c r="AA697" s="74">
        <v>0.945414847161572</v>
      </c>
      <c r="AB697" s="74">
        <v>0.933078393881453</v>
      </c>
      <c r="AC697" s="74">
        <v>0.92</v>
      </c>
      <c r="AD697" s="72">
        <v>1</v>
      </c>
      <c r="AE697" s="72">
        <v>1</v>
      </c>
      <c r="AF697" s="72">
        <v>1</v>
      </c>
      <c r="AG697" s="72">
        <v>0.997374343585896</v>
      </c>
      <c r="AH697" s="74">
        <v>0.92</v>
      </c>
      <c r="AI697" s="72">
        <v>0.949510173323286</v>
      </c>
      <c r="AJ697" s="72">
        <v>0.977931034482759</v>
      </c>
      <c r="AK697" s="72">
        <v>0.975199779553596</v>
      </c>
      <c r="AL697" s="72">
        <v>0.968294450079699</v>
      </c>
      <c r="AM697" s="71">
        <v>0.99</v>
      </c>
      <c r="AN697" s="76">
        <v>1</v>
      </c>
      <c r="AO697" s="76">
        <v>1</v>
      </c>
      <c r="AP697" s="76">
        <v>1</v>
      </c>
      <c r="AQ697" s="76">
        <v>1</v>
      </c>
      <c r="AR697" s="96">
        <v>0.0810595228934205</v>
      </c>
      <c r="AS697" s="80">
        <v>0.0769230769230769</v>
      </c>
      <c r="AT697" s="80">
        <v>0</v>
      </c>
      <c r="AU697" s="80">
        <v>0</v>
      </c>
      <c r="AV697" s="80">
        <v>0.0574712643678161</v>
      </c>
      <c r="AW697" s="36"/>
      <c r="AX697" s="34"/>
    </row>
    <row r="698" ht="14.5" spans="1:50">
      <c r="A698" s="32"/>
      <c r="B698" s="36"/>
      <c r="C698" s="91" t="s">
        <v>693</v>
      </c>
      <c r="D698" s="69" t="s">
        <v>21</v>
      </c>
      <c r="E698" s="114" t="s">
        <v>749</v>
      </c>
      <c r="F698" s="114" t="s">
        <v>749</v>
      </c>
      <c r="G698" s="114" t="s">
        <v>749</v>
      </c>
      <c r="H698" s="114" t="s">
        <v>749</v>
      </c>
      <c r="I698" s="71">
        <v>0.9</v>
      </c>
      <c r="J698" s="72">
        <v>0.714285714285714</v>
      </c>
      <c r="K698" s="72">
        <v>0.875</v>
      </c>
      <c r="L698" s="73">
        <v>0.91304347826087</v>
      </c>
      <c r="M698" s="72">
        <v>0.820388349514563</v>
      </c>
      <c r="N698" s="74">
        <v>0.9</v>
      </c>
      <c r="O698" s="72">
        <v>0.935029778018408</v>
      </c>
      <c r="P698" s="72">
        <v>0.958555358200118</v>
      </c>
      <c r="Q698" s="72">
        <v>0.966592427616927</v>
      </c>
      <c r="R698" s="72">
        <v>0.940286956004048</v>
      </c>
      <c r="S698" s="74">
        <v>0.9</v>
      </c>
      <c r="T698" s="72">
        <v>0.903627504060639</v>
      </c>
      <c r="U698" s="72">
        <v>0.946714031971581</v>
      </c>
      <c r="V698" s="72">
        <v>0.952672605790646</v>
      </c>
      <c r="W698" s="72">
        <v>0.942966005834375</v>
      </c>
      <c r="X698" s="74">
        <v>0.92</v>
      </c>
      <c r="Y698" s="74">
        <v>0.872434017595308</v>
      </c>
      <c r="Z698" s="74">
        <v>0.930817610062893</v>
      </c>
      <c r="AA698" s="74">
        <v>0.944045911047346</v>
      </c>
      <c r="AB698" s="74">
        <v>0.928894297635605</v>
      </c>
      <c r="AC698" s="74">
        <v>0.92</v>
      </c>
      <c r="AD698" s="72">
        <v>1</v>
      </c>
      <c r="AE698" s="72">
        <v>0.994059405940594</v>
      </c>
      <c r="AF698" s="72">
        <v>0.970383275261324</v>
      </c>
      <c r="AG698" s="72">
        <v>0.988008565310493</v>
      </c>
      <c r="AH698" s="74">
        <v>0.92</v>
      </c>
      <c r="AI698" s="72">
        <v>0.929616449189403</v>
      </c>
      <c r="AJ698" s="72">
        <v>0.959139784946237</v>
      </c>
      <c r="AK698" s="72">
        <v>0.966706778981147</v>
      </c>
      <c r="AL698" s="72">
        <v>0.961417357754224</v>
      </c>
      <c r="AM698" s="71">
        <v>0.99</v>
      </c>
      <c r="AN698" s="76">
        <v>1</v>
      </c>
      <c r="AO698" s="76">
        <v>1</v>
      </c>
      <c r="AP698" s="76">
        <v>1</v>
      </c>
      <c r="AQ698" s="76">
        <v>1</v>
      </c>
      <c r="AR698" s="96">
        <v>0.0810595228934205</v>
      </c>
      <c r="AS698" s="80">
        <v>0.333333333333333</v>
      </c>
      <c r="AT698" s="80">
        <v>0</v>
      </c>
      <c r="AU698" s="80">
        <v>0.181818181818182</v>
      </c>
      <c r="AV698" s="80">
        <v>0.0989010989010989</v>
      </c>
      <c r="AW698" s="36"/>
      <c r="AX698" s="34"/>
    </row>
    <row r="699" ht="14.5" spans="1:50">
      <c r="A699" s="32"/>
      <c r="B699" s="36"/>
      <c r="C699" s="91" t="s">
        <v>693</v>
      </c>
      <c r="D699" s="69" t="s">
        <v>21</v>
      </c>
      <c r="E699" s="114" t="s">
        <v>750</v>
      </c>
      <c r="F699" s="114" t="s">
        <v>750</v>
      </c>
      <c r="G699" s="114" t="s">
        <v>750</v>
      </c>
      <c r="H699" s="114" t="s">
        <v>750</v>
      </c>
      <c r="I699" s="71">
        <v>0.9</v>
      </c>
      <c r="J699" s="72">
        <v>0.829787234042553</v>
      </c>
      <c r="K699" s="72">
        <v>0.833333333333333</v>
      </c>
      <c r="L699" s="73">
        <v>0.843137254901961</v>
      </c>
      <c r="M699" s="72">
        <v>0.829885057471264</v>
      </c>
      <c r="N699" s="74">
        <v>0.9</v>
      </c>
      <c r="O699" s="72">
        <v>0.975635044064282</v>
      </c>
      <c r="P699" s="72">
        <v>0.970761877987068</v>
      </c>
      <c r="Q699" s="72">
        <v>0.975546305931322</v>
      </c>
      <c r="R699" s="72">
        <v>0.975774155338711</v>
      </c>
      <c r="S699" s="74">
        <v>0.9</v>
      </c>
      <c r="T699" s="72">
        <v>0.90746500777605</v>
      </c>
      <c r="U699" s="72">
        <v>0.942929434917065</v>
      </c>
      <c r="V699" s="72">
        <v>0.939906347554631</v>
      </c>
      <c r="W699" s="72">
        <v>0.941057025212928</v>
      </c>
      <c r="X699" s="74">
        <v>0.92</v>
      </c>
      <c r="Y699" s="74">
        <v>0.897350993377483</v>
      </c>
      <c r="Z699" s="74">
        <v>0.943189596167009</v>
      </c>
      <c r="AA699" s="74">
        <v>0.938003220611916</v>
      </c>
      <c r="AB699" s="74">
        <v>0.938626679777122</v>
      </c>
      <c r="AC699" s="74">
        <v>0.92</v>
      </c>
      <c r="AD699" s="72">
        <v>1</v>
      </c>
      <c r="AE699" s="72">
        <v>0.991334488734835</v>
      </c>
      <c r="AF699" s="72">
        <v>0.986803519061584</v>
      </c>
      <c r="AG699" s="72">
        <v>0.983917029911318</v>
      </c>
      <c r="AH699" s="74">
        <v>0.92</v>
      </c>
      <c r="AI699" s="72">
        <v>0.942250372578241</v>
      </c>
      <c r="AJ699" s="72">
        <v>0.968513351933041</v>
      </c>
      <c r="AK699" s="72">
        <v>0.972670074714904</v>
      </c>
      <c r="AL699" s="72">
        <v>0.969577441148084</v>
      </c>
      <c r="AM699" s="71">
        <v>0.99</v>
      </c>
      <c r="AN699" s="76">
        <v>1</v>
      </c>
      <c r="AO699" s="76">
        <v>1</v>
      </c>
      <c r="AP699" s="76">
        <v>1</v>
      </c>
      <c r="AQ699" s="76">
        <v>1</v>
      </c>
      <c r="AR699" s="96">
        <v>0.0810595228934205</v>
      </c>
      <c r="AS699" s="80">
        <v>0</v>
      </c>
      <c r="AT699" s="80">
        <v>0</v>
      </c>
      <c r="AU699" s="80">
        <v>0.0344827586206897</v>
      </c>
      <c r="AV699" s="80">
        <v>0.0398009950248756</v>
      </c>
      <c r="AW699" s="36"/>
      <c r="AX699" s="34"/>
    </row>
    <row r="700" ht="14.5" spans="1:50">
      <c r="A700" s="32"/>
      <c r="B700" s="36"/>
      <c r="C700" s="91" t="s">
        <v>693</v>
      </c>
      <c r="D700" s="69" t="s">
        <v>21</v>
      </c>
      <c r="E700" s="114" t="s">
        <v>751</v>
      </c>
      <c r="F700" s="114" t="s">
        <v>751</v>
      </c>
      <c r="G700" s="114" t="s">
        <v>751</v>
      </c>
      <c r="H700" s="114" t="s">
        <v>751</v>
      </c>
      <c r="I700" s="71">
        <v>0.9</v>
      </c>
      <c r="J700" s="72">
        <v>0.976744186046512</v>
      </c>
      <c r="K700" s="72">
        <v>1</v>
      </c>
      <c r="L700" s="73">
        <v>0.955555555555556</v>
      </c>
      <c r="M700" s="72">
        <v>0.962864721485411</v>
      </c>
      <c r="N700" s="74">
        <v>0.9</v>
      </c>
      <c r="O700" s="72">
        <v>0.991190979563073</v>
      </c>
      <c r="P700" s="72">
        <v>0.989540530444527</v>
      </c>
      <c r="Q700" s="72">
        <v>0.992321755027422</v>
      </c>
      <c r="R700" s="72">
        <v>0.991901560718638</v>
      </c>
      <c r="S700" s="74">
        <v>0.9</v>
      </c>
      <c r="T700" s="72">
        <v>0.935165609584214</v>
      </c>
      <c r="U700" s="72">
        <v>0.943967127381397</v>
      </c>
      <c r="V700" s="72">
        <v>0.961974405850091</v>
      </c>
      <c r="W700" s="72">
        <v>0.952077682116602</v>
      </c>
      <c r="X700" s="74">
        <v>0.92</v>
      </c>
      <c r="Y700" s="74">
        <v>0.930213464696223</v>
      </c>
      <c r="Z700" s="74">
        <v>0.940284360189574</v>
      </c>
      <c r="AA700" s="74">
        <v>0.956382978723404</v>
      </c>
      <c r="AB700" s="74">
        <v>0.939407390966596</v>
      </c>
      <c r="AC700" s="74">
        <v>0.92</v>
      </c>
      <c r="AD700" s="72">
        <v>0.997043169722058</v>
      </c>
      <c r="AE700" s="72">
        <v>0.974212034383954</v>
      </c>
      <c r="AF700" s="72">
        <v>0.997350492051476</v>
      </c>
      <c r="AG700" s="72">
        <v>0.995451394905562</v>
      </c>
      <c r="AH700" s="74">
        <v>0.92</v>
      </c>
      <c r="AI700" s="72">
        <v>0.959309494451295</v>
      </c>
      <c r="AJ700" s="72">
        <v>0.962486602357985</v>
      </c>
      <c r="AK700" s="72">
        <v>0.977959183673469</v>
      </c>
      <c r="AL700" s="72">
        <v>0.970566892107631</v>
      </c>
      <c r="AM700" s="71">
        <v>0.99</v>
      </c>
      <c r="AN700" s="76">
        <v>1</v>
      </c>
      <c r="AO700" s="76">
        <v>1</v>
      </c>
      <c r="AP700" s="76">
        <v>1</v>
      </c>
      <c r="AQ700" s="76">
        <v>1</v>
      </c>
      <c r="AR700" s="96">
        <v>0.0810595228934205</v>
      </c>
      <c r="AS700" s="80">
        <v>0.04</v>
      </c>
      <c r="AT700" s="80">
        <v>0.0769230769230769</v>
      </c>
      <c r="AU700" s="80">
        <v>0</v>
      </c>
      <c r="AV700" s="80">
        <v>0.0434782608695652</v>
      </c>
      <c r="AW700" s="36"/>
      <c r="AX700" s="34"/>
    </row>
    <row r="701" ht="14.5" spans="1:50">
      <c r="A701" s="32"/>
      <c r="B701" s="36"/>
      <c r="C701" s="91" t="s">
        <v>693</v>
      </c>
      <c r="D701" s="69" t="s">
        <v>21</v>
      </c>
      <c r="E701" s="114" t="s">
        <v>752</v>
      </c>
      <c r="F701" s="114" t="s">
        <v>752</v>
      </c>
      <c r="G701" s="114" t="s">
        <v>752</v>
      </c>
      <c r="H701" s="114" t="s">
        <v>752</v>
      </c>
      <c r="I701" s="71">
        <v>0.9</v>
      </c>
      <c r="J701" s="72">
        <v>0.91304347826087</v>
      </c>
      <c r="K701" s="72">
        <v>0.918367346938776</v>
      </c>
      <c r="L701" s="73">
        <v>0.980392156862745</v>
      </c>
      <c r="M701" s="72">
        <v>0.928074245939675</v>
      </c>
      <c r="N701" s="74">
        <v>0.9</v>
      </c>
      <c r="O701" s="72">
        <v>0.985607675906183</v>
      </c>
      <c r="P701" s="72">
        <v>0.97867154174284</v>
      </c>
      <c r="Q701" s="72">
        <v>0.986297376093294</v>
      </c>
      <c r="R701" s="72">
        <v>0.981509352827349</v>
      </c>
      <c r="S701" s="74">
        <v>0.9</v>
      </c>
      <c r="T701" s="72">
        <v>0.95682302771855</v>
      </c>
      <c r="U701" s="72">
        <v>0.954905545399147</v>
      </c>
      <c r="V701" s="72">
        <v>0.956268221574344</v>
      </c>
      <c r="W701" s="72">
        <v>0.95613846484627</v>
      </c>
      <c r="X701" s="74">
        <v>0.92</v>
      </c>
      <c r="Y701" s="74">
        <v>0.93191196698762</v>
      </c>
      <c r="Z701" s="74">
        <v>0.956589147286822</v>
      </c>
      <c r="AA701" s="74">
        <v>0.967486818980668</v>
      </c>
      <c r="AB701" s="74">
        <v>0.952546296296296</v>
      </c>
      <c r="AC701" s="74">
        <v>0.92</v>
      </c>
      <c r="AD701" s="72">
        <v>0.998370008149959</v>
      </c>
      <c r="AE701" s="72">
        <v>0.997803806734993</v>
      </c>
      <c r="AF701" s="72">
        <v>0.997066014669927</v>
      </c>
      <c r="AG701" s="72">
        <v>0.996244073640786</v>
      </c>
      <c r="AH701" s="74">
        <v>0.92</v>
      </c>
      <c r="AI701" s="72">
        <v>0.964855002880737</v>
      </c>
      <c r="AJ701" s="72">
        <v>0.975503062117235</v>
      </c>
      <c r="AK701" s="72">
        <v>0.98292469352014</v>
      </c>
      <c r="AL701" s="72">
        <v>0.978694738765071</v>
      </c>
      <c r="AM701" s="71">
        <v>0.99</v>
      </c>
      <c r="AN701" s="76">
        <v>1</v>
      </c>
      <c r="AO701" s="76">
        <v>1</v>
      </c>
      <c r="AP701" s="76">
        <v>1</v>
      </c>
      <c r="AQ701" s="76">
        <v>1</v>
      </c>
      <c r="AR701" s="96">
        <v>0.0810595228934205</v>
      </c>
      <c r="AS701" s="80">
        <v>0.0555555555555556</v>
      </c>
      <c r="AT701" s="80">
        <v>0.105263157894737</v>
      </c>
      <c r="AU701" s="80">
        <v>0</v>
      </c>
      <c r="AV701" s="80">
        <v>0.0238095238095238</v>
      </c>
      <c r="AW701" s="36"/>
      <c r="AX701" s="34"/>
    </row>
    <row r="702" ht="14.5" spans="1:50">
      <c r="A702" s="32"/>
      <c r="B702" s="36"/>
      <c r="C702" s="91" t="s">
        <v>693</v>
      </c>
      <c r="D702" s="69" t="s">
        <v>21</v>
      </c>
      <c r="E702" s="114" t="s">
        <v>753</v>
      </c>
      <c r="F702" s="114" t="s">
        <v>753</v>
      </c>
      <c r="G702" s="114" t="s">
        <v>753</v>
      </c>
      <c r="H702" s="114" t="s">
        <v>753</v>
      </c>
      <c r="I702" s="71">
        <v>0.9</v>
      </c>
      <c r="J702" s="72">
        <v>0.833333333333333</v>
      </c>
      <c r="K702" s="72">
        <v>0.705882352941177</v>
      </c>
      <c r="L702" s="73">
        <v>0.833333333333333</v>
      </c>
      <c r="M702" s="72">
        <v>0.826086956521739</v>
      </c>
      <c r="N702" s="74">
        <v>0.9</v>
      </c>
      <c r="O702" s="72">
        <v>0.982265446224256</v>
      </c>
      <c r="P702" s="72">
        <v>0.995238095238095</v>
      </c>
      <c r="Q702" s="72">
        <v>0.990226023213195</v>
      </c>
      <c r="R702" s="72">
        <v>0.990615913296326</v>
      </c>
      <c r="S702" s="74">
        <v>0.9</v>
      </c>
      <c r="T702" s="72">
        <v>0.959382151029748</v>
      </c>
      <c r="U702" s="72">
        <v>0.970748299319728</v>
      </c>
      <c r="V702" s="72">
        <v>0.970067196090409</v>
      </c>
      <c r="W702" s="72">
        <v>0.967816547713455</v>
      </c>
      <c r="X702" s="74">
        <v>0.92</v>
      </c>
      <c r="Y702" s="74">
        <v>0.962518740629685</v>
      </c>
      <c r="Z702" s="74">
        <v>0.97934595524957</v>
      </c>
      <c r="AA702" s="74">
        <v>0.979035639412998</v>
      </c>
      <c r="AB702" s="74">
        <v>0.972525331254871</v>
      </c>
      <c r="AC702" s="74">
        <v>0.92</v>
      </c>
      <c r="AD702" s="72">
        <v>0.99163179916318</v>
      </c>
      <c r="AE702" s="72">
        <v>1</v>
      </c>
      <c r="AF702" s="72">
        <v>0.99273607748184</v>
      </c>
      <c r="AG702" s="72">
        <v>0.996491228070175</v>
      </c>
      <c r="AH702" s="74">
        <v>0.92</v>
      </c>
      <c r="AI702" s="72">
        <v>0.982201986754967</v>
      </c>
      <c r="AJ702" s="72">
        <v>0.988791423001949</v>
      </c>
      <c r="AK702" s="72">
        <v>0.987234042553191</v>
      </c>
      <c r="AL702" s="72">
        <v>0.986579168105788</v>
      </c>
      <c r="AM702" s="71">
        <v>0.99</v>
      </c>
      <c r="AN702" s="76">
        <v>1</v>
      </c>
      <c r="AO702" s="76">
        <v>1</v>
      </c>
      <c r="AP702" s="76">
        <v>1</v>
      </c>
      <c r="AQ702" s="76">
        <v>1</v>
      </c>
      <c r="AR702" s="96">
        <v>0.0810595228934205</v>
      </c>
      <c r="AS702" s="80">
        <v>0.181818181818182</v>
      </c>
      <c r="AT702" s="80">
        <v>0</v>
      </c>
      <c r="AU702" s="80">
        <v>0</v>
      </c>
      <c r="AV702" s="80">
        <v>0.0481927710843374</v>
      </c>
      <c r="AW702" s="36"/>
      <c r="AX702" s="34"/>
    </row>
    <row r="703" ht="14.5" spans="1:50">
      <c r="A703" s="32"/>
      <c r="B703" s="36"/>
      <c r="C703" s="91" t="s">
        <v>693</v>
      </c>
      <c r="D703" s="69" t="s">
        <v>21</v>
      </c>
      <c r="E703" s="114" t="s">
        <v>754</v>
      </c>
      <c r="F703" s="114" t="s">
        <v>754</v>
      </c>
      <c r="G703" s="114" t="s">
        <v>754</v>
      </c>
      <c r="H703" s="114" t="s">
        <v>754</v>
      </c>
      <c r="I703" s="71">
        <v>0.9</v>
      </c>
      <c r="J703" s="72">
        <v>0.936507936507937</v>
      </c>
      <c r="K703" s="72">
        <v>0.968253968253968</v>
      </c>
      <c r="L703" s="73">
        <v>0.940298507462687</v>
      </c>
      <c r="M703" s="72">
        <v>0.961937716262976</v>
      </c>
      <c r="N703" s="74">
        <v>0.9</v>
      </c>
      <c r="O703" s="72">
        <v>0.886261261261261</v>
      </c>
      <c r="P703" s="72">
        <v>0.927974532431357</v>
      </c>
      <c r="Q703" s="72">
        <v>0.941900452488688</v>
      </c>
      <c r="R703" s="72">
        <v>0.929314527735515</v>
      </c>
      <c r="S703" s="74">
        <v>0.9</v>
      </c>
      <c r="T703" s="72">
        <v>0.871621621621622</v>
      </c>
      <c r="U703" s="72">
        <v>0.922602467170712</v>
      </c>
      <c r="V703" s="72">
        <v>0.931221719457014</v>
      </c>
      <c r="W703" s="72">
        <v>0.913257124059377</v>
      </c>
      <c r="X703" s="74">
        <v>0.92</v>
      </c>
      <c r="Y703" s="74">
        <v>0.867853290183387</v>
      </c>
      <c r="Z703" s="74">
        <v>0.887770508303976</v>
      </c>
      <c r="AA703" s="74">
        <v>0.914831981460023</v>
      </c>
      <c r="AB703" s="74">
        <v>0.892832890919192</v>
      </c>
      <c r="AC703" s="74">
        <v>0.92</v>
      </c>
      <c r="AD703" s="72">
        <v>0.999572284003422</v>
      </c>
      <c r="AE703" s="72">
        <v>0.993055555555556</v>
      </c>
      <c r="AF703" s="72">
        <v>0.98796059832178</v>
      </c>
      <c r="AG703" s="72">
        <v>0.991912750127085</v>
      </c>
      <c r="AH703" s="74">
        <v>0.92</v>
      </c>
      <c r="AI703" s="72">
        <v>0.92163140311804</v>
      </c>
      <c r="AJ703" s="72">
        <v>0.945394924436841</v>
      </c>
      <c r="AK703" s="72">
        <v>0.958626396359123</v>
      </c>
      <c r="AL703" s="72">
        <v>0.946423614324049</v>
      </c>
      <c r="AM703" s="71">
        <v>0.99</v>
      </c>
      <c r="AN703" s="76">
        <v>1</v>
      </c>
      <c r="AO703" s="76">
        <v>1</v>
      </c>
      <c r="AP703" s="76">
        <v>1</v>
      </c>
      <c r="AQ703" s="76">
        <v>1</v>
      </c>
      <c r="AR703" s="96">
        <v>0.0810595228934205</v>
      </c>
      <c r="AS703" s="80">
        <v>0</v>
      </c>
      <c r="AT703" s="80">
        <v>0</v>
      </c>
      <c r="AU703" s="80">
        <v>0.0476190476190476</v>
      </c>
      <c r="AV703" s="80">
        <v>0.0264026402640264</v>
      </c>
      <c r="AW703" s="36"/>
      <c r="AX703" s="34"/>
    </row>
    <row r="704" ht="14.5" spans="1:50">
      <c r="A704" s="32"/>
      <c r="B704" s="36"/>
      <c r="C704" s="91" t="s">
        <v>693</v>
      </c>
      <c r="D704" s="69" t="s">
        <v>21</v>
      </c>
      <c r="E704" s="114" t="s">
        <v>755</v>
      </c>
      <c r="F704" s="114" t="s">
        <v>755</v>
      </c>
      <c r="G704" s="114" t="s">
        <v>755</v>
      </c>
      <c r="H704" s="114" t="s">
        <v>755</v>
      </c>
      <c r="I704" s="71">
        <v>0.9</v>
      </c>
      <c r="J704" s="72">
        <v>0.971428571428571</v>
      </c>
      <c r="K704" s="72">
        <v>1</v>
      </c>
      <c r="L704" s="73">
        <v>1</v>
      </c>
      <c r="M704" s="72">
        <v>0.986928104575163</v>
      </c>
      <c r="N704" s="74">
        <v>0.9</v>
      </c>
      <c r="O704" s="72">
        <v>0.977721731820092</v>
      </c>
      <c r="P704" s="72">
        <v>0.983751160631383</v>
      </c>
      <c r="Q704" s="72">
        <v>0.986788154897494</v>
      </c>
      <c r="R704" s="72">
        <v>0.984007256409032</v>
      </c>
      <c r="S704" s="74">
        <v>0.9</v>
      </c>
      <c r="T704" s="72">
        <v>0.930222782681799</v>
      </c>
      <c r="U704" s="72">
        <v>0.928969359331476</v>
      </c>
      <c r="V704" s="72">
        <v>0.933485193621868</v>
      </c>
      <c r="W704" s="72">
        <v>0.93383300711319</v>
      </c>
      <c r="X704" s="74">
        <v>0.92</v>
      </c>
      <c r="Y704" s="74">
        <v>0.899122807017544</v>
      </c>
      <c r="Z704" s="74">
        <v>0.899138991389914</v>
      </c>
      <c r="AA704" s="74">
        <v>0.924965893587995</v>
      </c>
      <c r="AB704" s="74">
        <v>0.909221488078139</v>
      </c>
      <c r="AC704" s="74">
        <v>0.92</v>
      </c>
      <c r="AD704" s="72">
        <v>0.995535714285714</v>
      </c>
      <c r="AE704" s="72">
        <v>0.991828396322778</v>
      </c>
      <c r="AF704" s="72">
        <v>0.997703788748565</v>
      </c>
      <c r="AG704" s="72">
        <v>0.994969256567915</v>
      </c>
      <c r="AH704" s="74">
        <v>0.92</v>
      </c>
      <c r="AI704" s="72">
        <v>0.949270959902795</v>
      </c>
      <c r="AJ704" s="72">
        <v>0.953825412874958</v>
      </c>
      <c r="AK704" s="72">
        <v>0.96551724137931</v>
      </c>
      <c r="AL704" s="72">
        <v>0.962706885433833</v>
      </c>
      <c r="AM704" s="71">
        <v>0.99</v>
      </c>
      <c r="AN704" s="76">
        <v>1</v>
      </c>
      <c r="AO704" s="76">
        <v>1</v>
      </c>
      <c r="AP704" s="76">
        <v>1</v>
      </c>
      <c r="AQ704" s="76">
        <v>1</v>
      </c>
      <c r="AR704" s="96">
        <v>0.0810595228934205</v>
      </c>
      <c r="AS704" s="80">
        <v>0.25</v>
      </c>
      <c r="AT704" s="80">
        <v>0</v>
      </c>
      <c r="AU704" s="80">
        <v>0.181818181818182</v>
      </c>
      <c r="AV704" s="80">
        <v>0.0526315789473684</v>
      </c>
      <c r="AW704" s="36"/>
      <c r="AX704" s="34"/>
    </row>
    <row r="705" ht="14.5" spans="1:50">
      <c r="A705" s="32"/>
      <c r="B705" s="36"/>
      <c r="C705" s="91" t="s">
        <v>693</v>
      </c>
      <c r="D705" s="69" t="s">
        <v>21</v>
      </c>
      <c r="E705" s="114" t="s">
        <v>756</v>
      </c>
      <c r="F705" s="114" t="s">
        <v>756</v>
      </c>
      <c r="G705" s="114" t="s">
        <v>756</v>
      </c>
      <c r="H705" s="114" t="s">
        <v>756</v>
      </c>
      <c r="I705" s="71">
        <v>0.9</v>
      </c>
      <c r="J705" s="72">
        <v>0.761904761904762</v>
      </c>
      <c r="K705" s="72">
        <v>0.80952380952381</v>
      </c>
      <c r="L705" s="73">
        <v>0.80952380952381</v>
      </c>
      <c r="M705" s="72">
        <v>0.812834224598931</v>
      </c>
      <c r="N705" s="74">
        <v>0.9</v>
      </c>
      <c r="O705" s="72">
        <v>0.973930152484014</v>
      </c>
      <c r="P705" s="72">
        <v>0.963520555877244</v>
      </c>
      <c r="Q705" s="72">
        <v>0.970556745182013</v>
      </c>
      <c r="R705" s="72">
        <v>0.9679114490161</v>
      </c>
      <c r="S705" s="74">
        <v>0.9</v>
      </c>
      <c r="T705" s="72">
        <v>0.943433349729464</v>
      </c>
      <c r="U705" s="72">
        <v>0.943254198031268</v>
      </c>
      <c r="V705" s="72">
        <v>0.94593147751606</v>
      </c>
      <c r="W705" s="72">
        <v>0.938059033989267</v>
      </c>
      <c r="X705" s="74">
        <v>0.92</v>
      </c>
      <c r="Y705" s="74">
        <v>0.900867410161091</v>
      </c>
      <c r="Z705" s="74">
        <v>0.954230235783634</v>
      </c>
      <c r="AA705" s="74">
        <v>0.955357142857143</v>
      </c>
      <c r="AB705" s="74">
        <v>0.94299674267101</v>
      </c>
      <c r="AC705" s="74">
        <v>0.92</v>
      </c>
      <c r="AD705" s="72">
        <v>1</v>
      </c>
      <c r="AE705" s="72">
        <v>0.9825</v>
      </c>
      <c r="AF705" s="72">
        <v>0.979508196721312</v>
      </c>
      <c r="AG705" s="72">
        <v>0.981007751937985</v>
      </c>
      <c r="AH705" s="74">
        <v>0.92</v>
      </c>
      <c r="AI705" s="72">
        <v>0.950017599436818</v>
      </c>
      <c r="AJ705" s="72">
        <v>0.973447712418301</v>
      </c>
      <c r="AK705" s="72">
        <v>0.977952755905512</v>
      </c>
      <c r="AL705" s="72">
        <v>0.971826883062838</v>
      </c>
      <c r="AM705" s="71">
        <v>0.99</v>
      </c>
      <c r="AN705" s="76">
        <v>1</v>
      </c>
      <c r="AO705" s="76">
        <v>1</v>
      </c>
      <c r="AP705" s="76">
        <v>1</v>
      </c>
      <c r="AQ705" s="76">
        <v>1</v>
      </c>
      <c r="AR705" s="96">
        <v>0.0810595228934205</v>
      </c>
      <c r="AS705" s="80">
        <v>0</v>
      </c>
      <c r="AT705" s="80">
        <v>0.111111111111111</v>
      </c>
      <c r="AU705" s="80">
        <v>0</v>
      </c>
      <c r="AV705" s="80">
        <v>0</v>
      </c>
      <c r="AW705" s="36"/>
      <c r="AX705" s="34"/>
    </row>
    <row r="706" ht="14.5" spans="1:50">
      <c r="A706" s="32"/>
      <c r="B706" s="36"/>
      <c r="C706" s="91" t="s">
        <v>693</v>
      </c>
      <c r="D706" s="69" t="s">
        <v>21</v>
      </c>
      <c r="E706" s="114" t="s">
        <v>757</v>
      </c>
      <c r="F706" s="114" t="s">
        <v>757</v>
      </c>
      <c r="G706" s="114" t="s">
        <v>757</v>
      </c>
      <c r="H706" s="114" t="s">
        <v>757</v>
      </c>
      <c r="I706" s="71">
        <v>0.9</v>
      </c>
      <c r="J706" s="72">
        <v>0.857142857142857</v>
      </c>
      <c r="K706" s="72">
        <v>0.866666666666667</v>
      </c>
      <c r="L706" s="73">
        <v>0.866666666666667</v>
      </c>
      <c r="M706" s="72">
        <v>0.840909090909091</v>
      </c>
      <c r="N706" s="74">
        <v>0.9</v>
      </c>
      <c r="O706" s="72">
        <v>1</v>
      </c>
      <c r="P706" s="72">
        <v>0.99918500407498</v>
      </c>
      <c r="Q706" s="72">
        <v>0.996825396825397</v>
      </c>
      <c r="R706" s="72">
        <v>0.997788551501233</v>
      </c>
      <c r="S706" s="74">
        <v>0.9</v>
      </c>
      <c r="T706" s="72">
        <v>0.969230769230769</v>
      </c>
      <c r="U706" s="72">
        <v>0.97881010594947</v>
      </c>
      <c r="V706" s="72">
        <v>0.973015873015873</v>
      </c>
      <c r="W706" s="72">
        <v>0.975333843667602</v>
      </c>
      <c r="X706" s="74">
        <v>0.92</v>
      </c>
      <c r="Y706" s="74">
        <v>0.962894248608534</v>
      </c>
      <c r="Z706" s="74">
        <v>0.981171548117155</v>
      </c>
      <c r="AA706" s="74">
        <v>0.983796296296296</v>
      </c>
      <c r="AB706" s="74">
        <v>0.975006066488716</v>
      </c>
      <c r="AC706" s="74">
        <v>0.92</v>
      </c>
      <c r="AD706" s="72">
        <v>1</v>
      </c>
      <c r="AE706" s="72">
        <v>0.995043370508054</v>
      </c>
      <c r="AF706" s="72">
        <v>0.998805256869773</v>
      </c>
      <c r="AG706" s="72">
        <v>0.997523670793882</v>
      </c>
      <c r="AH706" s="74">
        <v>0.92</v>
      </c>
      <c r="AI706" s="72">
        <v>0.982142857142857</v>
      </c>
      <c r="AJ706" s="72">
        <v>0.990029325513196</v>
      </c>
      <c r="AK706" s="72">
        <v>0.991725768321513</v>
      </c>
      <c r="AL706" s="72">
        <v>0.989419988664274</v>
      </c>
      <c r="AM706" s="71">
        <v>0.99</v>
      </c>
      <c r="AN706" s="76">
        <v>1</v>
      </c>
      <c r="AO706" s="76">
        <v>1</v>
      </c>
      <c r="AP706" s="76">
        <v>1</v>
      </c>
      <c r="AQ706" s="76">
        <v>1</v>
      </c>
      <c r="AR706" s="96">
        <v>0.0810595228934205</v>
      </c>
      <c r="AS706" s="80">
        <v>0.111111111111111</v>
      </c>
      <c r="AT706" s="80">
        <v>0</v>
      </c>
      <c r="AU706" s="80">
        <v>0</v>
      </c>
      <c r="AV706" s="80">
        <v>0.0555555555555556</v>
      </c>
      <c r="AW706" s="36"/>
      <c r="AX706" s="34"/>
    </row>
    <row r="707" ht="14.5" spans="1:50">
      <c r="A707" s="32"/>
      <c r="B707" s="36"/>
      <c r="C707" s="91" t="s">
        <v>693</v>
      </c>
      <c r="D707" s="69" t="s">
        <v>21</v>
      </c>
      <c r="E707" s="114" t="s">
        <v>758</v>
      </c>
      <c r="F707" s="114" t="s">
        <v>758</v>
      </c>
      <c r="G707" s="114" t="s">
        <v>758</v>
      </c>
      <c r="H707" s="114" t="s">
        <v>758</v>
      </c>
      <c r="I707" s="71">
        <v>0.9</v>
      </c>
      <c r="J707" s="72">
        <v>0.733333333333333</v>
      </c>
      <c r="K707" s="72">
        <v>0.875</v>
      </c>
      <c r="L707" s="73">
        <v>0.9375</v>
      </c>
      <c r="M707" s="72">
        <v>0.865248226950355</v>
      </c>
      <c r="N707" s="74">
        <v>0.9</v>
      </c>
      <c r="O707" s="72">
        <v>0.963967611336032</v>
      </c>
      <c r="P707" s="72">
        <v>0.965595291987325</v>
      </c>
      <c r="Q707" s="72">
        <v>0.972935779816514</v>
      </c>
      <c r="R707" s="72">
        <v>0.957916211984628</v>
      </c>
      <c r="S707" s="74">
        <v>0.9</v>
      </c>
      <c r="T707" s="72">
        <v>0.924696356275304</v>
      </c>
      <c r="U707" s="72">
        <v>0.942507922136713</v>
      </c>
      <c r="V707" s="72">
        <v>0.95</v>
      </c>
      <c r="W707" s="72">
        <v>0.93314987901504</v>
      </c>
      <c r="X707" s="74">
        <v>0.92</v>
      </c>
      <c r="Y707" s="74">
        <v>0.949579831932773</v>
      </c>
      <c r="Z707" s="74">
        <v>0.941176470588235</v>
      </c>
      <c r="AA707" s="74">
        <v>0.834346504559271</v>
      </c>
      <c r="AB707" s="74">
        <v>0.93762922122674</v>
      </c>
      <c r="AC707" s="74">
        <v>0.92</v>
      </c>
      <c r="AD707" s="72">
        <v>0.993006993006993</v>
      </c>
      <c r="AE707" s="72">
        <v>0.99468085106383</v>
      </c>
      <c r="AF707" s="72">
        <v>0.95852534562212</v>
      </c>
      <c r="AG707" s="72">
        <v>0.977417486971627</v>
      </c>
      <c r="AH707" s="74">
        <v>0.92</v>
      </c>
      <c r="AI707" s="72">
        <v>0.96542726679713</v>
      </c>
      <c r="AJ707" s="72">
        <v>0.968639887244538</v>
      </c>
      <c r="AK707" s="72">
        <v>0.944912280701754</v>
      </c>
      <c r="AL707" s="72">
        <v>0.970669144981413</v>
      </c>
      <c r="AM707" s="71">
        <v>0.99</v>
      </c>
      <c r="AN707" s="76">
        <v>1</v>
      </c>
      <c r="AO707" s="76">
        <v>1</v>
      </c>
      <c r="AP707" s="76">
        <v>1</v>
      </c>
      <c r="AQ707" s="76">
        <v>1</v>
      </c>
      <c r="AR707" s="96">
        <v>0.0810595228934205</v>
      </c>
      <c r="AS707" s="80">
        <v>0</v>
      </c>
      <c r="AT707" s="80">
        <v>0.142857142857143</v>
      </c>
      <c r="AU707" s="80">
        <v>0</v>
      </c>
      <c r="AV707" s="80">
        <v>0.0337078651685393</v>
      </c>
      <c r="AW707" s="36"/>
      <c r="AX707" s="34"/>
    </row>
    <row r="708" ht="14.5" spans="1:50">
      <c r="A708" s="32"/>
      <c r="B708" s="36"/>
      <c r="C708" s="91" t="s">
        <v>693</v>
      </c>
      <c r="D708" s="69" t="s">
        <v>21</v>
      </c>
      <c r="E708" s="114" t="s">
        <v>759</v>
      </c>
      <c r="F708" s="114" t="s">
        <v>759</v>
      </c>
      <c r="G708" s="114" t="s">
        <v>759</v>
      </c>
      <c r="H708" s="114" t="s">
        <v>759</v>
      </c>
      <c r="I708" s="71">
        <v>0.9</v>
      </c>
      <c r="J708" s="72">
        <v>0.842105263157895</v>
      </c>
      <c r="K708" s="72">
        <v>0.95</v>
      </c>
      <c r="L708" s="73">
        <v>0.901639344262295</v>
      </c>
      <c r="M708" s="72">
        <v>0.873840445269017</v>
      </c>
      <c r="N708" s="74">
        <v>0.9</v>
      </c>
      <c r="O708" s="72">
        <v>0.970660648338121</v>
      </c>
      <c r="P708" s="72">
        <v>0.96596799639396</v>
      </c>
      <c r="Q708" s="72">
        <v>0.978009773434029</v>
      </c>
      <c r="R708" s="72">
        <v>0.966039966891333</v>
      </c>
      <c r="S708" s="74">
        <v>0.9</v>
      </c>
      <c r="T708" s="72">
        <v>0.93783340172343</v>
      </c>
      <c r="U708" s="72">
        <v>0.934415145368492</v>
      </c>
      <c r="V708" s="72">
        <v>0.957130164371391</v>
      </c>
      <c r="W708" s="72">
        <v>0.933191439044578</v>
      </c>
      <c r="X708" s="74">
        <v>0.92</v>
      </c>
      <c r="Y708" s="74">
        <v>0.933566433566434</v>
      </c>
      <c r="Z708" s="74">
        <v>0.93717277486911</v>
      </c>
      <c r="AA708" s="74">
        <v>0.955118110236221</v>
      </c>
      <c r="AB708" s="74">
        <v>0.928042328042328</v>
      </c>
      <c r="AC708" s="74">
        <v>0.92</v>
      </c>
      <c r="AD708" s="72">
        <v>0.991501416430595</v>
      </c>
      <c r="AE708" s="72">
        <v>0.968095712861416</v>
      </c>
      <c r="AF708" s="72">
        <v>0.995910020449898</v>
      </c>
      <c r="AG708" s="72">
        <v>0.965755964890592</v>
      </c>
      <c r="AH708" s="74">
        <v>0.92</v>
      </c>
      <c r="AI708" s="72">
        <v>0.949561766165041</v>
      </c>
      <c r="AJ708" s="72">
        <v>0.950053705692803</v>
      </c>
      <c r="AK708" s="72">
        <v>0.97005884389062</v>
      </c>
      <c r="AL708" s="72">
        <v>0.956874871928615</v>
      </c>
      <c r="AM708" s="71">
        <v>0.99</v>
      </c>
      <c r="AN708" s="76">
        <v>1</v>
      </c>
      <c r="AO708" s="76">
        <v>1</v>
      </c>
      <c r="AP708" s="76">
        <v>1</v>
      </c>
      <c r="AQ708" s="76">
        <v>1</v>
      </c>
      <c r="AR708" s="96">
        <v>0.0810595228934205</v>
      </c>
      <c r="AS708" s="80">
        <v>0</v>
      </c>
      <c r="AT708" s="80">
        <v>0</v>
      </c>
      <c r="AU708" s="80">
        <v>0</v>
      </c>
      <c r="AV708" s="80">
        <v>0.0234741784037559</v>
      </c>
      <c r="AW708" s="36"/>
      <c r="AX708" s="34"/>
    </row>
    <row r="709" ht="14.5" spans="1:50">
      <c r="A709" s="32"/>
      <c r="B709" s="36"/>
      <c r="C709" s="91" t="s">
        <v>693</v>
      </c>
      <c r="D709" s="69" t="s">
        <v>21</v>
      </c>
      <c r="E709" s="114" t="s">
        <v>760</v>
      </c>
      <c r="F709" s="114" t="s">
        <v>760</v>
      </c>
      <c r="G709" s="114" t="s">
        <v>760</v>
      </c>
      <c r="H709" s="114" t="s">
        <v>760</v>
      </c>
      <c r="I709" s="71">
        <v>0.9</v>
      </c>
      <c r="J709" s="72">
        <v>0.902439024390244</v>
      </c>
      <c r="K709" s="72">
        <v>0.853658536585366</v>
      </c>
      <c r="L709" s="73">
        <v>0.951219512195122</v>
      </c>
      <c r="M709" s="72">
        <v>0.87603305785124</v>
      </c>
      <c r="N709" s="74">
        <v>0.9</v>
      </c>
      <c r="O709" s="72">
        <v>0.857256355932203</v>
      </c>
      <c r="P709" s="72">
        <v>0.903896103896104</v>
      </c>
      <c r="Q709" s="72">
        <v>0.931282903851482</v>
      </c>
      <c r="R709" s="72">
        <v>0.906595082667317</v>
      </c>
      <c r="S709" s="74">
        <v>0.9</v>
      </c>
      <c r="T709" s="72">
        <v>0.923463983050847</v>
      </c>
      <c r="U709" s="72">
        <v>0.927561327561328</v>
      </c>
      <c r="V709" s="72">
        <v>0.950401773344417</v>
      </c>
      <c r="W709" s="72">
        <v>0.928436337014215</v>
      </c>
      <c r="X709" s="74">
        <v>0.92</v>
      </c>
      <c r="Y709" s="74">
        <v>0.930845225027442</v>
      </c>
      <c r="Z709" s="74">
        <v>0.950990615224192</v>
      </c>
      <c r="AA709" s="74">
        <v>0.954110898661568</v>
      </c>
      <c r="AB709" s="74">
        <v>0.947660164161603</v>
      </c>
      <c r="AC709" s="74">
        <v>0.92</v>
      </c>
      <c r="AD709" s="72">
        <v>0.996301775147929</v>
      </c>
      <c r="AE709" s="72">
        <v>0.987654320987654</v>
      </c>
      <c r="AF709" s="72">
        <v>0.95655546935609</v>
      </c>
      <c r="AG709" s="72">
        <v>0.967135774828083</v>
      </c>
      <c r="AH709" s="74">
        <v>0.92</v>
      </c>
      <c r="AI709" s="72">
        <v>0.945566659578992</v>
      </c>
      <c r="AJ709" s="72">
        <v>0.951208493336345</v>
      </c>
      <c r="AK709" s="72">
        <v>0.964569465321022</v>
      </c>
      <c r="AL709" s="72">
        <v>0.961584946797166</v>
      </c>
      <c r="AM709" s="71">
        <v>0.99</v>
      </c>
      <c r="AN709" s="76">
        <v>1</v>
      </c>
      <c r="AO709" s="76">
        <v>1</v>
      </c>
      <c r="AP709" s="76">
        <v>1</v>
      </c>
      <c r="AQ709" s="76">
        <v>1</v>
      </c>
      <c r="AR709" s="96">
        <v>0.0810595228934205</v>
      </c>
      <c r="AS709" s="80">
        <v>0</v>
      </c>
      <c r="AT709" s="80">
        <v>0.2</v>
      </c>
      <c r="AU709" s="80">
        <v>0.117647058823529</v>
      </c>
      <c r="AV709" s="80">
        <v>0.0810810810810811</v>
      </c>
      <c r="AW709" s="36"/>
      <c r="AX709" s="34"/>
    </row>
    <row r="710" ht="14.5" spans="1:50">
      <c r="A710" s="32"/>
      <c r="B710" s="36"/>
      <c r="C710" s="91" t="s">
        <v>693</v>
      </c>
      <c r="D710" s="69" t="s">
        <v>21</v>
      </c>
      <c r="E710" s="114" t="s">
        <v>761</v>
      </c>
      <c r="F710" s="114" t="s">
        <v>761</v>
      </c>
      <c r="G710" s="114" t="s">
        <v>761</v>
      </c>
      <c r="H710" s="114" t="s">
        <v>761</v>
      </c>
      <c r="I710" s="71">
        <v>0.9</v>
      </c>
      <c r="J710" s="72">
        <v>0.840909090909091</v>
      </c>
      <c r="K710" s="72">
        <v>0.936170212765957</v>
      </c>
      <c r="L710" s="73">
        <v>0.934782608695652</v>
      </c>
      <c r="M710" s="72">
        <v>0.891089108910891</v>
      </c>
      <c r="N710" s="74">
        <v>0.9</v>
      </c>
      <c r="O710" s="72">
        <v>0.968334809565988</v>
      </c>
      <c r="P710" s="72">
        <v>0.953032258064516</v>
      </c>
      <c r="Q710" s="72">
        <v>0.970152997241033</v>
      </c>
      <c r="R710" s="72">
        <v>0.935883134130146</v>
      </c>
      <c r="S710" s="74">
        <v>0.9</v>
      </c>
      <c r="T710" s="72">
        <v>0.95903454384411</v>
      </c>
      <c r="U710" s="72">
        <v>0.956645161290323</v>
      </c>
      <c r="V710" s="72">
        <v>0.956608979182343</v>
      </c>
      <c r="W710" s="72">
        <v>0.948180610889774</v>
      </c>
      <c r="X710" s="74">
        <v>0.92</v>
      </c>
      <c r="Y710" s="74">
        <v>0.949628406275805</v>
      </c>
      <c r="Z710" s="74">
        <v>0.958371877890842</v>
      </c>
      <c r="AA710" s="74">
        <v>0.980330448465775</v>
      </c>
      <c r="AB710" s="74">
        <v>0.969847463639589</v>
      </c>
      <c r="AC710" s="74">
        <v>0.92</v>
      </c>
      <c r="AD710" s="72">
        <v>0.997863247863248</v>
      </c>
      <c r="AE710" s="72">
        <v>0.998845265588915</v>
      </c>
      <c r="AF710" s="72">
        <v>0.952025167125442</v>
      </c>
      <c r="AG710" s="72">
        <v>0.987474727550668</v>
      </c>
      <c r="AH710" s="74">
        <v>0.92</v>
      </c>
      <c r="AI710" s="72">
        <v>0.977304469273743</v>
      </c>
      <c r="AJ710" s="72">
        <v>0.976598749243494</v>
      </c>
      <c r="AK710" s="72">
        <v>0.982699619771863</v>
      </c>
      <c r="AL710" s="72">
        <v>0.981651001225991</v>
      </c>
      <c r="AM710" s="71">
        <v>0.99</v>
      </c>
      <c r="AN710" s="76">
        <v>1</v>
      </c>
      <c r="AO710" s="76">
        <v>1</v>
      </c>
      <c r="AP710" s="76">
        <v>1</v>
      </c>
      <c r="AQ710" s="76">
        <v>1</v>
      </c>
      <c r="AR710" s="96">
        <v>0.0810595228934205</v>
      </c>
      <c r="AS710" s="80">
        <v>0.0357142857142857</v>
      </c>
      <c r="AT710" s="80">
        <v>0.0625</v>
      </c>
      <c r="AU710" s="80">
        <v>0</v>
      </c>
      <c r="AV710" s="80">
        <v>0.0335570469798658</v>
      </c>
      <c r="AW710" s="36"/>
      <c r="AX710" s="34"/>
    </row>
    <row r="711" ht="14.5" spans="1:50">
      <c r="A711" s="32"/>
      <c r="B711" s="36"/>
      <c r="C711" s="91" t="s">
        <v>693</v>
      </c>
      <c r="D711" s="69" t="s">
        <v>21</v>
      </c>
      <c r="E711" s="114" t="s">
        <v>762</v>
      </c>
      <c r="F711" s="114" t="s">
        <v>762</v>
      </c>
      <c r="G711" s="114" t="s">
        <v>762</v>
      </c>
      <c r="H711" s="114" t="s">
        <v>762</v>
      </c>
      <c r="I711" s="71">
        <v>0.9</v>
      </c>
      <c r="J711" s="72">
        <v>0.96551724137931</v>
      </c>
      <c r="K711" s="72">
        <v>0.933333333333333</v>
      </c>
      <c r="L711" s="73">
        <v>0.966666666666667</v>
      </c>
      <c r="M711" s="72">
        <v>0.950191570881226</v>
      </c>
      <c r="N711" s="74">
        <v>0.9</v>
      </c>
      <c r="O711" s="72">
        <v>0.897815362931642</v>
      </c>
      <c r="P711" s="72">
        <v>0.957072771872445</v>
      </c>
      <c r="Q711" s="72">
        <v>0.955967555040556</v>
      </c>
      <c r="R711" s="72">
        <v>0.920925414364641</v>
      </c>
      <c r="S711" s="74">
        <v>0.9</v>
      </c>
      <c r="T711" s="72">
        <v>0.883720930232558</v>
      </c>
      <c r="U711" s="72">
        <v>0.929272281275552</v>
      </c>
      <c r="V711" s="72">
        <v>0.933565083043646</v>
      </c>
      <c r="W711" s="72">
        <v>0.903530732044199</v>
      </c>
      <c r="X711" s="74">
        <v>0.92</v>
      </c>
      <c r="Y711" s="74">
        <v>0.9472</v>
      </c>
      <c r="Z711" s="74">
        <v>0.921428571428571</v>
      </c>
      <c r="AA711" s="74">
        <v>0.956703910614525</v>
      </c>
      <c r="AB711" s="74">
        <v>0.9469013006886</v>
      </c>
      <c r="AC711" s="74">
        <v>0.92</v>
      </c>
      <c r="AD711" s="72">
        <v>0.994987468671679</v>
      </c>
      <c r="AE711" s="72">
        <v>0.998591549295775</v>
      </c>
      <c r="AF711" s="72">
        <v>0.99645390070922</v>
      </c>
      <c r="AG711" s="72">
        <v>0.984609679213796</v>
      </c>
      <c r="AH711" s="74">
        <v>0.92</v>
      </c>
      <c r="AI711" s="72">
        <v>0.940802772162865</v>
      </c>
      <c r="AJ711" s="72">
        <v>0.959631277813096</v>
      </c>
      <c r="AK711" s="72">
        <v>0.970356926799758</v>
      </c>
      <c r="AL711" s="72">
        <v>0.963440498232621</v>
      </c>
      <c r="AM711" s="71">
        <v>0.99</v>
      </c>
      <c r="AN711" s="76">
        <v>1</v>
      </c>
      <c r="AO711" s="76">
        <v>1</v>
      </c>
      <c r="AP711" s="76">
        <v>1</v>
      </c>
      <c r="AQ711" s="76">
        <v>1</v>
      </c>
      <c r="AR711" s="96">
        <v>0.0810595228934205</v>
      </c>
      <c r="AS711" s="80">
        <v>0</v>
      </c>
      <c r="AT711" s="80">
        <v>0</v>
      </c>
      <c r="AU711" s="80">
        <v>0.0625</v>
      </c>
      <c r="AV711" s="80">
        <v>0.0357142857142857</v>
      </c>
      <c r="AW711" s="36"/>
      <c r="AX711" s="34"/>
    </row>
    <row r="712" ht="14.5" spans="1:50">
      <c r="A712" s="32"/>
      <c r="B712" s="36"/>
      <c r="C712" s="91" t="s">
        <v>693</v>
      </c>
      <c r="D712" s="69" t="s">
        <v>21</v>
      </c>
      <c r="E712" s="114" t="s">
        <v>763</v>
      </c>
      <c r="F712" s="114" t="s">
        <v>763</v>
      </c>
      <c r="G712" s="114" t="s">
        <v>763</v>
      </c>
      <c r="H712" s="114" t="s">
        <v>763</v>
      </c>
      <c r="I712" s="71">
        <v>0.9</v>
      </c>
      <c r="J712" s="72">
        <v>0.666666666666667</v>
      </c>
      <c r="K712" s="72">
        <v>0.714285714285714</v>
      </c>
      <c r="L712" s="73">
        <v>0.653061224489796</v>
      </c>
      <c r="M712" s="72">
        <v>0.710955710955711</v>
      </c>
      <c r="N712" s="74">
        <v>0.9</v>
      </c>
      <c r="O712" s="72">
        <v>0.957605270696076</v>
      </c>
      <c r="P712" s="72">
        <v>0.960373711340206</v>
      </c>
      <c r="Q712" s="72">
        <v>0.972696245733788</v>
      </c>
      <c r="R712" s="72">
        <v>0.94970170407726</v>
      </c>
      <c r="S712" s="74">
        <v>0.9</v>
      </c>
      <c r="T712" s="72">
        <v>0.912632483529075</v>
      </c>
      <c r="U712" s="72">
        <v>0.927512886597938</v>
      </c>
      <c r="V712" s="72">
        <v>0.925535215637605</v>
      </c>
      <c r="W712" s="72">
        <v>0.911170440686905</v>
      </c>
      <c r="X712" s="74">
        <v>0.92</v>
      </c>
      <c r="Y712" s="74">
        <v>0.959396751740139</v>
      </c>
      <c r="Z712" s="74">
        <v>0.967602591792657</v>
      </c>
      <c r="AA712" s="74">
        <v>0.966236345580934</v>
      </c>
      <c r="AB712" s="74">
        <v>0.965789181383983</v>
      </c>
      <c r="AC712" s="74">
        <v>0.92</v>
      </c>
      <c r="AD712" s="72">
        <v>0.995884773662551</v>
      </c>
      <c r="AE712" s="72">
        <v>0.99321376635967</v>
      </c>
      <c r="AF712" s="72">
        <v>0.990057561486133</v>
      </c>
      <c r="AG712" s="72">
        <v>0.993421052631579</v>
      </c>
      <c r="AH712" s="74">
        <v>0.92</v>
      </c>
      <c r="AI712" s="72">
        <v>0.967941378520724</v>
      </c>
      <c r="AJ712" s="72">
        <v>0.978427969253657</v>
      </c>
      <c r="AK712" s="72">
        <v>0.979910186717088</v>
      </c>
      <c r="AL712" s="72">
        <v>0.978128334095412</v>
      </c>
      <c r="AM712" s="71">
        <v>0.99</v>
      </c>
      <c r="AN712" s="76">
        <v>1</v>
      </c>
      <c r="AO712" s="76">
        <v>1</v>
      </c>
      <c r="AP712" s="76">
        <v>1</v>
      </c>
      <c r="AQ712" s="76">
        <v>1</v>
      </c>
      <c r="AR712" s="96">
        <v>0.0810595228934205</v>
      </c>
      <c r="AS712" s="80">
        <v>0</v>
      </c>
      <c r="AT712" s="80">
        <v>0.0625</v>
      </c>
      <c r="AU712" s="80">
        <v>0</v>
      </c>
      <c r="AV712" s="80">
        <v>0.0232558139534884</v>
      </c>
      <c r="AW712" s="36"/>
      <c r="AX712" s="34"/>
    </row>
    <row r="713" ht="14.5" spans="1:50">
      <c r="A713" s="32"/>
      <c r="B713" s="36"/>
      <c r="C713" s="91" t="s">
        <v>693</v>
      </c>
      <c r="D713" s="69" t="s">
        <v>21</v>
      </c>
      <c r="E713" s="114" t="s">
        <v>764</v>
      </c>
      <c r="F713" s="114" t="s">
        <v>764</v>
      </c>
      <c r="G713" s="114" t="s">
        <v>764</v>
      </c>
      <c r="H713" s="114" t="s">
        <v>764</v>
      </c>
      <c r="I713" s="71">
        <v>0.9</v>
      </c>
      <c r="J713" s="72">
        <v>0.848484848484849</v>
      </c>
      <c r="K713" s="72">
        <v>0.891891891891892</v>
      </c>
      <c r="L713" s="73">
        <v>0.8</v>
      </c>
      <c r="M713" s="72">
        <v>0.898089171974522</v>
      </c>
      <c r="N713" s="74">
        <v>0.9</v>
      </c>
      <c r="O713" s="72">
        <v>0.96966966966967</v>
      </c>
      <c r="P713" s="72">
        <v>0.941868279569892</v>
      </c>
      <c r="Q713" s="72">
        <v>0.976051779935275</v>
      </c>
      <c r="R713" s="72">
        <v>0.952946425507087</v>
      </c>
      <c r="S713" s="74">
        <v>0.9</v>
      </c>
      <c r="T713" s="72">
        <v>0.927027027027027</v>
      </c>
      <c r="U713" s="72">
        <v>0.921370967741935</v>
      </c>
      <c r="V713" s="72">
        <v>0.937216828478964</v>
      </c>
      <c r="W713" s="72">
        <v>0.923670933864159</v>
      </c>
      <c r="X713" s="74">
        <v>0.92</v>
      </c>
      <c r="Y713" s="74">
        <v>0.953955135773318</v>
      </c>
      <c r="Z713" s="74">
        <v>0.947121034077556</v>
      </c>
      <c r="AA713" s="74">
        <v>0.973255813953488</v>
      </c>
      <c r="AB713" s="74">
        <v>0.964716113802957</v>
      </c>
      <c r="AC713" s="74">
        <v>0.92</v>
      </c>
      <c r="AD713" s="72">
        <v>1</v>
      </c>
      <c r="AE713" s="72">
        <v>0.997701149425287</v>
      </c>
      <c r="AF713" s="72">
        <v>0.992042440318302</v>
      </c>
      <c r="AG713" s="72">
        <v>0.994123931623932</v>
      </c>
      <c r="AH713" s="74">
        <v>0.92</v>
      </c>
      <c r="AI713" s="72">
        <v>0.96683369124314</v>
      </c>
      <c r="AJ713" s="72">
        <v>0.963679122027698</v>
      </c>
      <c r="AK713" s="72">
        <v>0.978739559605163</v>
      </c>
      <c r="AL713" s="72">
        <v>0.972269991401548</v>
      </c>
      <c r="AM713" s="71">
        <v>0.99</v>
      </c>
      <c r="AN713" s="76">
        <v>1</v>
      </c>
      <c r="AO713" s="76">
        <v>1</v>
      </c>
      <c r="AP713" s="76">
        <v>1</v>
      </c>
      <c r="AQ713" s="76">
        <v>1</v>
      </c>
      <c r="AR713" s="96">
        <v>0.0810595228934205</v>
      </c>
      <c r="AS713" s="80">
        <v>0.153846153846154</v>
      </c>
      <c r="AT713" s="80">
        <v>0</v>
      </c>
      <c r="AU713" s="80">
        <v>0.0588235294117647</v>
      </c>
      <c r="AV713" s="80">
        <v>0.037037037037037</v>
      </c>
      <c r="AW713" s="36"/>
      <c r="AX713" s="34"/>
    </row>
    <row r="714" ht="14.5" spans="1:50">
      <c r="A714" s="32"/>
      <c r="B714" s="36"/>
      <c r="C714" s="91" t="s">
        <v>693</v>
      </c>
      <c r="D714" s="69" t="s">
        <v>21</v>
      </c>
      <c r="E714" s="114" t="s">
        <v>765</v>
      </c>
      <c r="F714" s="114" t="s">
        <v>765</v>
      </c>
      <c r="G714" s="114" t="s">
        <v>765</v>
      </c>
      <c r="H714" s="114" t="s">
        <v>765</v>
      </c>
      <c r="I714" s="71">
        <v>0.9</v>
      </c>
      <c r="J714" s="72">
        <v>0.590909090909091</v>
      </c>
      <c r="K714" s="72">
        <v>0.708333333333333</v>
      </c>
      <c r="L714" s="73">
        <v>0.608695652173913</v>
      </c>
      <c r="M714" s="72">
        <v>0.673267326732673</v>
      </c>
      <c r="N714" s="74">
        <v>0.9</v>
      </c>
      <c r="O714" s="72">
        <v>0.939890710382514</v>
      </c>
      <c r="P714" s="72">
        <v>0.940084835630965</v>
      </c>
      <c r="Q714" s="72">
        <v>0.963289280469897</v>
      </c>
      <c r="R714" s="72">
        <v>0.933195473605606</v>
      </c>
      <c r="S714" s="74">
        <v>0.9</v>
      </c>
      <c r="T714" s="72">
        <v>0.886239443616493</v>
      </c>
      <c r="U714" s="72">
        <v>0.899787910922587</v>
      </c>
      <c r="V714" s="72">
        <v>0.913852178169359</v>
      </c>
      <c r="W714" s="72">
        <v>0.891722672181056</v>
      </c>
      <c r="X714" s="74">
        <v>0.92</v>
      </c>
      <c r="Y714" s="74">
        <v>0.924024640657084</v>
      </c>
      <c r="Z714" s="74">
        <v>0.928429423459245</v>
      </c>
      <c r="AA714" s="74">
        <v>0.87043795620438</v>
      </c>
      <c r="AB714" s="74">
        <v>0.901867219917012</v>
      </c>
      <c r="AC714" s="74">
        <v>0.92</v>
      </c>
      <c r="AD714" s="72">
        <v>0.968253968253968</v>
      </c>
      <c r="AE714" s="72">
        <v>0.887931034482759</v>
      </c>
      <c r="AF714" s="72">
        <v>0.99375</v>
      </c>
      <c r="AG714" s="72">
        <v>0.978998384491115</v>
      </c>
      <c r="AH714" s="74">
        <v>0.92</v>
      </c>
      <c r="AI714" s="72">
        <v>0.946634806849861</v>
      </c>
      <c r="AJ714" s="72">
        <v>0.952281289242361</v>
      </c>
      <c r="AK714" s="72">
        <v>0.94988434849653</v>
      </c>
      <c r="AL714" s="72">
        <v>0.947675986694237</v>
      </c>
      <c r="AM714" s="71">
        <v>0.99</v>
      </c>
      <c r="AN714" s="76">
        <v>1</v>
      </c>
      <c r="AO714" s="76">
        <v>1</v>
      </c>
      <c r="AP714" s="76">
        <v>1</v>
      </c>
      <c r="AQ714" s="76">
        <v>1</v>
      </c>
      <c r="AR714" s="96">
        <v>0.0810595228934205</v>
      </c>
      <c r="AS714" s="80">
        <v>0.222222222222222</v>
      </c>
      <c r="AT714" s="80">
        <v>0</v>
      </c>
      <c r="AU714" s="80">
        <v>0</v>
      </c>
      <c r="AV714" s="80">
        <v>0.0303030303030303</v>
      </c>
      <c r="AW714" s="36"/>
      <c r="AX714" s="34"/>
    </row>
    <row r="715" ht="14.5" spans="1:50">
      <c r="A715" s="32"/>
      <c r="B715" s="36"/>
      <c r="C715" s="91" t="s">
        <v>693</v>
      </c>
      <c r="D715" s="69" t="s">
        <v>21</v>
      </c>
      <c r="E715" s="114" t="s">
        <v>766</v>
      </c>
      <c r="F715" s="114" t="s">
        <v>766</v>
      </c>
      <c r="G715" s="114" t="s">
        <v>766</v>
      </c>
      <c r="H715" s="114" t="s">
        <v>766</v>
      </c>
      <c r="I715" s="71">
        <v>0.9</v>
      </c>
      <c r="J715" s="72">
        <v>0.9</v>
      </c>
      <c r="K715" s="72">
        <v>0.833333333333333</v>
      </c>
      <c r="L715" s="73">
        <v>0.793103448275862</v>
      </c>
      <c r="M715" s="72">
        <v>0.866412213740458</v>
      </c>
      <c r="N715" s="74">
        <v>0.9</v>
      </c>
      <c r="O715" s="72">
        <v>0.969118031928814</v>
      </c>
      <c r="P715" s="72">
        <v>0.965967790945002</v>
      </c>
      <c r="Q715" s="72">
        <v>0.972800925925926</v>
      </c>
      <c r="R715" s="72">
        <v>0.960804632733923</v>
      </c>
      <c r="S715" s="74">
        <v>0.9</v>
      </c>
      <c r="T715" s="72">
        <v>0.94844281601675</v>
      </c>
      <c r="U715" s="72">
        <v>0.94226678821027</v>
      </c>
      <c r="V715" s="72">
        <v>0.943287037037037</v>
      </c>
      <c r="W715" s="72">
        <v>0.936147516001219</v>
      </c>
      <c r="X715" s="74">
        <v>0.92</v>
      </c>
      <c r="Y715" s="74">
        <v>0.963791267305644</v>
      </c>
      <c r="Z715" s="74">
        <v>0.969664138678223</v>
      </c>
      <c r="AA715" s="74">
        <v>0.972871842843779</v>
      </c>
      <c r="AB715" s="74">
        <v>0.968238587424634</v>
      </c>
      <c r="AC715" s="74">
        <v>0.92</v>
      </c>
      <c r="AD715" s="72">
        <v>0.996563573883162</v>
      </c>
      <c r="AE715" s="72">
        <v>1</v>
      </c>
      <c r="AF715" s="72">
        <v>1</v>
      </c>
      <c r="AG715" s="72">
        <v>0.998857142857143</v>
      </c>
      <c r="AH715" s="74">
        <v>0.92</v>
      </c>
      <c r="AI715" s="72">
        <v>0.971236615578417</v>
      </c>
      <c r="AJ715" s="72">
        <v>0.974133839582345</v>
      </c>
      <c r="AK715" s="72">
        <v>0.97348652231551</v>
      </c>
      <c r="AL715" s="72">
        <v>0.975824645562706</v>
      </c>
      <c r="AM715" s="71">
        <v>0.99</v>
      </c>
      <c r="AN715" s="76">
        <v>1</v>
      </c>
      <c r="AO715" s="76">
        <v>1</v>
      </c>
      <c r="AP715" s="76">
        <v>1</v>
      </c>
      <c r="AQ715" s="76">
        <v>1</v>
      </c>
      <c r="AR715" s="96">
        <v>0.0810595228934205</v>
      </c>
      <c r="AS715" s="80">
        <v>0.1875</v>
      </c>
      <c r="AT715" s="80">
        <v>0</v>
      </c>
      <c r="AU715" s="80">
        <v>0</v>
      </c>
      <c r="AV715" s="80">
        <v>0.0661764705882353</v>
      </c>
      <c r="AW715" s="36"/>
      <c r="AX715" s="34"/>
    </row>
    <row r="716" ht="14.5" spans="1:50">
      <c r="A716" s="32"/>
      <c r="B716" s="36"/>
      <c r="C716" s="91" t="s">
        <v>693</v>
      </c>
      <c r="D716" s="69" t="s">
        <v>21</v>
      </c>
      <c r="E716" s="114" t="s">
        <v>767</v>
      </c>
      <c r="F716" s="114" t="s">
        <v>767</v>
      </c>
      <c r="G716" s="114" t="s">
        <v>767</v>
      </c>
      <c r="H716" s="114" t="s">
        <v>767</v>
      </c>
      <c r="I716" s="71">
        <v>0.9</v>
      </c>
      <c r="J716" s="72">
        <v>0.75</v>
      </c>
      <c r="K716" s="72">
        <v>0.736842105263158</v>
      </c>
      <c r="L716" s="73">
        <v>0.8</v>
      </c>
      <c r="M716" s="72">
        <v>0.803468208092486</v>
      </c>
      <c r="N716" s="74">
        <v>0.9</v>
      </c>
      <c r="O716" s="72">
        <v>0.963520555877244</v>
      </c>
      <c r="P716" s="72">
        <v>0.916194076874606</v>
      </c>
      <c r="Q716" s="72">
        <v>0.955963302752294</v>
      </c>
      <c r="R716" s="72">
        <v>0.927101820811148</v>
      </c>
      <c r="S716" s="74">
        <v>0.9</v>
      </c>
      <c r="T716" s="72">
        <v>0.920671685002895</v>
      </c>
      <c r="U716" s="72">
        <v>0.897920604914934</v>
      </c>
      <c r="V716" s="72">
        <v>0.924159021406728</v>
      </c>
      <c r="W716" s="72">
        <v>0.906658778676132</v>
      </c>
      <c r="X716" s="74">
        <v>0.92</v>
      </c>
      <c r="Y716" s="74">
        <v>0.903225806451613</v>
      </c>
      <c r="Z716" s="74">
        <v>0.876456876456876</v>
      </c>
      <c r="AA716" s="74">
        <v>0.895787139689579</v>
      </c>
      <c r="AB716" s="74">
        <v>0.895906432748538</v>
      </c>
      <c r="AC716" s="74">
        <v>0.92</v>
      </c>
      <c r="AD716" s="72">
        <v>0.975609756097561</v>
      </c>
      <c r="AE716" s="72">
        <v>1</v>
      </c>
      <c r="AF716" s="72">
        <v>0.950310559006211</v>
      </c>
      <c r="AG716" s="72">
        <v>0.979105571847507</v>
      </c>
      <c r="AH716" s="74">
        <v>0.92</v>
      </c>
      <c r="AI716" s="72">
        <v>0.946641257741782</v>
      </c>
      <c r="AJ716" s="72">
        <v>0.924107142857143</v>
      </c>
      <c r="AK716" s="72">
        <v>0.943965517241379</v>
      </c>
      <c r="AL716" s="72">
        <v>0.944393146609213</v>
      </c>
      <c r="AM716" s="71">
        <v>0.99</v>
      </c>
      <c r="AN716" s="76">
        <v>1</v>
      </c>
      <c r="AO716" s="76">
        <v>1</v>
      </c>
      <c r="AP716" s="76">
        <v>1</v>
      </c>
      <c r="AQ716" s="76">
        <v>1</v>
      </c>
      <c r="AR716" s="96">
        <v>0.0810595228934205</v>
      </c>
      <c r="AS716" s="80">
        <v>0</v>
      </c>
      <c r="AT716" s="80">
        <v>0</v>
      </c>
      <c r="AU716" s="80">
        <v>0.222222222222222</v>
      </c>
      <c r="AV716" s="80">
        <v>0.0526315789473684</v>
      </c>
      <c r="AW716" s="36"/>
      <c r="AX716" s="34"/>
    </row>
    <row r="717" ht="14.5" spans="1:50">
      <c r="A717" s="32"/>
      <c r="B717" s="36"/>
      <c r="C717" s="91" t="s">
        <v>693</v>
      </c>
      <c r="D717" s="69" t="s">
        <v>21</v>
      </c>
      <c r="E717" s="114" t="s">
        <v>768</v>
      </c>
      <c r="F717" s="114" t="s">
        <v>768</v>
      </c>
      <c r="G717" s="114" t="s">
        <v>768</v>
      </c>
      <c r="H717" s="114" t="s">
        <v>768</v>
      </c>
      <c r="I717" s="71">
        <v>0.9</v>
      </c>
      <c r="J717" s="72">
        <v>0.5625</v>
      </c>
      <c r="K717" s="72">
        <v>0.714285714285714</v>
      </c>
      <c r="L717" s="73">
        <v>0.6</v>
      </c>
      <c r="M717" s="72">
        <v>0.625850340136054</v>
      </c>
      <c r="N717" s="74">
        <v>0.9</v>
      </c>
      <c r="O717" s="72">
        <v>0.887075430083811</v>
      </c>
      <c r="P717" s="72">
        <v>0.950433108758422</v>
      </c>
      <c r="Q717" s="72">
        <v>0.653222067686602</v>
      </c>
      <c r="R717" s="72">
        <v>0.812771766609364</v>
      </c>
      <c r="S717" s="74">
        <v>0.9</v>
      </c>
      <c r="T717" s="72">
        <v>0.845610939567711</v>
      </c>
      <c r="U717" s="72">
        <v>0.905197305101059</v>
      </c>
      <c r="V717" s="72">
        <v>0.883634677793231</v>
      </c>
      <c r="W717" s="72">
        <v>0.808069572251997</v>
      </c>
      <c r="X717" s="74">
        <v>0.92</v>
      </c>
      <c r="Y717" s="74">
        <v>0.922509225092251</v>
      </c>
      <c r="Z717" s="74">
        <v>0.926369863013699</v>
      </c>
      <c r="AA717" s="74">
        <v>0.921739130434783</v>
      </c>
      <c r="AB717" s="74">
        <v>0.894167700762276</v>
      </c>
      <c r="AC717" s="74">
        <v>0.92</v>
      </c>
      <c r="AD717" s="72">
        <v>0.954545454545455</v>
      </c>
      <c r="AE717" s="72">
        <v>0.974842767295597</v>
      </c>
      <c r="AF717" s="72">
        <v>0.965217391304348</v>
      </c>
      <c r="AG717" s="72">
        <v>0.968844984802432</v>
      </c>
      <c r="AH717" s="74">
        <v>0.92</v>
      </c>
      <c r="AI717" s="72">
        <v>0.932788051209104</v>
      </c>
      <c r="AJ717" s="72">
        <v>0.94778362133734</v>
      </c>
      <c r="AK717" s="72">
        <v>0.944190944190944</v>
      </c>
      <c r="AL717" s="72">
        <v>0.927605190719622</v>
      </c>
      <c r="AM717" s="71">
        <v>0.99</v>
      </c>
      <c r="AN717" s="76">
        <v>1</v>
      </c>
      <c r="AO717" s="76">
        <v>1</v>
      </c>
      <c r="AP717" s="76">
        <v>1</v>
      </c>
      <c r="AQ717" s="76">
        <v>1</v>
      </c>
      <c r="AR717" s="96">
        <v>0.0810595228934205</v>
      </c>
      <c r="AS717" s="80">
        <v>0</v>
      </c>
      <c r="AT717" s="80">
        <v>0</v>
      </c>
      <c r="AU717" s="80">
        <v>0.166666666666667</v>
      </c>
      <c r="AV717" s="80">
        <v>0.078125</v>
      </c>
      <c r="AW717" s="36"/>
      <c r="AX717" s="34"/>
    </row>
    <row r="718" ht="14.5" spans="1:50">
      <c r="A718" s="32"/>
      <c r="B718" s="36"/>
      <c r="C718" s="91" t="s">
        <v>693</v>
      </c>
      <c r="D718" s="69" t="s">
        <v>21</v>
      </c>
      <c r="E718" s="114" t="s">
        <v>769</v>
      </c>
      <c r="F718" s="114" t="s">
        <v>769</v>
      </c>
      <c r="G718" s="114" t="s">
        <v>769</v>
      </c>
      <c r="H718" s="114" t="s">
        <v>769</v>
      </c>
      <c r="I718" s="71">
        <v>0.9</v>
      </c>
      <c r="J718" s="72">
        <v>0.897959183673469</v>
      </c>
      <c r="K718" s="72">
        <v>0.92</v>
      </c>
      <c r="L718" s="73">
        <v>0.942307692307692</v>
      </c>
      <c r="M718" s="72">
        <v>0.949115044247788</v>
      </c>
      <c r="N718" s="74">
        <v>0.9</v>
      </c>
      <c r="O718" s="72">
        <v>0.965464144302684</v>
      </c>
      <c r="P718" s="72">
        <v>0.979192469655685</v>
      </c>
      <c r="Q718" s="72">
        <v>0.978255617298864</v>
      </c>
      <c r="R718" s="72">
        <v>0.963694379538203</v>
      </c>
      <c r="S718" s="74">
        <v>0.9</v>
      </c>
      <c r="T718" s="72">
        <v>0.949406071271447</v>
      </c>
      <c r="U718" s="72">
        <v>0.964577656675749</v>
      </c>
      <c r="V718" s="72">
        <v>0.959410485624547</v>
      </c>
      <c r="W718" s="72">
        <v>0.952966005879249</v>
      </c>
      <c r="X718" s="74">
        <v>0.92</v>
      </c>
      <c r="Y718" s="74">
        <v>0.916958041958042</v>
      </c>
      <c r="Z718" s="74">
        <v>0.94792586054722</v>
      </c>
      <c r="AA718" s="74">
        <v>0.975567190226876</v>
      </c>
      <c r="AB718" s="74">
        <v>0.956323099415205</v>
      </c>
      <c r="AC718" s="74">
        <v>0.92</v>
      </c>
      <c r="AD718" s="72">
        <v>0.99820788530466</v>
      </c>
      <c r="AE718" s="72">
        <v>0.991087344028521</v>
      </c>
      <c r="AF718" s="72">
        <v>0.996845425867508</v>
      </c>
      <c r="AG718" s="72">
        <v>0.984843456134528</v>
      </c>
      <c r="AH718" s="74">
        <v>0.92</v>
      </c>
      <c r="AI718" s="72">
        <v>0.95817223198594</v>
      </c>
      <c r="AJ718" s="72">
        <v>0.970406189555126</v>
      </c>
      <c r="AK718" s="72">
        <v>0.975780510879849</v>
      </c>
      <c r="AL718" s="72">
        <v>0.973142327927644</v>
      </c>
      <c r="AM718" s="71">
        <v>0.99</v>
      </c>
      <c r="AN718" s="76">
        <v>1</v>
      </c>
      <c r="AO718" s="76">
        <v>1</v>
      </c>
      <c r="AP718" s="76">
        <v>1</v>
      </c>
      <c r="AQ718" s="76">
        <v>1</v>
      </c>
      <c r="AR718" s="96">
        <v>0.0810595228934205</v>
      </c>
      <c r="AS718" s="80">
        <v>0</v>
      </c>
      <c r="AT718" s="80">
        <v>0.0666666666666667</v>
      </c>
      <c r="AU718" s="80">
        <v>0</v>
      </c>
      <c r="AV718" s="80">
        <v>0.0283687943262411</v>
      </c>
      <c r="AW718" s="36"/>
      <c r="AX718" s="34"/>
    </row>
    <row r="719" ht="14.5" spans="1:50">
      <c r="A719" s="32"/>
      <c r="B719" s="36"/>
      <c r="C719" s="91" t="s">
        <v>693</v>
      </c>
      <c r="D719" s="69" t="s">
        <v>21</v>
      </c>
      <c r="E719" s="114" t="s">
        <v>770</v>
      </c>
      <c r="F719" s="114" t="s">
        <v>770</v>
      </c>
      <c r="G719" s="114" t="s">
        <v>770</v>
      </c>
      <c r="H719" s="114" t="s">
        <v>770</v>
      </c>
      <c r="I719" s="71">
        <v>0.9</v>
      </c>
      <c r="J719" s="72">
        <v>0.973684210526316</v>
      </c>
      <c r="K719" s="72">
        <v>0.977777777777778</v>
      </c>
      <c r="L719" s="73">
        <v>0.953488372093023</v>
      </c>
      <c r="M719" s="72">
        <v>0.971279373368146</v>
      </c>
      <c r="N719" s="74">
        <v>0.9</v>
      </c>
      <c r="O719" s="72">
        <v>0.918032786885246</v>
      </c>
      <c r="P719" s="72">
        <v>0.984552008238929</v>
      </c>
      <c r="Q719" s="72">
        <v>0.980922098569157</v>
      </c>
      <c r="R719" s="72">
        <v>0.966009260847196</v>
      </c>
      <c r="S719" s="74">
        <v>0.9</v>
      </c>
      <c r="T719" s="72">
        <v>0.892228293867638</v>
      </c>
      <c r="U719" s="72">
        <v>0.946103673189152</v>
      </c>
      <c r="V719" s="72">
        <v>0.953577106518283</v>
      </c>
      <c r="W719" s="72">
        <v>0.92591322243183</v>
      </c>
      <c r="X719" s="74">
        <v>0.92</v>
      </c>
      <c r="Y719" s="74">
        <v>0.930045871559633</v>
      </c>
      <c r="Z719" s="74">
        <v>0.917901938426454</v>
      </c>
      <c r="AA719" s="74">
        <v>0.927248677248677</v>
      </c>
      <c r="AB719" s="74">
        <v>0.925196288365453</v>
      </c>
      <c r="AC719" s="74">
        <v>0.92</v>
      </c>
      <c r="AD719" s="72">
        <v>0.998063891577928</v>
      </c>
      <c r="AE719" s="72">
        <v>0.999174236168456</v>
      </c>
      <c r="AF719" s="72">
        <v>0.998214285714286</v>
      </c>
      <c r="AG719" s="72">
        <v>0.99781772835914</v>
      </c>
      <c r="AH719" s="74">
        <v>0.92</v>
      </c>
      <c r="AI719" s="72">
        <v>0.944311089774364</v>
      </c>
      <c r="AJ719" s="72">
        <v>0.960432603534687</v>
      </c>
      <c r="AK719" s="72">
        <v>0.969751345808767</v>
      </c>
      <c r="AL719" s="72">
        <v>0.959488980449631</v>
      </c>
      <c r="AM719" s="71">
        <v>0.99</v>
      </c>
      <c r="AN719" s="76">
        <v>1</v>
      </c>
      <c r="AO719" s="76">
        <v>1</v>
      </c>
      <c r="AP719" s="76">
        <v>1</v>
      </c>
      <c r="AQ719" s="76">
        <v>1</v>
      </c>
      <c r="AR719" s="96">
        <v>0.0810595228934205</v>
      </c>
      <c r="AS719" s="80">
        <v>0</v>
      </c>
      <c r="AT719" s="80">
        <v>0.04</v>
      </c>
      <c r="AU719" s="80">
        <v>0</v>
      </c>
      <c r="AV719" s="80">
        <v>0.0245098039215686</v>
      </c>
      <c r="AW719" s="36"/>
      <c r="AX719" s="34"/>
    </row>
    <row r="720" ht="14.5" spans="1:50">
      <c r="A720" s="32"/>
      <c r="B720" s="36"/>
      <c r="C720" s="91" t="s">
        <v>693</v>
      </c>
      <c r="D720" s="69" t="s">
        <v>21</v>
      </c>
      <c r="E720" s="114" t="s">
        <v>771</v>
      </c>
      <c r="F720" s="114" t="s">
        <v>771</v>
      </c>
      <c r="G720" s="114" t="s">
        <v>771</v>
      </c>
      <c r="H720" s="114" t="s">
        <v>771</v>
      </c>
      <c r="I720" s="71">
        <v>0.9</v>
      </c>
      <c r="J720" s="72">
        <v>0.971830985915493</v>
      </c>
      <c r="K720" s="72">
        <v>0.986842105263158</v>
      </c>
      <c r="L720" s="73">
        <v>0.986842105263158</v>
      </c>
      <c r="M720" s="72">
        <v>0.983128834355828</v>
      </c>
      <c r="N720" s="74">
        <v>0.9</v>
      </c>
      <c r="O720" s="72">
        <v>0.976692913385827</v>
      </c>
      <c r="P720" s="72">
        <v>0.992150706436421</v>
      </c>
      <c r="Q720" s="72">
        <v>0.992421632793662</v>
      </c>
      <c r="R720" s="72">
        <v>0.981529375080247</v>
      </c>
      <c r="S720" s="74">
        <v>0.9</v>
      </c>
      <c r="T720" s="72">
        <v>0.928661417322835</v>
      </c>
      <c r="U720" s="72">
        <v>0.939124367695796</v>
      </c>
      <c r="V720" s="72">
        <v>0.95452979676197</v>
      </c>
      <c r="W720" s="72">
        <v>0.926245895926191</v>
      </c>
      <c r="X720" s="74">
        <v>0.92</v>
      </c>
      <c r="Y720" s="74">
        <v>0.933738601823708</v>
      </c>
      <c r="Z720" s="74">
        <v>0.942754919499106</v>
      </c>
      <c r="AA720" s="74">
        <v>0.930117501546073</v>
      </c>
      <c r="AB720" s="74">
        <v>0.94560270151226</v>
      </c>
      <c r="AC720" s="74">
        <v>0.92</v>
      </c>
      <c r="AD720" s="72">
        <v>0.978142076502732</v>
      </c>
      <c r="AE720" s="72">
        <v>0.979942693409742</v>
      </c>
      <c r="AF720" s="72">
        <v>0.991071428571429</v>
      </c>
      <c r="AG720" s="72">
        <v>0.979408834274327</v>
      </c>
      <c r="AH720" s="74">
        <v>0.92</v>
      </c>
      <c r="AI720" s="72">
        <v>0.957223264540338</v>
      </c>
      <c r="AJ720" s="72">
        <v>0.966001079330815</v>
      </c>
      <c r="AK720" s="72">
        <v>0.974942745520679</v>
      </c>
      <c r="AL720" s="72">
        <v>0.968861431904559</v>
      </c>
      <c r="AM720" s="71">
        <v>0.99</v>
      </c>
      <c r="AN720" s="76">
        <v>1</v>
      </c>
      <c r="AO720" s="76">
        <v>1</v>
      </c>
      <c r="AP720" s="76">
        <v>1</v>
      </c>
      <c r="AQ720" s="76">
        <v>1</v>
      </c>
      <c r="AR720" s="96">
        <v>0.0810595228934205</v>
      </c>
      <c r="AS720" s="80">
        <v>0</v>
      </c>
      <c r="AT720" s="80">
        <v>0.0625</v>
      </c>
      <c r="AU720" s="80">
        <v>0.0476190476190476</v>
      </c>
      <c r="AV720" s="80">
        <v>0.0445682451253482</v>
      </c>
      <c r="AW720" s="36"/>
      <c r="AX720" s="34"/>
    </row>
    <row r="721" ht="14.5" spans="1:50">
      <c r="A721" s="32"/>
      <c r="B721" s="36"/>
      <c r="C721" s="91" t="s">
        <v>693</v>
      </c>
      <c r="D721" s="69" t="s">
        <v>21</v>
      </c>
      <c r="E721" s="114" t="s">
        <v>772</v>
      </c>
      <c r="F721" s="114" t="s">
        <v>772</v>
      </c>
      <c r="G721" s="114" t="s">
        <v>772</v>
      </c>
      <c r="H721" s="114" t="s">
        <v>772</v>
      </c>
      <c r="I721" s="71">
        <v>0.9</v>
      </c>
      <c r="J721" s="72">
        <v>0.933333333333333</v>
      </c>
      <c r="K721" s="72">
        <v>0.979166666666667</v>
      </c>
      <c r="L721" s="73">
        <v>0.934782608695652</v>
      </c>
      <c r="M721" s="72">
        <v>0.933002481389578</v>
      </c>
      <c r="N721" s="74">
        <v>0.9</v>
      </c>
      <c r="O721" s="72">
        <v>0.949970220369267</v>
      </c>
      <c r="P721" s="72">
        <v>0.781261007396971</v>
      </c>
      <c r="Q721" s="72">
        <v>0.9165625</v>
      </c>
      <c r="R721" s="72">
        <v>0.898747176011501</v>
      </c>
      <c r="S721" s="74">
        <v>0.9</v>
      </c>
      <c r="T721" s="72">
        <v>0.769803454437165</v>
      </c>
      <c r="U721" s="72">
        <v>0.76541035575907</v>
      </c>
      <c r="V721" s="72">
        <v>0.821875</v>
      </c>
      <c r="W721" s="72">
        <v>0.787944136372972</v>
      </c>
      <c r="X721" s="74">
        <v>0.92</v>
      </c>
      <c r="Y721" s="74">
        <v>0.902527075812274</v>
      </c>
      <c r="Z721" s="74">
        <v>0.9226393629124</v>
      </c>
      <c r="AA721" s="74">
        <v>0.921739130434783</v>
      </c>
      <c r="AB721" s="74">
        <v>0.914434631533227</v>
      </c>
      <c r="AC721" s="74">
        <v>0.92</v>
      </c>
      <c r="AD721" s="72">
        <v>0.998531571218796</v>
      </c>
      <c r="AE721" s="72">
        <v>0.984189723320158</v>
      </c>
      <c r="AF721" s="72">
        <v>0.996309963099631</v>
      </c>
      <c r="AG721" s="72">
        <v>0.992129162462159</v>
      </c>
      <c r="AH721" s="74">
        <v>0.92</v>
      </c>
      <c r="AI721" s="72">
        <v>0.93888756266412</v>
      </c>
      <c r="AJ721" s="72">
        <v>0.953494623655914</v>
      </c>
      <c r="AK721" s="72">
        <v>0.955056179775281</v>
      </c>
      <c r="AL721" s="72">
        <v>0.95039446366782</v>
      </c>
      <c r="AM721" s="71">
        <v>0.99</v>
      </c>
      <c r="AN721" s="76">
        <v>1</v>
      </c>
      <c r="AO721" s="76">
        <v>1</v>
      </c>
      <c r="AP721" s="76">
        <v>1</v>
      </c>
      <c r="AQ721" s="76">
        <v>1</v>
      </c>
      <c r="AR721" s="96">
        <v>0.0810595228934205</v>
      </c>
      <c r="AS721" s="80">
        <v>0.0526315789473684</v>
      </c>
      <c r="AT721" s="80">
        <v>0</v>
      </c>
      <c r="AU721" s="80">
        <v>0</v>
      </c>
      <c r="AV721" s="80">
        <v>0.0182926829268293</v>
      </c>
      <c r="AW721" s="36"/>
      <c r="AX721" s="34"/>
    </row>
    <row r="722" ht="14.5" spans="1:50">
      <c r="A722" s="32"/>
      <c r="B722" s="36"/>
      <c r="C722" s="91" t="s">
        <v>693</v>
      </c>
      <c r="D722" s="69" t="s">
        <v>21</v>
      </c>
      <c r="E722" s="114" t="s">
        <v>773</v>
      </c>
      <c r="F722" s="114" t="s">
        <v>773</v>
      </c>
      <c r="G722" s="114" t="s">
        <v>773</v>
      </c>
      <c r="H722" s="114" t="s">
        <v>773</v>
      </c>
      <c r="I722" s="71">
        <v>0.9</v>
      </c>
      <c r="J722" s="72">
        <v>1</v>
      </c>
      <c r="K722" s="72">
        <v>0.970588235294118</v>
      </c>
      <c r="L722" s="73">
        <v>0.974358974358974</v>
      </c>
      <c r="M722" s="72">
        <v>0.971875</v>
      </c>
      <c r="N722" s="74">
        <v>0.9</v>
      </c>
      <c r="O722" s="72">
        <v>0.960820895522388</v>
      </c>
      <c r="P722" s="72">
        <v>0.966511936339523</v>
      </c>
      <c r="Q722" s="72">
        <v>0.976300400123115</v>
      </c>
      <c r="R722" s="72">
        <v>0.963454690039069</v>
      </c>
      <c r="S722" s="74">
        <v>0.9</v>
      </c>
      <c r="T722" s="72">
        <v>0.913557213930348</v>
      </c>
      <c r="U722" s="72">
        <v>0.932692307692308</v>
      </c>
      <c r="V722" s="72">
        <v>0.942136041859034</v>
      </c>
      <c r="W722" s="72">
        <v>0.927635445838952</v>
      </c>
      <c r="X722" s="74">
        <v>0.92</v>
      </c>
      <c r="Y722" s="74">
        <v>0.951880718400542</v>
      </c>
      <c r="Z722" s="74">
        <v>0.941489361702128</v>
      </c>
      <c r="AA722" s="74">
        <v>0.958566629339306</v>
      </c>
      <c r="AB722" s="74">
        <v>0.956005512562281</v>
      </c>
      <c r="AC722" s="74">
        <v>0.92</v>
      </c>
      <c r="AD722" s="72">
        <v>0.982558139534884</v>
      </c>
      <c r="AE722" s="72">
        <v>0.992957746478873</v>
      </c>
      <c r="AF722" s="72">
        <v>0.990476190476191</v>
      </c>
      <c r="AG722" s="72">
        <v>0.98876404494382</v>
      </c>
      <c r="AH722" s="74">
        <v>0.92</v>
      </c>
      <c r="AI722" s="72">
        <v>0.953289473684211</v>
      </c>
      <c r="AJ722" s="72">
        <v>0.96487237806419</v>
      </c>
      <c r="AK722" s="72">
        <v>0.970787059391598</v>
      </c>
      <c r="AL722" s="72">
        <v>0.967725957402435</v>
      </c>
      <c r="AM722" s="71">
        <v>0.99</v>
      </c>
      <c r="AN722" s="76">
        <v>1</v>
      </c>
      <c r="AO722" s="76">
        <v>1</v>
      </c>
      <c r="AP722" s="76">
        <v>1</v>
      </c>
      <c r="AQ722" s="76">
        <v>1</v>
      </c>
      <c r="AR722" s="96">
        <v>0.0810595228934205</v>
      </c>
      <c r="AS722" s="80">
        <v>0</v>
      </c>
      <c r="AT722" s="80">
        <v>0</v>
      </c>
      <c r="AU722" s="80">
        <v>0.125</v>
      </c>
      <c r="AV722" s="80">
        <v>0.0145985401459854</v>
      </c>
      <c r="AW722" s="36"/>
      <c r="AX722" s="34"/>
    </row>
    <row r="723" ht="14.5" spans="1:50">
      <c r="A723" s="32"/>
      <c r="B723" s="36"/>
      <c r="C723" s="91" t="s">
        <v>693</v>
      </c>
      <c r="D723" s="69" t="s">
        <v>21</v>
      </c>
      <c r="E723" s="114" t="s">
        <v>774</v>
      </c>
      <c r="F723" s="114" t="s">
        <v>774</v>
      </c>
      <c r="G723" s="114" t="s">
        <v>774</v>
      </c>
      <c r="H723" s="114" t="s">
        <v>774</v>
      </c>
      <c r="I723" s="71">
        <v>0.9</v>
      </c>
      <c r="J723" s="72">
        <v>0.96875</v>
      </c>
      <c r="K723" s="72">
        <v>1</v>
      </c>
      <c r="L723" s="73">
        <v>1</v>
      </c>
      <c r="M723" s="72">
        <v>0.99645390070922</v>
      </c>
      <c r="N723" s="74">
        <v>0.9</v>
      </c>
      <c r="O723" s="72">
        <v>0.867265149086246</v>
      </c>
      <c r="P723" s="72">
        <v>0.981168332052267</v>
      </c>
      <c r="Q723" s="72">
        <v>0.951167728237792</v>
      </c>
      <c r="R723" s="72">
        <v>0.947669254238597</v>
      </c>
      <c r="S723" s="74">
        <v>0.9</v>
      </c>
      <c r="T723" s="72">
        <v>0.917281179865341</v>
      </c>
      <c r="U723" s="72">
        <v>0.916602613374327</v>
      </c>
      <c r="V723" s="72">
        <v>0.928167020523708</v>
      </c>
      <c r="W723" s="72">
        <v>0.930096937396207</v>
      </c>
      <c r="X723" s="74">
        <v>0.92</v>
      </c>
      <c r="Y723" s="74">
        <v>0.815126050420168</v>
      </c>
      <c r="Z723" s="74">
        <v>0.867665418227216</v>
      </c>
      <c r="AA723" s="74">
        <v>0.912466843501326</v>
      </c>
      <c r="AB723" s="74">
        <v>0.882772522871763</v>
      </c>
      <c r="AC723" s="74">
        <v>0.92</v>
      </c>
      <c r="AD723" s="72">
        <v>0.986301369863014</v>
      </c>
      <c r="AE723" s="72">
        <v>0.998554913294798</v>
      </c>
      <c r="AF723" s="72">
        <v>0.995581737849779</v>
      </c>
      <c r="AG723" s="72">
        <v>0.997892518440464</v>
      </c>
      <c r="AH723" s="74">
        <v>0.92</v>
      </c>
      <c r="AI723" s="72">
        <v>0.932985658409387</v>
      </c>
      <c r="AJ723" s="72">
        <v>0.942764895802759</v>
      </c>
      <c r="AK723" s="72">
        <v>0.960122699386503</v>
      </c>
      <c r="AL723" s="72">
        <v>0.953475440222428</v>
      </c>
      <c r="AM723" s="71">
        <v>0.99</v>
      </c>
      <c r="AN723" s="76">
        <v>1</v>
      </c>
      <c r="AO723" s="76">
        <v>1</v>
      </c>
      <c r="AP723" s="76">
        <v>1</v>
      </c>
      <c r="AQ723" s="76">
        <v>1</v>
      </c>
      <c r="AR723" s="96">
        <v>0.0810595228934205</v>
      </c>
      <c r="AS723" s="80">
        <v>0</v>
      </c>
      <c r="AT723" s="80">
        <v>0</v>
      </c>
      <c r="AU723" s="80">
        <v>0</v>
      </c>
      <c r="AV723" s="80">
        <v>0.0510948905109489</v>
      </c>
      <c r="AW723" s="36"/>
      <c r="AX723" s="34"/>
    </row>
    <row r="724" ht="14.5" spans="1:50">
      <c r="A724" s="32"/>
      <c r="B724" s="36"/>
      <c r="C724" s="91" t="s">
        <v>693</v>
      </c>
      <c r="D724" s="69" t="s">
        <v>21</v>
      </c>
      <c r="E724" s="114" t="s">
        <v>775</v>
      </c>
      <c r="F724" s="114" t="s">
        <v>775</v>
      </c>
      <c r="G724" s="114" t="s">
        <v>775</v>
      </c>
      <c r="H724" s="114" t="s">
        <v>775</v>
      </c>
      <c r="I724" s="71">
        <v>0.9</v>
      </c>
      <c r="J724" s="72">
        <v>0.91304347826087</v>
      </c>
      <c r="K724" s="72">
        <v>0.957446808510638</v>
      </c>
      <c r="L724" s="73">
        <v>0.923076923076923</v>
      </c>
      <c r="M724" s="72">
        <v>0.962222222222222</v>
      </c>
      <c r="N724" s="74">
        <v>0.9</v>
      </c>
      <c r="O724" s="72">
        <v>0.945626003210273</v>
      </c>
      <c r="P724" s="72">
        <v>0.949774774774775</v>
      </c>
      <c r="Q724" s="72">
        <v>0.97787610619469</v>
      </c>
      <c r="R724" s="72">
        <v>0.941103362563005</v>
      </c>
      <c r="S724" s="74">
        <v>0.9</v>
      </c>
      <c r="T724" s="72">
        <v>0.651083467094703</v>
      </c>
      <c r="U724" s="72">
        <v>0.741891891891892</v>
      </c>
      <c r="V724" s="72">
        <v>0.784028655710072</v>
      </c>
      <c r="W724" s="72">
        <v>0.732675090335796</v>
      </c>
      <c r="X724" s="74">
        <v>0.92</v>
      </c>
      <c r="Y724" s="74">
        <v>0.839046199701937</v>
      </c>
      <c r="Z724" s="74">
        <v>0.860635696821516</v>
      </c>
      <c r="AA724" s="74">
        <v>0.895781637717122</v>
      </c>
      <c r="AB724" s="74">
        <v>0.874796592323155</v>
      </c>
      <c r="AC724" s="74">
        <v>0.92</v>
      </c>
      <c r="AD724" s="72">
        <v>0.999572466866182</v>
      </c>
      <c r="AE724" s="72">
        <v>0.997946611909651</v>
      </c>
      <c r="AF724" s="72">
        <v>0.998507462686567</v>
      </c>
      <c r="AG724" s="72">
        <v>0.998319719953326</v>
      </c>
      <c r="AH724" s="74">
        <v>0.92</v>
      </c>
      <c r="AI724" s="72">
        <v>0.892507113499842</v>
      </c>
      <c r="AJ724" s="72">
        <v>0.925886712546321</v>
      </c>
      <c r="AK724" s="72">
        <v>0.948446683459278</v>
      </c>
      <c r="AL724" s="72">
        <v>0.933281383353742</v>
      </c>
      <c r="AM724" s="71">
        <v>0.99</v>
      </c>
      <c r="AN724" s="76">
        <v>1</v>
      </c>
      <c r="AO724" s="76">
        <v>1</v>
      </c>
      <c r="AP724" s="76">
        <v>1</v>
      </c>
      <c r="AQ724" s="76">
        <v>1</v>
      </c>
      <c r="AR724" s="96">
        <v>0.0810595228934205</v>
      </c>
      <c r="AS724" s="80">
        <v>0</v>
      </c>
      <c r="AT724" s="80">
        <v>0</v>
      </c>
      <c r="AU724" s="80">
        <v>0.037037037037037</v>
      </c>
      <c r="AV724" s="80">
        <v>0.0334728033472803</v>
      </c>
      <c r="AW724" s="36"/>
      <c r="AX724" s="34"/>
    </row>
    <row r="725" ht="14.5" spans="1:50">
      <c r="A725" s="32"/>
      <c r="B725" s="36"/>
      <c r="C725" s="91" t="s">
        <v>693</v>
      </c>
      <c r="D725" s="69" t="s">
        <v>21</v>
      </c>
      <c r="E725" s="114" t="s">
        <v>776</v>
      </c>
      <c r="F725" s="114" t="s">
        <v>776</v>
      </c>
      <c r="G725" s="114" t="s">
        <v>776</v>
      </c>
      <c r="H725" s="114" t="s">
        <v>776</v>
      </c>
      <c r="I725" s="71">
        <v>0.9</v>
      </c>
      <c r="J725" s="72">
        <v>0.964285714285714</v>
      </c>
      <c r="K725" s="72">
        <v>0.933333333333333</v>
      </c>
      <c r="L725" s="73">
        <v>0.933333333333333</v>
      </c>
      <c r="M725" s="72">
        <v>0.95</v>
      </c>
      <c r="N725" s="74">
        <v>0.9</v>
      </c>
      <c r="O725" s="72">
        <v>0.949205118262893</v>
      </c>
      <c r="P725" s="72">
        <v>0.965174129353234</v>
      </c>
      <c r="Q725" s="72">
        <v>0.952523524379812</v>
      </c>
      <c r="R725" s="72">
        <v>0.951457671463278</v>
      </c>
      <c r="S725" s="74">
        <v>0.9</v>
      </c>
      <c r="T725" s="72">
        <v>0.878247382706475</v>
      </c>
      <c r="U725" s="72">
        <v>0.902758932609679</v>
      </c>
      <c r="V725" s="72">
        <v>0.890076988879384</v>
      </c>
      <c r="W725" s="72">
        <v>0.91090450383106</v>
      </c>
      <c r="X725" s="74">
        <v>0.92</v>
      </c>
      <c r="Y725" s="74">
        <v>0.871010638297872</v>
      </c>
      <c r="Z725" s="74">
        <v>0.932452276064611</v>
      </c>
      <c r="AA725" s="74">
        <v>0.912310286677909</v>
      </c>
      <c r="AB725" s="74">
        <v>0.917379977670264</v>
      </c>
      <c r="AC725" s="74">
        <v>0.92</v>
      </c>
      <c r="AD725" s="72">
        <v>1</v>
      </c>
      <c r="AE725" s="72">
        <v>0.994252873563218</v>
      </c>
      <c r="AF725" s="72">
        <v>0.980891719745223</v>
      </c>
      <c r="AG725" s="72">
        <v>0.980407523510972</v>
      </c>
      <c r="AH725" s="74">
        <v>0.92</v>
      </c>
      <c r="AI725" s="72">
        <v>0.923746622635845</v>
      </c>
      <c r="AJ725" s="72">
        <v>0.956777316735823</v>
      </c>
      <c r="AK725" s="72">
        <v>0.954281815080177</v>
      </c>
      <c r="AL725" s="72">
        <v>0.954177092280689</v>
      </c>
      <c r="AM725" s="71">
        <v>0.99</v>
      </c>
      <c r="AN725" s="76">
        <v>1</v>
      </c>
      <c r="AO725" s="76">
        <v>1</v>
      </c>
      <c r="AP725" s="76">
        <v>1</v>
      </c>
      <c r="AQ725" s="76">
        <v>1</v>
      </c>
      <c r="AR725" s="96">
        <v>0.0810595228934205</v>
      </c>
      <c r="AS725" s="80">
        <v>0.111111111111111</v>
      </c>
      <c r="AT725" s="80">
        <v>0.181818181818182</v>
      </c>
      <c r="AU725" s="80">
        <v>0</v>
      </c>
      <c r="AV725" s="80">
        <v>0.0679611650485437</v>
      </c>
      <c r="AW725" s="36"/>
      <c r="AX725" s="34"/>
    </row>
    <row r="726" ht="14.5" spans="1:50">
      <c r="A726" s="32"/>
      <c r="B726" s="36"/>
      <c r="C726" s="91" t="s">
        <v>693</v>
      </c>
      <c r="D726" s="69" t="s">
        <v>21</v>
      </c>
      <c r="E726" s="114" t="s">
        <v>777</v>
      </c>
      <c r="F726" s="114" t="s">
        <v>777</v>
      </c>
      <c r="G726" s="114" t="s">
        <v>777</v>
      </c>
      <c r="H726" s="114" t="s">
        <v>777</v>
      </c>
      <c r="I726" s="71">
        <v>0.9</v>
      </c>
      <c r="J726" s="72">
        <v>0.96875</v>
      </c>
      <c r="K726" s="72">
        <v>0.970588235294118</v>
      </c>
      <c r="L726" s="73">
        <v>1</v>
      </c>
      <c r="M726" s="72">
        <v>0.979661016949153</v>
      </c>
      <c r="N726" s="74">
        <v>0.9</v>
      </c>
      <c r="O726" s="72">
        <v>0.903472222222222</v>
      </c>
      <c r="P726" s="72">
        <v>0.96931894807822</v>
      </c>
      <c r="Q726" s="72">
        <v>0.933673469387755</v>
      </c>
      <c r="R726" s="72">
        <v>0.948482095540919</v>
      </c>
      <c r="S726" s="74">
        <v>0.9</v>
      </c>
      <c r="T726" s="72">
        <v>0.846527777777778</v>
      </c>
      <c r="U726" s="72">
        <v>0.845920431557653</v>
      </c>
      <c r="V726" s="72">
        <v>0.890136054421769</v>
      </c>
      <c r="W726" s="72">
        <v>0.854001059883413</v>
      </c>
      <c r="X726" s="74">
        <v>0.92</v>
      </c>
      <c r="Y726" s="74">
        <v>0.91453313253012</v>
      </c>
      <c r="Z726" s="74">
        <v>0.925925925925926</v>
      </c>
      <c r="AA726" s="74">
        <v>0.902864259028643</v>
      </c>
      <c r="AB726" s="74">
        <v>0.908244061481136</v>
      </c>
      <c r="AC726" s="74">
        <v>0.92</v>
      </c>
      <c r="AD726" s="72">
        <v>1</v>
      </c>
      <c r="AE726" s="72">
        <v>0.95364238410596</v>
      </c>
      <c r="AF726" s="72">
        <v>0.989071038251366</v>
      </c>
      <c r="AG726" s="72">
        <v>0.974744027303754</v>
      </c>
      <c r="AH726" s="74">
        <v>0.92</v>
      </c>
      <c r="AI726" s="72">
        <v>0.92431640625</v>
      </c>
      <c r="AJ726" s="72">
        <v>0.951174934725849</v>
      </c>
      <c r="AK726" s="72">
        <v>0.948971413304836</v>
      </c>
      <c r="AL726" s="72">
        <v>0.945437924927155</v>
      </c>
      <c r="AM726" s="71">
        <v>0.99</v>
      </c>
      <c r="AN726" s="76">
        <v>1</v>
      </c>
      <c r="AO726" s="76">
        <v>1</v>
      </c>
      <c r="AP726" s="76">
        <v>1</v>
      </c>
      <c r="AQ726" s="76">
        <v>1</v>
      </c>
      <c r="AR726" s="96">
        <v>0.0810595228934205</v>
      </c>
      <c r="AS726" s="80">
        <v>0</v>
      </c>
      <c r="AT726" s="80">
        <v>0</v>
      </c>
      <c r="AU726" s="80">
        <v>0</v>
      </c>
      <c r="AV726" s="80">
        <v>0.03125</v>
      </c>
      <c r="AW726" s="36"/>
      <c r="AX726" s="34"/>
    </row>
    <row r="727" ht="14.5" spans="1:50">
      <c r="A727" s="32"/>
      <c r="B727" s="36"/>
      <c r="C727" s="91" t="s">
        <v>693</v>
      </c>
      <c r="D727" s="69" t="s">
        <v>21</v>
      </c>
      <c r="E727" s="114" t="s">
        <v>778</v>
      </c>
      <c r="F727" s="114" t="s">
        <v>778</v>
      </c>
      <c r="G727" s="114" t="s">
        <v>778</v>
      </c>
      <c r="H727" s="114" t="s">
        <v>778</v>
      </c>
      <c r="I727" s="71">
        <v>0.9</v>
      </c>
      <c r="J727" s="72">
        <v>1</v>
      </c>
      <c r="K727" s="72">
        <v>1</v>
      </c>
      <c r="L727" s="73">
        <v>1</v>
      </c>
      <c r="M727" s="72">
        <v>0.87218045112782</v>
      </c>
      <c r="N727" s="74">
        <v>0.9</v>
      </c>
      <c r="O727" s="72">
        <v>0.978443113772455</v>
      </c>
      <c r="P727" s="72">
        <v>0.975455820476858</v>
      </c>
      <c r="Q727" s="72">
        <v>0.987508218277449</v>
      </c>
      <c r="R727" s="72">
        <v>0.978558045937131</v>
      </c>
      <c r="S727" s="74">
        <v>0.9</v>
      </c>
      <c r="T727" s="72">
        <v>0.938323353293413</v>
      </c>
      <c r="U727" s="72">
        <v>0.948807854137447</v>
      </c>
      <c r="V727" s="72">
        <v>0.954635108481262</v>
      </c>
      <c r="W727" s="72">
        <v>0.94677676774686</v>
      </c>
      <c r="X727" s="74">
        <v>0.92</v>
      </c>
      <c r="Y727" s="74">
        <v>0.84593837535014</v>
      </c>
      <c r="Z727" s="74">
        <v>0.835497835497836</v>
      </c>
      <c r="AA727" s="74">
        <v>0.908866995073892</v>
      </c>
      <c r="AB727" s="74">
        <v>0.884248210023866</v>
      </c>
      <c r="AC727" s="74">
        <v>0.92</v>
      </c>
      <c r="AD727" s="72">
        <v>1</v>
      </c>
      <c r="AE727" s="72">
        <v>1</v>
      </c>
      <c r="AF727" s="72">
        <v>0.992063492063492</v>
      </c>
      <c r="AG727" s="72">
        <v>0.992574257425743</v>
      </c>
      <c r="AH727" s="74">
        <v>0.92</v>
      </c>
      <c r="AI727" s="72">
        <v>0.955599407992107</v>
      </c>
      <c r="AJ727" s="72">
        <v>0.945444915254237</v>
      </c>
      <c r="AK727" s="72">
        <v>0.967306694343539</v>
      </c>
      <c r="AL727" s="72">
        <v>0.963242330424993</v>
      </c>
      <c r="AM727" s="71">
        <v>0.99</v>
      </c>
      <c r="AN727" s="76">
        <v>1</v>
      </c>
      <c r="AO727" s="76">
        <v>1</v>
      </c>
      <c r="AP727" s="76">
        <v>1</v>
      </c>
      <c r="AQ727" s="76">
        <v>1</v>
      </c>
      <c r="AR727" s="96">
        <v>0.0810595228934205</v>
      </c>
      <c r="AS727" s="80">
        <v>0</v>
      </c>
      <c r="AT727" s="80">
        <v>0</v>
      </c>
      <c r="AU727" s="80">
        <v>0.166666666666667</v>
      </c>
      <c r="AV727" s="80">
        <v>0.0615384615384615</v>
      </c>
      <c r="AW727" s="36"/>
      <c r="AX727" s="34"/>
    </row>
    <row r="728" ht="14.5" spans="1:50">
      <c r="A728" s="32"/>
      <c r="B728" s="36"/>
      <c r="C728" s="91" t="s">
        <v>693</v>
      </c>
      <c r="D728" s="69" t="s">
        <v>21</v>
      </c>
      <c r="E728" s="114" t="s">
        <v>779</v>
      </c>
      <c r="F728" s="114" t="s">
        <v>779</v>
      </c>
      <c r="G728" s="114" t="s">
        <v>779</v>
      </c>
      <c r="H728" s="114" t="s">
        <v>779</v>
      </c>
      <c r="I728" s="71">
        <v>0.9</v>
      </c>
      <c r="J728" s="72">
        <v>0.884615384615385</v>
      </c>
      <c r="K728" s="72">
        <v>0.964285714285714</v>
      </c>
      <c r="L728" s="73">
        <v>0.857142857142857</v>
      </c>
      <c r="M728" s="72">
        <v>0.937269372693727</v>
      </c>
      <c r="N728" s="74">
        <v>0.9</v>
      </c>
      <c r="O728" s="72">
        <v>0.947001934235977</v>
      </c>
      <c r="P728" s="72">
        <v>0.960508995173322</v>
      </c>
      <c r="Q728" s="72">
        <v>0.981909970551115</v>
      </c>
      <c r="R728" s="72">
        <v>0.97384191001617</v>
      </c>
      <c r="S728" s="74">
        <v>0.9</v>
      </c>
      <c r="T728" s="72">
        <v>0.96247582205029</v>
      </c>
      <c r="U728" s="72">
        <v>0.976744186046512</v>
      </c>
      <c r="V728" s="72">
        <v>0.979385780395456</v>
      </c>
      <c r="W728" s="72">
        <v>0.969181013982688</v>
      </c>
      <c r="X728" s="74">
        <v>0.92</v>
      </c>
      <c r="Y728" s="74">
        <v>0.947916666666667</v>
      </c>
      <c r="Z728" s="74">
        <v>0.949044585987261</v>
      </c>
      <c r="AA728" s="74">
        <v>0.969660194174757</v>
      </c>
      <c r="AB728" s="74">
        <v>0.958789519006028</v>
      </c>
      <c r="AC728" s="74">
        <v>0.92</v>
      </c>
      <c r="AD728" s="72">
        <v>0.998473282442748</v>
      </c>
      <c r="AE728" s="72">
        <v>1</v>
      </c>
      <c r="AF728" s="72">
        <v>0.999688958009331</v>
      </c>
      <c r="AG728" s="72">
        <v>0.998583189737699</v>
      </c>
      <c r="AH728" s="74">
        <v>0.92</v>
      </c>
      <c r="AI728" s="72">
        <v>0.973615540736445</v>
      </c>
      <c r="AJ728" s="72">
        <v>0.98009138381201</v>
      </c>
      <c r="AK728" s="72">
        <v>0.986258588382261</v>
      </c>
      <c r="AL728" s="72">
        <v>0.979833316184793</v>
      </c>
      <c r="AM728" s="71">
        <v>0.99</v>
      </c>
      <c r="AN728" s="76">
        <v>1</v>
      </c>
      <c r="AO728" s="76">
        <v>1</v>
      </c>
      <c r="AP728" s="76">
        <v>1</v>
      </c>
      <c r="AQ728" s="76">
        <v>1</v>
      </c>
      <c r="AR728" s="96">
        <v>0.0810595228934205</v>
      </c>
      <c r="AS728" s="80">
        <v>0</v>
      </c>
      <c r="AT728" s="80">
        <v>0.0769230769230769</v>
      </c>
      <c r="AU728" s="80">
        <v>0</v>
      </c>
      <c r="AV728" s="80">
        <v>0.0446428571428571</v>
      </c>
      <c r="AW728" s="36"/>
      <c r="AX728" s="34"/>
    </row>
    <row r="729" ht="14.5" spans="1:50">
      <c r="A729" s="32"/>
      <c r="B729" s="36"/>
      <c r="C729" s="91" t="s">
        <v>693</v>
      </c>
      <c r="D729" s="69" t="s">
        <v>21</v>
      </c>
      <c r="E729" s="114" t="s">
        <v>780</v>
      </c>
      <c r="F729" s="114" t="s">
        <v>780</v>
      </c>
      <c r="G729" s="114" t="s">
        <v>780</v>
      </c>
      <c r="H729" s="114" t="s">
        <v>780</v>
      </c>
      <c r="I729" s="71">
        <v>0.9</v>
      </c>
      <c r="J729" s="72">
        <v>0.972222222222222</v>
      </c>
      <c r="K729" s="72">
        <v>1</v>
      </c>
      <c r="L729" s="73">
        <v>0.985915492957746</v>
      </c>
      <c r="M729" s="72">
        <v>0.967840735068913</v>
      </c>
      <c r="N729" s="74">
        <v>0.9</v>
      </c>
      <c r="O729" s="72">
        <v>0.994790116105984</v>
      </c>
      <c r="P729" s="72">
        <v>0.994953605730099</v>
      </c>
      <c r="Q729" s="72">
        <v>0.992519497055547</v>
      </c>
      <c r="R729" s="72">
        <v>0.993036161833154</v>
      </c>
      <c r="S729" s="74">
        <v>0.9</v>
      </c>
      <c r="T729" s="72">
        <v>0.927954748437035</v>
      </c>
      <c r="U729" s="72">
        <v>0.964186879374898</v>
      </c>
      <c r="V729" s="72">
        <v>0.949864714308451</v>
      </c>
      <c r="W729" s="72">
        <v>0.947923379878267</v>
      </c>
      <c r="X729" s="74">
        <v>0.92</v>
      </c>
      <c r="Y729" s="74">
        <v>0.927884615384615</v>
      </c>
      <c r="Z729" s="74">
        <v>0.952934955050238</v>
      </c>
      <c r="AA729" s="74">
        <v>0.965401249399327</v>
      </c>
      <c r="AB729" s="74">
        <v>0.954327862446268</v>
      </c>
      <c r="AC729" s="74">
        <v>0.92</v>
      </c>
      <c r="AD729" s="72">
        <v>0.998038446449588</v>
      </c>
      <c r="AE729" s="72">
        <v>0.99907821964709</v>
      </c>
      <c r="AF729" s="72">
        <v>0.998634812286689</v>
      </c>
      <c r="AG729" s="72">
        <v>0.998737732336142</v>
      </c>
      <c r="AH729" s="74">
        <v>0.92</v>
      </c>
      <c r="AI729" s="72">
        <v>0.946848646249445</v>
      </c>
      <c r="AJ729" s="72">
        <v>0.975864642946006</v>
      </c>
      <c r="AK729" s="72">
        <v>0.978608986615679</v>
      </c>
      <c r="AL729" s="72">
        <v>0.971849058580145</v>
      </c>
      <c r="AM729" s="71">
        <v>0.99</v>
      </c>
      <c r="AN729" s="76">
        <v>1</v>
      </c>
      <c r="AO729" s="76">
        <v>1</v>
      </c>
      <c r="AP729" s="76">
        <v>1</v>
      </c>
      <c r="AQ729" s="76">
        <v>1</v>
      </c>
      <c r="AR729" s="96">
        <v>0.0810595228934205</v>
      </c>
      <c r="AS729" s="80">
        <v>0</v>
      </c>
      <c r="AT729" s="80">
        <v>0</v>
      </c>
      <c r="AU729" s="80">
        <v>0</v>
      </c>
      <c r="AV729" s="80">
        <v>0.00952380952380952</v>
      </c>
      <c r="AW729" s="36"/>
      <c r="AX729" s="34"/>
    </row>
    <row r="730" ht="14.5" spans="1:50">
      <c r="A730" s="32"/>
      <c r="B730" s="36"/>
      <c r="C730" s="91" t="s">
        <v>693</v>
      </c>
      <c r="D730" s="69" t="s">
        <v>21</v>
      </c>
      <c r="E730" s="114" t="s">
        <v>781</v>
      </c>
      <c r="F730" s="114" t="s">
        <v>781</v>
      </c>
      <c r="G730" s="114" t="s">
        <v>781</v>
      </c>
      <c r="H730" s="114" t="s">
        <v>781</v>
      </c>
      <c r="I730" s="71">
        <v>0.9</v>
      </c>
      <c r="J730" s="72">
        <v>0.948717948717949</v>
      </c>
      <c r="K730" s="72">
        <v>0.974358974358974</v>
      </c>
      <c r="L730" s="73">
        <v>0.976190476190476</v>
      </c>
      <c r="M730" s="72">
        <v>0.967567567567568</v>
      </c>
      <c r="N730" s="74">
        <v>0.9</v>
      </c>
      <c r="O730" s="72">
        <v>0.987748434522189</v>
      </c>
      <c r="P730" s="72">
        <v>0.976641040804258</v>
      </c>
      <c r="Q730" s="72">
        <v>0.984266263237519</v>
      </c>
      <c r="R730" s="72">
        <v>0.985281072379012</v>
      </c>
      <c r="S730" s="74">
        <v>0.9</v>
      </c>
      <c r="T730" s="72">
        <v>0.953988565205554</v>
      </c>
      <c r="U730" s="72">
        <v>0.956238911886458</v>
      </c>
      <c r="V730" s="72">
        <v>0.957639939485628</v>
      </c>
      <c r="W730" s="72">
        <v>0.958570161316818</v>
      </c>
      <c r="X730" s="74">
        <v>0.92</v>
      </c>
      <c r="Y730" s="74">
        <v>0.954947707160097</v>
      </c>
      <c r="Z730" s="74">
        <v>0.963696369636964</v>
      </c>
      <c r="AA730" s="74">
        <v>0.967492260061919</v>
      </c>
      <c r="AB730" s="74">
        <v>0.964695355080127</v>
      </c>
      <c r="AC730" s="74">
        <v>0.92</v>
      </c>
      <c r="AD730" s="72">
        <v>0.997282608695652</v>
      </c>
      <c r="AE730" s="72">
        <v>0.999387630128598</v>
      </c>
      <c r="AF730" s="72">
        <v>0.998327293002509</v>
      </c>
      <c r="AG730" s="72">
        <v>0.99864569225961</v>
      </c>
      <c r="AH730" s="74">
        <v>0.92</v>
      </c>
      <c r="AI730" s="72">
        <v>0.974776240846216</v>
      </c>
      <c r="AJ730" s="72">
        <v>0.981936887921654</v>
      </c>
      <c r="AK730" s="72">
        <v>0.983902545138134</v>
      </c>
      <c r="AL730" s="72">
        <v>0.982239382239382</v>
      </c>
      <c r="AM730" s="71">
        <v>0.99</v>
      </c>
      <c r="AN730" s="76">
        <v>1</v>
      </c>
      <c r="AO730" s="76">
        <v>1</v>
      </c>
      <c r="AP730" s="76">
        <v>1</v>
      </c>
      <c r="AQ730" s="76">
        <v>1</v>
      </c>
      <c r="AR730" s="96">
        <v>0.0810595228934205</v>
      </c>
      <c r="AS730" s="80">
        <v>0</v>
      </c>
      <c r="AT730" s="80">
        <v>0.0588235294117647</v>
      </c>
      <c r="AU730" s="80">
        <v>0.111111111111111</v>
      </c>
      <c r="AV730" s="80">
        <v>0.0193548387096774</v>
      </c>
      <c r="AW730" s="36"/>
      <c r="AX730" s="34"/>
    </row>
    <row r="731" ht="14.5" spans="1:50">
      <c r="A731" s="32"/>
      <c r="B731" s="36"/>
      <c r="C731" s="91" t="s">
        <v>693</v>
      </c>
      <c r="D731" s="69" t="s">
        <v>21</v>
      </c>
      <c r="E731" s="114" t="s">
        <v>782</v>
      </c>
      <c r="F731" s="114" t="s">
        <v>782</v>
      </c>
      <c r="G731" s="114" t="s">
        <v>782</v>
      </c>
      <c r="H731" s="114" t="s">
        <v>782</v>
      </c>
      <c r="I731" s="71">
        <v>0.9</v>
      </c>
      <c r="J731" s="72">
        <v>0.936170212765957</v>
      </c>
      <c r="K731" s="72">
        <v>0.938775510204082</v>
      </c>
      <c r="L731" s="73">
        <v>0.88</v>
      </c>
      <c r="M731" s="72">
        <v>0.935483870967742</v>
      </c>
      <c r="N731" s="74">
        <v>0.9</v>
      </c>
      <c r="O731" s="72">
        <v>0.961227786752827</v>
      </c>
      <c r="P731" s="72">
        <v>0.976354679802956</v>
      </c>
      <c r="Q731" s="72">
        <v>0.954299175500589</v>
      </c>
      <c r="R731" s="72">
        <v>0.97044700888712</v>
      </c>
      <c r="S731" s="74">
        <v>0.9</v>
      </c>
      <c r="T731" s="72">
        <v>0.908608354488807</v>
      </c>
      <c r="U731" s="72">
        <v>0.931773399014778</v>
      </c>
      <c r="V731" s="72">
        <v>0.914252061248528</v>
      </c>
      <c r="W731" s="72">
        <v>0.926090993500464</v>
      </c>
      <c r="X731" s="74">
        <v>0.92</v>
      </c>
      <c r="Y731" s="74">
        <v>0.937012987012987</v>
      </c>
      <c r="Z731" s="74">
        <v>0.94475138121547</v>
      </c>
      <c r="AA731" s="74">
        <v>0.925952045133992</v>
      </c>
      <c r="AB731" s="74">
        <v>0.940359756514602</v>
      </c>
      <c r="AC731" s="74">
        <v>0.92</v>
      </c>
      <c r="AD731" s="72">
        <v>0.994057266342518</v>
      </c>
      <c r="AE731" s="72">
        <v>0.994263131055584</v>
      </c>
      <c r="AF731" s="72">
        <v>0.993943565037853</v>
      </c>
      <c r="AG731" s="72">
        <v>0.983553475250064</v>
      </c>
      <c r="AH731" s="74">
        <v>0.92</v>
      </c>
      <c r="AI731" s="72">
        <v>0.946033367381682</v>
      </c>
      <c r="AJ731" s="72">
        <v>0.961517516790706</v>
      </c>
      <c r="AK731" s="72">
        <v>0.955524179315214</v>
      </c>
      <c r="AL731" s="72">
        <v>0.96139881521116</v>
      </c>
      <c r="AM731" s="71">
        <v>0.99</v>
      </c>
      <c r="AN731" s="76">
        <v>1</v>
      </c>
      <c r="AO731" s="76">
        <v>1</v>
      </c>
      <c r="AP731" s="76">
        <v>1</v>
      </c>
      <c r="AQ731" s="76">
        <v>1</v>
      </c>
      <c r="AR731" s="96">
        <v>0.0810595228934205</v>
      </c>
      <c r="AS731" s="80">
        <v>0.0454545454545455</v>
      </c>
      <c r="AT731" s="80">
        <v>-0.0666666666666667</v>
      </c>
      <c r="AU731" s="80">
        <v>0</v>
      </c>
      <c r="AV731" s="80">
        <v>0.0584795321637427</v>
      </c>
      <c r="AW731" s="36"/>
      <c r="AX731" s="34"/>
    </row>
    <row r="732" ht="14.5" spans="1:50">
      <c r="A732" s="32"/>
      <c r="B732" s="36"/>
      <c r="C732" s="91" t="s">
        <v>693</v>
      </c>
      <c r="D732" s="69" t="s">
        <v>21</v>
      </c>
      <c r="E732" s="114" t="s">
        <v>783</v>
      </c>
      <c r="F732" s="114" t="s">
        <v>783</v>
      </c>
      <c r="G732" s="114" t="s">
        <v>783</v>
      </c>
      <c r="H732" s="114" t="s">
        <v>783</v>
      </c>
      <c r="I732" s="71">
        <v>0.9</v>
      </c>
      <c r="J732" s="72">
        <v>0.941176470588235</v>
      </c>
      <c r="K732" s="72">
        <v>0.941176470588235</v>
      </c>
      <c r="L732" s="73">
        <v>0.842105263157895</v>
      </c>
      <c r="M732" s="72">
        <v>0.919753086419753</v>
      </c>
      <c r="N732" s="74">
        <v>0.9</v>
      </c>
      <c r="O732" s="72">
        <v>0.893074119076549</v>
      </c>
      <c r="P732" s="72">
        <v>0.910910910910911</v>
      </c>
      <c r="Q732" s="72">
        <v>0.954265611257696</v>
      </c>
      <c r="R732" s="72">
        <v>0.93334029336535</v>
      </c>
      <c r="S732" s="74">
        <v>0.9</v>
      </c>
      <c r="T732" s="72">
        <v>0.886188740380721</v>
      </c>
      <c r="U732" s="72">
        <v>0.908908908908909</v>
      </c>
      <c r="V732" s="72">
        <v>0.933157431838171</v>
      </c>
      <c r="W732" s="72">
        <v>0.92107323693689</v>
      </c>
      <c r="X732" s="74">
        <v>0.92</v>
      </c>
      <c r="Y732" s="74">
        <v>0.913721413721414</v>
      </c>
      <c r="Z732" s="74">
        <v>0.947976878612717</v>
      </c>
      <c r="AA732" s="74">
        <v>0.947247706422018</v>
      </c>
      <c r="AB732" s="74">
        <v>0.939583825963585</v>
      </c>
      <c r="AC732" s="74">
        <v>0.92</v>
      </c>
      <c r="AD732" s="72">
        <v>0.996888990059944</v>
      </c>
      <c r="AE732" s="72">
        <v>0.996600453272897</v>
      </c>
      <c r="AF732" s="72">
        <v>0.95611207537813</v>
      </c>
      <c r="AG732" s="72">
        <v>0.935821232412911</v>
      </c>
      <c r="AH732" s="74">
        <v>0.92</v>
      </c>
      <c r="AI732" s="72">
        <v>0.936498689193126</v>
      </c>
      <c r="AJ732" s="72">
        <v>0.957402234636871</v>
      </c>
      <c r="AK732" s="72">
        <v>0.971719097553225</v>
      </c>
      <c r="AL732" s="72">
        <v>0.961225154773542</v>
      </c>
      <c r="AM732" s="71">
        <v>0.99</v>
      </c>
      <c r="AN732" s="76">
        <v>1</v>
      </c>
      <c r="AO732" s="76">
        <v>1</v>
      </c>
      <c r="AP732" s="76">
        <v>1</v>
      </c>
      <c r="AQ732" s="76">
        <v>1</v>
      </c>
      <c r="AR732" s="96">
        <v>0.0810595228934205</v>
      </c>
      <c r="AS732" s="80">
        <v>0</v>
      </c>
      <c r="AT732" s="80">
        <v>0</v>
      </c>
      <c r="AU732" s="80">
        <v>0</v>
      </c>
      <c r="AV732" s="80">
        <v>0.028169014084507</v>
      </c>
      <c r="AW732" s="36"/>
      <c r="AX732" s="34"/>
    </row>
    <row r="733" ht="14.5" spans="1:50">
      <c r="A733" s="32"/>
      <c r="B733" s="36"/>
      <c r="C733" s="91" t="s">
        <v>693</v>
      </c>
      <c r="D733" s="69" t="s">
        <v>21</v>
      </c>
      <c r="E733" s="114" t="s">
        <v>784</v>
      </c>
      <c r="F733" s="114" t="s">
        <v>784</v>
      </c>
      <c r="G733" s="114" t="s">
        <v>784</v>
      </c>
      <c r="H733" s="114" t="s">
        <v>784</v>
      </c>
      <c r="I733" s="71">
        <v>0.9</v>
      </c>
      <c r="J733" s="72">
        <v>0.96</v>
      </c>
      <c r="K733" s="72">
        <v>1</v>
      </c>
      <c r="L733" s="73">
        <v>1</v>
      </c>
      <c r="M733" s="72">
        <v>0.980237154150198</v>
      </c>
      <c r="N733" s="74">
        <v>0.9</v>
      </c>
      <c r="O733" s="72">
        <v>0.976353928299008</v>
      </c>
      <c r="P733" s="72">
        <v>0.991622574955908</v>
      </c>
      <c r="Q733" s="72">
        <v>0.989120151371807</v>
      </c>
      <c r="R733" s="72">
        <v>0.987919463087248</v>
      </c>
      <c r="S733" s="74">
        <v>0.9</v>
      </c>
      <c r="T733" s="72">
        <v>0.933638443935927</v>
      </c>
      <c r="U733" s="72">
        <v>0.957671957671958</v>
      </c>
      <c r="V733" s="72">
        <v>0.939451277199622</v>
      </c>
      <c r="W733" s="72">
        <v>0.949712368168744</v>
      </c>
      <c r="X733" s="74">
        <v>0.92</v>
      </c>
      <c r="Y733" s="74">
        <v>0.974087161366313</v>
      </c>
      <c r="Z733" s="74">
        <v>0.968071519795658</v>
      </c>
      <c r="AA733" s="74">
        <v>0.969086021505376</v>
      </c>
      <c r="AB733" s="74">
        <v>0.96707455531727</v>
      </c>
      <c r="AC733" s="74">
        <v>0.92</v>
      </c>
      <c r="AD733" s="72">
        <v>0.98780487804878</v>
      </c>
      <c r="AE733" s="72">
        <v>1</v>
      </c>
      <c r="AF733" s="72">
        <v>0.99814126394052</v>
      </c>
      <c r="AG733" s="72">
        <v>0.997557768175841</v>
      </c>
      <c r="AH733" s="74">
        <v>0.92</v>
      </c>
      <c r="AI733" s="72">
        <v>0.982425813886488</v>
      </c>
      <c r="AJ733" s="72">
        <v>0.98459521468371</v>
      </c>
      <c r="AK733" s="72">
        <v>0.982505248425472</v>
      </c>
      <c r="AL733" s="72">
        <v>0.981730401861693</v>
      </c>
      <c r="AM733" s="71">
        <v>0.99</v>
      </c>
      <c r="AN733" s="76">
        <v>1</v>
      </c>
      <c r="AO733" s="76">
        <v>1</v>
      </c>
      <c r="AP733" s="76">
        <v>1</v>
      </c>
      <c r="AQ733" s="76">
        <v>1</v>
      </c>
      <c r="AR733" s="96">
        <v>0.0810595228934205</v>
      </c>
      <c r="AS733" s="80">
        <v>0</v>
      </c>
      <c r="AT733" s="80">
        <v>0</v>
      </c>
      <c r="AU733" s="80">
        <v>0.142857142857143</v>
      </c>
      <c r="AV733" s="80">
        <v>0.043010752688172</v>
      </c>
      <c r="AW733" s="36"/>
      <c r="AX733" s="34"/>
    </row>
    <row r="734" ht="14.5" spans="1:50">
      <c r="A734" s="32"/>
      <c r="B734" s="36"/>
      <c r="C734" s="91" t="s">
        <v>693</v>
      </c>
      <c r="D734" s="69" t="s">
        <v>21</v>
      </c>
      <c r="E734" s="114" t="s">
        <v>785</v>
      </c>
      <c r="F734" s="114" t="s">
        <v>785</v>
      </c>
      <c r="G734" s="114" t="s">
        <v>785</v>
      </c>
      <c r="H734" s="114" t="s">
        <v>785</v>
      </c>
      <c r="I734" s="71">
        <v>0.9</v>
      </c>
      <c r="J734" s="72">
        <v>1</v>
      </c>
      <c r="K734" s="72">
        <v>0.894736842105263</v>
      </c>
      <c r="L734" s="73">
        <v>0.975609756097561</v>
      </c>
      <c r="M734" s="72">
        <v>0.963172804532578</v>
      </c>
      <c r="N734" s="74">
        <v>0.9</v>
      </c>
      <c r="O734" s="72">
        <v>0.978352544278887</v>
      </c>
      <c r="P734" s="72">
        <v>0.98011187072716</v>
      </c>
      <c r="Q734" s="72">
        <v>0.98038632986627</v>
      </c>
      <c r="R734" s="72">
        <v>0.974337610398267</v>
      </c>
      <c r="S734" s="74">
        <v>0.9</v>
      </c>
      <c r="T734" s="72">
        <v>0.92071970761878</v>
      </c>
      <c r="U734" s="72">
        <v>0.932566811684276</v>
      </c>
      <c r="V734" s="72">
        <v>0.934323922734027</v>
      </c>
      <c r="W734" s="72">
        <v>0.932877853691051</v>
      </c>
      <c r="X734" s="74">
        <v>0.92</v>
      </c>
      <c r="Y734" s="74">
        <v>0.941946034341782</v>
      </c>
      <c r="Z734" s="74">
        <v>0.955974842767296</v>
      </c>
      <c r="AA734" s="74">
        <v>0.965009208103131</v>
      </c>
      <c r="AB734" s="74">
        <v>0.954002079002079</v>
      </c>
      <c r="AC734" s="74">
        <v>0.92</v>
      </c>
      <c r="AD734" s="72">
        <v>1</v>
      </c>
      <c r="AE734" s="72">
        <v>0.999473684210526</v>
      </c>
      <c r="AF734" s="72">
        <v>0.999144079885877</v>
      </c>
      <c r="AG734" s="72">
        <v>0.99917729329494</v>
      </c>
      <c r="AH734" s="74">
        <v>0.92</v>
      </c>
      <c r="AI734" s="72">
        <v>0.958603386995609</v>
      </c>
      <c r="AJ734" s="72">
        <v>0.968850946008306</v>
      </c>
      <c r="AK734" s="72">
        <v>0.974848416797665</v>
      </c>
      <c r="AL734" s="72">
        <v>0.970249404747589</v>
      </c>
      <c r="AM734" s="71">
        <v>0.99</v>
      </c>
      <c r="AN734" s="76">
        <v>1</v>
      </c>
      <c r="AO734" s="76">
        <v>1</v>
      </c>
      <c r="AP734" s="76">
        <v>1</v>
      </c>
      <c r="AQ734" s="76">
        <v>1</v>
      </c>
      <c r="AR734" s="96">
        <v>0.0810595228934205</v>
      </c>
      <c r="AS734" s="80">
        <v>0</v>
      </c>
      <c r="AT734" s="80">
        <v>0.0952380952380952</v>
      </c>
      <c r="AU734" s="80">
        <v>0.0769230769230769</v>
      </c>
      <c r="AV734" s="80">
        <v>0.0349344978165939</v>
      </c>
      <c r="AW734" s="36"/>
      <c r="AX734" s="34"/>
    </row>
    <row r="735" ht="14.5" spans="1:50">
      <c r="A735" s="32"/>
      <c r="B735" s="36"/>
      <c r="C735" s="91" t="s">
        <v>693</v>
      </c>
      <c r="D735" s="69" t="s">
        <v>21</v>
      </c>
      <c r="E735" s="114" t="s">
        <v>786</v>
      </c>
      <c r="F735" s="114" t="s">
        <v>786</v>
      </c>
      <c r="G735" s="114" t="s">
        <v>786</v>
      </c>
      <c r="H735" s="114" t="s">
        <v>786</v>
      </c>
      <c r="I735" s="71">
        <v>0.9</v>
      </c>
      <c r="J735" s="72">
        <v>0.96969696969697</v>
      </c>
      <c r="K735" s="72">
        <v>0.945945945945946</v>
      </c>
      <c r="L735" s="73">
        <v>0.897435897435897</v>
      </c>
      <c r="M735" s="72">
        <v>0.897515527950311</v>
      </c>
      <c r="N735" s="74">
        <v>0.9</v>
      </c>
      <c r="O735" s="72">
        <v>0.953125</v>
      </c>
      <c r="P735" s="72">
        <v>0.983184257602862</v>
      </c>
      <c r="Q735" s="72">
        <v>0.969471068512602</v>
      </c>
      <c r="R735" s="72">
        <v>0.973183254344392</v>
      </c>
      <c r="S735" s="74">
        <v>0.9</v>
      </c>
      <c r="T735" s="72">
        <v>0.9521875</v>
      </c>
      <c r="U735" s="72">
        <v>0.948837209302326</v>
      </c>
      <c r="V735" s="72">
        <v>0.968406105786297</v>
      </c>
      <c r="W735" s="72">
        <v>0.95240916271722</v>
      </c>
      <c r="X735" s="74">
        <v>0.92</v>
      </c>
      <c r="Y735" s="74">
        <v>0.938812785388128</v>
      </c>
      <c r="Z735" s="74">
        <v>0.970703125</v>
      </c>
      <c r="AA735" s="74">
        <v>0.972754793138244</v>
      </c>
      <c r="AB735" s="74">
        <v>0.951943951055852</v>
      </c>
      <c r="AC735" s="74">
        <v>0.92</v>
      </c>
      <c r="AD735" s="72">
        <v>1</v>
      </c>
      <c r="AE735" s="72">
        <v>0.99962852897474</v>
      </c>
      <c r="AF735" s="72">
        <v>0.999647887323944</v>
      </c>
      <c r="AG735" s="72">
        <v>0.999204671984003</v>
      </c>
      <c r="AH735" s="74">
        <v>0.92</v>
      </c>
      <c r="AI735" s="72">
        <v>0.969739292364991</v>
      </c>
      <c r="AJ735" s="72">
        <v>0.980361351139042</v>
      </c>
      <c r="AK735" s="72">
        <v>0.985823050669467</v>
      </c>
      <c r="AL735" s="72">
        <v>0.976059555029185</v>
      </c>
      <c r="AM735" s="71">
        <v>0.99</v>
      </c>
      <c r="AN735" s="76">
        <v>1</v>
      </c>
      <c r="AO735" s="76">
        <v>1</v>
      </c>
      <c r="AP735" s="76">
        <v>1</v>
      </c>
      <c r="AQ735" s="76">
        <v>1</v>
      </c>
      <c r="AR735" s="96">
        <v>0.0810595228934205</v>
      </c>
      <c r="AS735" s="80">
        <v>0</v>
      </c>
      <c r="AT735" s="80">
        <v>0.153846153846154</v>
      </c>
      <c r="AU735" s="80">
        <v>0</v>
      </c>
      <c r="AV735" s="80">
        <v>0.0509554140127389</v>
      </c>
      <c r="AW735" s="36"/>
      <c r="AX735" s="34"/>
    </row>
    <row r="736" ht="14.5" spans="1:50">
      <c r="A736" s="32"/>
      <c r="B736" s="36"/>
      <c r="C736" s="91" t="s">
        <v>693</v>
      </c>
      <c r="D736" s="69" t="s">
        <v>21</v>
      </c>
      <c r="E736" s="114" t="s">
        <v>787</v>
      </c>
      <c r="F736" s="114" t="s">
        <v>787</v>
      </c>
      <c r="G736" s="114" t="s">
        <v>787</v>
      </c>
      <c r="H736" s="114" t="s">
        <v>787</v>
      </c>
      <c r="I736" s="71">
        <v>0.9</v>
      </c>
      <c r="J736" s="72">
        <v>0.944444444444444</v>
      </c>
      <c r="K736" s="72">
        <v>0.947368421052632</v>
      </c>
      <c r="L736" s="73">
        <v>0.904761904761905</v>
      </c>
      <c r="M736" s="72">
        <v>0.929411764705882</v>
      </c>
      <c r="N736" s="74">
        <v>0.9</v>
      </c>
      <c r="O736" s="72">
        <v>0.949674363528715</v>
      </c>
      <c r="P736" s="72">
        <v>0.917009602194787</v>
      </c>
      <c r="Q736" s="72">
        <v>0.959196484620213</v>
      </c>
      <c r="R736" s="72">
        <v>0.949062233589088</v>
      </c>
      <c r="S736" s="74">
        <v>0.9</v>
      </c>
      <c r="T736" s="72">
        <v>0.914742451154529</v>
      </c>
      <c r="U736" s="72">
        <v>0.89917695473251</v>
      </c>
      <c r="V736" s="72">
        <v>0.925925925925926</v>
      </c>
      <c r="W736" s="72">
        <v>0.912972435350952</v>
      </c>
      <c r="X736" s="74">
        <v>0.92</v>
      </c>
      <c r="Y736" s="74">
        <v>0.960893854748603</v>
      </c>
      <c r="Z736" s="74">
        <v>0.945945945945946</v>
      </c>
      <c r="AA736" s="74">
        <v>0.946808510638298</v>
      </c>
      <c r="AB736" s="74">
        <v>0.94694327152561</v>
      </c>
      <c r="AC736" s="74">
        <v>0.92</v>
      </c>
      <c r="AD736" s="72">
        <v>1</v>
      </c>
      <c r="AE736" s="72">
        <v>0.999031476997579</v>
      </c>
      <c r="AF736" s="72">
        <v>0.996734693877551</v>
      </c>
      <c r="AG736" s="72">
        <v>0.999020951635011</v>
      </c>
      <c r="AH736" s="74">
        <v>0.92</v>
      </c>
      <c r="AI736" s="72">
        <v>0.969493046209062</v>
      </c>
      <c r="AJ736" s="72">
        <v>0.96002024291498</v>
      </c>
      <c r="AK736" s="72">
        <v>0.974038015762633</v>
      </c>
      <c r="AL736" s="72">
        <v>0.969940598115526</v>
      </c>
      <c r="AM736" s="71">
        <v>0.99</v>
      </c>
      <c r="AN736" s="76">
        <v>1</v>
      </c>
      <c r="AO736" s="76">
        <v>1</v>
      </c>
      <c r="AP736" s="76">
        <v>1</v>
      </c>
      <c r="AQ736" s="76">
        <v>1</v>
      </c>
      <c r="AR736" s="96">
        <v>0.0810595228934205</v>
      </c>
      <c r="AS736" s="80">
        <v>0</v>
      </c>
      <c r="AT736" s="80">
        <v>0</v>
      </c>
      <c r="AU736" s="80">
        <v>0</v>
      </c>
      <c r="AV736" s="80">
        <v>0.0701754385964912</v>
      </c>
      <c r="AW736" s="36"/>
      <c r="AX736" s="34"/>
    </row>
    <row r="737" ht="14.5" spans="1:50">
      <c r="A737" s="32"/>
      <c r="B737" s="36"/>
      <c r="C737" s="91" t="s">
        <v>693</v>
      </c>
      <c r="D737" s="69" t="s">
        <v>21</v>
      </c>
      <c r="E737" s="114" t="s">
        <v>788</v>
      </c>
      <c r="F737" s="114" t="s">
        <v>788</v>
      </c>
      <c r="G737" s="114" t="s">
        <v>788</v>
      </c>
      <c r="H737" s="114" t="s">
        <v>788</v>
      </c>
      <c r="I737" s="71">
        <v>0.9</v>
      </c>
      <c r="J737" s="72">
        <v>1</v>
      </c>
      <c r="K737" s="72">
        <v>0.95</v>
      </c>
      <c r="L737" s="73">
        <v>1</v>
      </c>
      <c r="M737" s="72">
        <v>0.955307262569832</v>
      </c>
      <c r="N737" s="74">
        <v>0.9</v>
      </c>
      <c r="O737" s="72">
        <v>0.981996726677578</v>
      </c>
      <c r="P737" s="72">
        <v>0.979343863912515</v>
      </c>
      <c r="Q737" s="72">
        <v>0.984774665042631</v>
      </c>
      <c r="R737" s="72">
        <v>0.984054518989017</v>
      </c>
      <c r="S737" s="74">
        <v>0.9</v>
      </c>
      <c r="T737" s="72">
        <v>0.947081287506819</v>
      </c>
      <c r="U737" s="72">
        <v>0.953827460510328</v>
      </c>
      <c r="V737" s="72">
        <v>0.957369062119367</v>
      </c>
      <c r="W737" s="72">
        <v>0.953089850469763</v>
      </c>
      <c r="X737" s="74">
        <v>0.92</v>
      </c>
      <c r="Y737" s="74">
        <v>0.893574297188755</v>
      </c>
      <c r="Z737" s="74">
        <v>0.952286282306163</v>
      </c>
      <c r="AA737" s="74">
        <v>0.955710955710956</v>
      </c>
      <c r="AB737" s="74">
        <v>0.940118152524168</v>
      </c>
      <c r="AC737" s="74">
        <v>0.92</v>
      </c>
      <c r="AD737" s="72">
        <v>0.998305084745763</v>
      </c>
      <c r="AE737" s="72">
        <v>1</v>
      </c>
      <c r="AF737" s="72">
        <v>0.993710691823899</v>
      </c>
      <c r="AG737" s="72">
        <v>0.98426041852978</v>
      </c>
      <c r="AH737" s="74">
        <v>0.92</v>
      </c>
      <c r="AI737" s="72">
        <v>0.954954954954955</v>
      </c>
      <c r="AJ737" s="72">
        <v>0.972558139534884</v>
      </c>
      <c r="AK737" s="72">
        <v>0.975374215354901</v>
      </c>
      <c r="AL737" s="72">
        <v>0.96947983014862</v>
      </c>
      <c r="AM737" s="71">
        <v>0.99</v>
      </c>
      <c r="AN737" s="76">
        <v>1</v>
      </c>
      <c r="AO737" s="76">
        <v>1</v>
      </c>
      <c r="AP737" s="76">
        <v>1</v>
      </c>
      <c r="AQ737" s="76">
        <v>1</v>
      </c>
      <c r="AR737" s="96">
        <v>0.0810595228934205</v>
      </c>
      <c r="AS737" s="80">
        <v>0.142857142857143</v>
      </c>
      <c r="AT737" s="80">
        <v>0</v>
      </c>
      <c r="AU737" s="80">
        <v>0</v>
      </c>
      <c r="AV737" s="80">
        <v>0.0425531914893617</v>
      </c>
      <c r="AW737" s="36"/>
      <c r="AX737" s="34"/>
    </row>
    <row r="738" ht="14.5" spans="1:50">
      <c r="A738" s="32"/>
      <c r="B738" s="36"/>
      <c r="C738" s="91" t="s">
        <v>693</v>
      </c>
      <c r="D738" s="69" t="s">
        <v>21</v>
      </c>
      <c r="E738" s="114" t="s">
        <v>789</v>
      </c>
      <c r="F738" s="114" t="s">
        <v>789</v>
      </c>
      <c r="G738" s="114" t="s">
        <v>789</v>
      </c>
      <c r="H738" s="114" t="s">
        <v>789</v>
      </c>
      <c r="I738" s="71">
        <v>0.9</v>
      </c>
      <c r="J738" s="72">
        <v>0.96875</v>
      </c>
      <c r="K738" s="72">
        <v>0.888888888888889</v>
      </c>
      <c r="L738" s="73">
        <v>1</v>
      </c>
      <c r="M738" s="72">
        <v>0.965079365079365</v>
      </c>
      <c r="N738" s="74">
        <v>0.9</v>
      </c>
      <c r="O738" s="72">
        <v>0.935374149659864</v>
      </c>
      <c r="P738" s="72">
        <v>0.956082258626699</v>
      </c>
      <c r="Q738" s="72">
        <v>0.965912815470338</v>
      </c>
      <c r="R738" s="72">
        <v>0.938691432162558</v>
      </c>
      <c r="S738" s="74">
        <v>0.9</v>
      </c>
      <c r="T738" s="72">
        <v>0.888682745825603</v>
      </c>
      <c r="U738" s="72">
        <v>0.932380620425235</v>
      </c>
      <c r="V738" s="72">
        <v>0.941658472631924</v>
      </c>
      <c r="W738" s="72">
        <v>0.913867746665736</v>
      </c>
      <c r="X738" s="74">
        <v>0.92</v>
      </c>
      <c r="Y738" s="74">
        <v>0.873291925465839</v>
      </c>
      <c r="Z738" s="74">
        <v>0.907488986784141</v>
      </c>
      <c r="AA738" s="74">
        <v>0.920454545454545</v>
      </c>
      <c r="AB738" s="74">
        <v>0.904174283973187</v>
      </c>
      <c r="AC738" s="74">
        <v>0.92</v>
      </c>
      <c r="AD738" s="72">
        <v>0.968253968253968</v>
      </c>
      <c r="AE738" s="72">
        <v>0.991596638655462</v>
      </c>
      <c r="AF738" s="72">
        <v>0.995934959349594</v>
      </c>
      <c r="AG738" s="72">
        <v>0.977991746905089</v>
      </c>
      <c r="AH738" s="74">
        <v>0.92</v>
      </c>
      <c r="AI738" s="72">
        <v>0.926485148514852</v>
      </c>
      <c r="AJ738" s="72">
        <v>0.953666931427058</v>
      </c>
      <c r="AK738" s="72">
        <v>0.958988015978695</v>
      </c>
      <c r="AL738" s="72">
        <v>0.948286144321699</v>
      </c>
      <c r="AM738" s="71">
        <v>0.99</v>
      </c>
      <c r="AN738" s="76">
        <v>1</v>
      </c>
      <c r="AO738" s="76">
        <v>1</v>
      </c>
      <c r="AP738" s="76">
        <v>1</v>
      </c>
      <c r="AQ738" s="76">
        <v>1</v>
      </c>
      <c r="AR738" s="96">
        <v>0.0810595228934205</v>
      </c>
      <c r="AS738" s="80">
        <v>0.0909090909090909</v>
      </c>
      <c r="AT738" s="80">
        <v>0</v>
      </c>
      <c r="AU738" s="80">
        <v>0.125</v>
      </c>
      <c r="AV738" s="80">
        <v>0.0483870967741935</v>
      </c>
      <c r="AW738" s="36"/>
      <c r="AX738" s="34"/>
    </row>
    <row r="739" ht="14.5" spans="1:50">
      <c r="A739" s="32"/>
      <c r="B739" s="36"/>
      <c r="C739" s="91" t="s">
        <v>693</v>
      </c>
      <c r="D739" s="69" t="s">
        <v>21</v>
      </c>
      <c r="E739" s="114" t="s">
        <v>790</v>
      </c>
      <c r="F739" s="114" t="s">
        <v>790</v>
      </c>
      <c r="G739" s="114" t="s">
        <v>790</v>
      </c>
      <c r="H739" s="114" t="s">
        <v>790</v>
      </c>
      <c r="I739" s="71">
        <v>0.9</v>
      </c>
      <c r="J739" s="72">
        <v>0.949152542372881</v>
      </c>
      <c r="K739" s="72">
        <v>0.918032786885246</v>
      </c>
      <c r="L739" s="73">
        <v>0.983606557377049</v>
      </c>
      <c r="M739" s="72">
        <v>0.946886446886447</v>
      </c>
      <c r="N739" s="74">
        <v>0.9</v>
      </c>
      <c r="O739" s="72">
        <v>0.947503961965135</v>
      </c>
      <c r="P739" s="72">
        <v>0.968609865470852</v>
      </c>
      <c r="Q739" s="72">
        <v>0.959777492511767</v>
      </c>
      <c r="R739" s="72">
        <v>0.962733208955224</v>
      </c>
      <c r="S739" s="74">
        <v>0.9</v>
      </c>
      <c r="T739" s="72">
        <v>0.905309033280507</v>
      </c>
      <c r="U739" s="72">
        <v>0.941232003776257</v>
      </c>
      <c r="V739" s="72">
        <v>0.928968763371844</v>
      </c>
      <c r="W739" s="72">
        <v>0.924603544776119</v>
      </c>
      <c r="X739" s="74">
        <v>0.92</v>
      </c>
      <c r="Y739" s="74">
        <v>0.904995904995905</v>
      </c>
      <c r="Z739" s="74">
        <v>0.926424050632911</v>
      </c>
      <c r="AA739" s="74">
        <v>0.907735321528425</v>
      </c>
      <c r="AB739" s="74">
        <v>0.918948630821507</v>
      </c>
      <c r="AC739" s="74">
        <v>0.92</v>
      </c>
      <c r="AD739" s="72">
        <v>0.993534482758621</v>
      </c>
      <c r="AE739" s="72">
        <v>1</v>
      </c>
      <c r="AF739" s="72">
        <v>0.998065764023211</v>
      </c>
      <c r="AG739" s="72">
        <v>0.993752692804825</v>
      </c>
      <c r="AH739" s="74">
        <v>0.92</v>
      </c>
      <c r="AI739" s="72">
        <v>0.946092503987241</v>
      </c>
      <c r="AJ739" s="72">
        <v>0.967648127953471</v>
      </c>
      <c r="AK739" s="72">
        <v>0.960160055671538</v>
      </c>
      <c r="AL739" s="72">
        <v>0.962604454191402</v>
      </c>
      <c r="AM739" s="71">
        <v>0.99</v>
      </c>
      <c r="AN739" s="76">
        <v>1</v>
      </c>
      <c r="AO739" s="76">
        <v>1</v>
      </c>
      <c r="AP739" s="76">
        <v>1</v>
      </c>
      <c r="AQ739" s="76">
        <v>1</v>
      </c>
      <c r="AR739" s="96">
        <v>0.0810595228934205</v>
      </c>
      <c r="AS739" s="80">
        <v>0</v>
      </c>
      <c r="AT739" s="80">
        <v>0.125</v>
      </c>
      <c r="AU739" s="80">
        <v>0.1</v>
      </c>
      <c r="AV739" s="80">
        <v>0.111111111111111</v>
      </c>
      <c r="AW739" s="36"/>
      <c r="AX739" s="34"/>
    </row>
    <row r="740" ht="14.5" spans="1:50">
      <c r="A740" s="32"/>
      <c r="B740" s="36"/>
      <c r="C740" s="91" t="s">
        <v>693</v>
      </c>
      <c r="D740" s="69" t="s">
        <v>21</v>
      </c>
      <c r="E740" s="114" t="s">
        <v>791</v>
      </c>
      <c r="F740" s="114" t="s">
        <v>791</v>
      </c>
      <c r="G740" s="114" t="s">
        <v>791</v>
      </c>
      <c r="H740" s="114" t="s">
        <v>791</v>
      </c>
      <c r="I740" s="71">
        <v>0.9</v>
      </c>
      <c r="J740" s="72">
        <v>0.964285714285714</v>
      </c>
      <c r="K740" s="72">
        <v>1</v>
      </c>
      <c r="L740" s="73">
        <v>0.967741935483871</v>
      </c>
      <c r="M740" s="72">
        <v>0.99236641221374</v>
      </c>
      <c r="N740" s="74">
        <v>0.9</v>
      </c>
      <c r="O740" s="72">
        <v>0.964148973198747</v>
      </c>
      <c r="P740" s="72">
        <v>0.973428143712575</v>
      </c>
      <c r="Q740" s="72">
        <v>0.980980248719824</v>
      </c>
      <c r="R740" s="72">
        <v>0.9738921042626</v>
      </c>
      <c r="S740" s="74">
        <v>0.9</v>
      </c>
      <c r="T740" s="72">
        <v>0.938043856595893</v>
      </c>
      <c r="U740" s="72">
        <v>0.949101796407186</v>
      </c>
      <c r="V740" s="72">
        <v>0.949524506217996</v>
      </c>
      <c r="W740" s="72">
        <v>0.944911495078366</v>
      </c>
      <c r="X740" s="74">
        <v>0.92</v>
      </c>
      <c r="Y740" s="74">
        <v>0.96569250317662</v>
      </c>
      <c r="Z740" s="74">
        <v>0.956687898089172</v>
      </c>
      <c r="AA740" s="74">
        <v>0.95955369595537</v>
      </c>
      <c r="AB740" s="74">
        <v>0.953151911815363</v>
      </c>
      <c r="AC740" s="74">
        <v>0.92</v>
      </c>
      <c r="AD740" s="72">
        <v>0.995136449608214</v>
      </c>
      <c r="AE740" s="72">
        <v>0.991540630607536</v>
      </c>
      <c r="AF740" s="72">
        <v>0.992190889370933</v>
      </c>
      <c r="AG740" s="72">
        <v>0.993414196387216</v>
      </c>
      <c r="AH740" s="74">
        <v>0.92</v>
      </c>
      <c r="AI740" s="72">
        <v>0.968579234972678</v>
      </c>
      <c r="AJ740" s="72">
        <v>0.976576055523424</v>
      </c>
      <c r="AK740" s="72">
        <v>0.98117033603708</v>
      </c>
      <c r="AL740" s="72">
        <v>0.975408723967166</v>
      </c>
      <c r="AM740" s="71">
        <v>0.99</v>
      </c>
      <c r="AN740" s="76">
        <v>1</v>
      </c>
      <c r="AO740" s="76">
        <v>1</v>
      </c>
      <c r="AP740" s="76">
        <v>1</v>
      </c>
      <c r="AQ740" s="76">
        <v>1</v>
      </c>
      <c r="AR740" s="96">
        <v>0.0810595228934205</v>
      </c>
      <c r="AS740" s="80">
        <v>0.0666666666666667</v>
      </c>
      <c r="AT740" s="80">
        <v>0.0833333333333333</v>
      </c>
      <c r="AU740" s="80">
        <v>0</v>
      </c>
      <c r="AV740" s="80">
        <v>0.0792079207920792</v>
      </c>
      <c r="AW740" s="36"/>
      <c r="AX740" s="34"/>
    </row>
    <row r="741" ht="14.5" spans="1:50">
      <c r="A741" s="32"/>
      <c r="B741" s="36"/>
      <c r="C741" s="91" t="s">
        <v>693</v>
      </c>
      <c r="D741" s="69" t="s">
        <v>21</v>
      </c>
      <c r="E741" s="114" t="s">
        <v>792</v>
      </c>
      <c r="F741" s="114" t="s">
        <v>792</v>
      </c>
      <c r="G741" s="114" t="s">
        <v>792</v>
      </c>
      <c r="H741" s="114" t="s">
        <v>792</v>
      </c>
      <c r="I741" s="71">
        <v>0.9</v>
      </c>
      <c r="J741" s="72">
        <v>0.948275862068966</v>
      </c>
      <c r="K741" s="72">
        <v>0.982758620689655</v>
      </c>
      <c r="L741" s="73">
        <v>0.984126984126984</v>
      </c>
      <c r="M741" s="72">
        <v>0.963369963369963</v>
      </c>
      <c r="N741" s="74">
        <v>0.9</v>
      </c>
      <c r="O741" s="72">
        <v>0.968790637191157</v>
      </c>
      <c r="P741" s="72">
        <v>0.974975222993062</v>
      </c>
      <c r="Q741" s="72">
        <v>0.969879518072289</v>
      </c>
      <c r="R741" s="72">
        <v>0.973569524200164</v>
      </c>
      <c r="S741" s="74">
        <v>0.9</v>
      </c>
      <c r="T741" s="72">
        <v>0.925661031642826</v>
      </c>
      <c r="U741" s="72">
        <v>0.936570862239841</v>
      </c>
      <c r="V741" s="72">
        <v>0.972289156626506</v>
      </c>
      <c r="W741" s="72">
        <v>0.955188679245283</v>
      </c>
      <c r="X741" s="74">
        <v>0.92</v>
      </c>
      <c r="Y741" s="74">
        <v>0.874555160142349</v>
      </c>
      <c r="Z741" s="74">
        <v>0.892123287671233</v>
      </c>
      <c r="AA741" s="74">
        <v>0.948768472906404</v>
      </c>
      <c r="AB741" s="74">
        <v>0.919947072444592</v>
      </c>
      <c r="AC741" s="74">
        <v>0.92</v>
      </c>
      <c r="AD741" s="72">
        <v>0.952506596306069</v>
      </c>
      <c r="AE741" s="72">
        <v>0.972972972972973</v>
      </c>
      <c r="AF741" s="72">
        <v>0.961325966850829</v>
      </c>
      <c r="AG741" s="72">
        <v>0.965668125210367</v>
      </c>
      <c r="AH741" s="74">
        <v>0.92</v>
      </c>
      <c r="AI741" s="72">
        <v>0.942662948762635</v>
      </c>
      <c r="AJ741" s="72">
        <v>0.951411561359708</v>
      </c>
      <c r="AK741" s="72">
        <v>0.975996902826171</v>
      </c>
      <c r="AL741" s="72">
        <v>0.961926347965316</v>
      </c>
      <c r="AM741" s="71">
        <v>0.99</v>
      </c>
      <c r="AN741" s="76">
        <v>1</v>
      </c>
      <c r="AO741" s="76">
        <v>1</v>
      </c>
      <c r="AP741" s="76">
        <v>1</v>
      </c>
      <c r="AQ741" s="76">
        <v>1</v>
      </c>
      <c r="AR741" s="96">
        <v>0.0810595228934205</v>
      </c>
      <c r="AS741" s="80">
        <v>0.04</v>
      </c>
      <c r="AT741" s="80">
        <v>0.0476190476190476</v>
      </c>
      <c r="AU741" s="80">
        <v>0.111111111111111</v>
      </c>
      <c r="AV741" s="80">
        <v>0.0564971751412429</v>
      </c>
      <c r="AW741" s="36"/>
      <c r="AX741" s="34"/>
    </row>
    <row r="742" ht="14.5" spans="1:50">
      <c r="A742" s="32"/>
      <c r="B742" s="36"/>
      <c r="C742" s="91" t="s">
        <v>693</v>
      </c>
      <c r="D742" s="69" t="s">
        <v>21</v>
      </c>
      <c r="E742" s="114" t="s">
        <v>793</v>
      </c>
      <c r="F742" s="114" t="s">
        <v>793</v>
      </c>
      <c r="G742" s="114" t="s">
        <v>793</v>
      </c>
      <c r="H742" s="114" t="s">
        <v>793</v>
      </c>
      <c r="I742" s="71">
        <v>0.9</v>
      </c>
      <c r="J742" s="72">
        <v>0.923076923076923</v>
      </c>
      <c r="K742" s="72">
        <v>0.948717948717949</v>
      </c>
      <c r="L742" s="73">
        <v>0.95</v>
      </c>
      <c r="M742" s="72">
        <v>0.950724637681159</v>
      </c>
      <c r="N742" s="74">
        <v>0.9</v>
      </c>
      <c r="O742" s="72">
        <v>0.984126984126984</v>
      </c>
      <c r="P742" s="72">
        <v>0.985930735930736</v>
      </c>
      <c r="Q742" s="72">
        <v>0.988667772249862</v>
      </c>
      <c r="R742" s="72">
        <v>0.988729210398837</v>
      </c>
      <c r="S742" s="74">
        <v>0.9</v>
      </c>
      <c r="T742" s="72">
        <v>0.914129586260734</v>
      </c>
      <c r="U742" s="72">
        <v>0.947781385281385</v>
      </c>
      <c r="V742" s="72">
        <v>0.953012714206744</v>
      </c>
      <c r="W742" s="72">
        <v>0.945293072824156</v>
      </c>
      <c r="X742" s="74">
        <v>0.92</v>
      </c>
      <c r="Y742" s="74">
        <v>0.954177897574124</v>
      </c>
      <c r="Z742" s="74">
        <v>0.879664179104478</v>
      </c>
      <c r="AA742" s="74">
        <v>0.953533397870281</v>
      </c>
      <c r="AB742" s="74">
        <v>0.93617551732735</v>
      </c>
      <c r="AC742" s="74">
        <v>0.92</v>
      </c>
      <c r="AD742" s="72">
        <v>0.997884940778342</v>
      </c>
      <c r="AE742" s="72">
        <v>0.99873417721519</v>
      </c>
      <c r="AF742" s="72">
        <v>0.985784440423882</v>
      </c>
      <c r="AG742" s="72">
        <v>0.99619926306322</v>
      </c>
      <c r="AH742" s="74">
        <v>0.92</v>
      </c>
      <c r="AI742" s="72">
        <v>0.965510286405809</v>
      </c>
      <c r="AJ742" s="72">
        <v>0.961207800377438</v>
      </c>
      <c r="AK742" s="72">
        <v>0.975719810915342</v>
      </c>
      <c r="AL742" s="72">
        <v>0.969923076923077</v>
      </c>
      <c r="AM742" s="71">
        <v>0.99</v>
      </c>
      <c r="AN742" s="76">
        <v>1</v>
      </c>
      <c r="AO742" s="76">
        <v>1</v>
      </c>
      <c r="AP742" s="76">
        <v>1</v>
      </c>
      <c r="AQ742" s="76">
        <v>1</v>
      </c>
      <c r="AR742" s="96">
        <v>0.0810595228934205</v>
      </c>
      <c r="AS742" s="80">
        <v>0</v>
      </c>
      <c r="AT742" s="80">
        <v>0.25</v>
      </c>
      <c r="AU742" s="80">
        <v>0.0526315789473684</v>
      </c>
      <c r="AV742" s="80">
        <v>0.072</v>
      </c>
      <c r="AW742" s="36"/>
      <c r="AX742" s="34"/>
    </row>
    <row r="743" ht="14.5" spans="1:50">
      <c r="A743" s="32"/>
      <c r="B743" s="36"/>
      <c r="C743" s="91" t="s">
        <v>693</v>
      </c>
      <c r="D743" s="69" t="s">
        <v>21</v>
      </c>
      <c r="E743" s="114" t="s">
        <v>794</v>
      </c>
      <c r="F743" s="114" t="s">
        <v>794</v>
      </c>
      <c r="G743" s="114" t="s">
        <v>794</v>
      </c>
      <c r="H743" s="114" t="s">
        <v>794</v>
      </c>
      <c r="I743" s="71">
        <v>0.9</v>
      </c>
      <c r="J743" s="72">
        <v>0.878787878787879</v>
      </c>
      <c r="K743" s="72">
        <v>0.916666666666667</v>
      </c>
      <c r="L743" s="73">
        <v>0.852941176470588</v>
      </c>
      <c r="M743" s="72">
        <v>0.905844155844156</v>
      </c>
      <c r="N743" s="74">
        <v>0.9</v>
      </c>
      <c r="O743" s="72">
        <v>0.960721184803606</v>
      </c>
      <c r="P743" s="72">
        <v>0.97752408134142</v>
      </c>
      <c r="Q743" s="72">
        <v>0.977023319615912</v>
      </c>
      <c r="R743" s="72">
        <v>0.971167260889785</v>
      </c>
      <c r="S743" s="74">
        <v>0.9</v>
      </c>
      <c r="T743" s="72">
        <v>0.891500321957502</v>
      </c>
      <c r="U743" s="72">
        <v>0.919728861933643</v>
      </c>
      <c r="V743" s="72">
        <v>0.921124828532236</v>
      </c>
      <c r="W743" s="72">
        <v>0.917609672918927</v>
      </c>
      <c r="X743" s="74">
        <v>0.92</v>
      </c>
      <c r="Y743" s="74">
        <v>0.933252427184466</v>
      </c>
      <c r="Z743" s="74">
        <v>0.944380069524913</v>
      </c>
      <c r="AA743" s="74">
        <v>0.923583662714098</v>
      </c>
      <c r="AB743" s="74">
        <v>0.935299714557564</v>
      </c>
      <c r="AC743" s="74">
        <v>0.92</v>
      </c>
      <c r="AD743" s="72">
        <v>0.997090037658336</v>
      </c>
      <c r="AE743" s="72">
        <v>0.998716096934681</v>
      </c>
      <c r="AF743" s="72">
        <v>0.997744977449775</v>
      </c>
      <c r="AG743" s="72">
        <v>0.996964048959514</v>
      </c>
      <c r="AH743" s="74">
        <v>0.92</v>
      </c>
      <c r="AI743" s="72">
        <v>0.958799593082401</v>
      </c>
      <c r="AJ743" s="72">
        <v>0.962104689203926</v>
      </c>
      <c r="AK743" s="72">
        <v>0.966304347826087</v>
      </c>
      <c r="AL743" s="72">
        <v>0.962584822262342</v>
      </c>
      <c r="AM743" s="71">
        <v>0.99</v>
      </c>
      <c r="AN743" s="76">
        <v>1</v>
      </c>
      <c r="AO743" s="76">
        <v>1</v>
      </c>
      <c r="AP743" s="76">
        <v>1</v>
      </c>
      <c r="AQ743" s="76">
        <v>1</v>
      </c>
      <c r="AR743" s="96">
        <v>0.0810595228934205</v>
      </c>
      <c r="AS743" s="80">
        <v>0.142857142857143</v>
      </c>
      <c r="AT743" s="80">
        <v>0</v>
      </c>
      <c r="AU743" s="80">
        <v>0.1</v>
      </c>
      <c r="AV743" s="80">
        <v>0.0776699029126214</v>
      </c>
      <c r="AW743" s="36"/>
      <c r="AX743" s="34"/>
    </row>
    <row r="744" ht="14.5" spans="1:50">
      <c r="A744" s="32"/>
      <c r="B744" s="36"/>
      <c r="C744" s="91" t="s">
        <v>693</v>
      </c>
      <c r="D744" s="69" t="s">
        <v>21</v>
      </c>
      <c r="E744" s="114" t="s">
        <v>795</v>
      </c>
      <c r="F744" s="114" t="s">
        <v>795</v>
      </c>
      <c r="G744" s="114" t="s">
        <v>795</v>
      </c>
      <c r="H744" s="114" t="s">
        <v>795</v>
      </c>
      <c r="I744" s="71">
        <v>0.9</v>
      </c>
      <c r="J744" s="72">
        <v>0.825</v>
      </c>
      <c r="K744" s="72">
        <v>0.95</v>
      </c>
      <c r="L744" s="73">
        <v>0.880952380952381</v>
      </c>
      <c r="M744" s="72">
        <v>0.909090909090909</v>
      </c>
      <c r="N744" s="74">
        <v>0.9</v>
      </c>
      <c r="O744" s="72">
        <v>0.920021615779519</v>
      </c>
      <c r="P744" s="72">
        <v>0.957063257948214</v>
      </c>
      <c r="Q744" s="72">
        <v>0.963019096695969</v>
      </c>
      <c r="R744" s="72">
        <v>0.948122338366241</v>
      </c>
      <c r="S744" s="74">
        <v>0.9</v>
      </c>
      <c r="T744" s="72">
        <v>0.881653607133207</v>
      </c>
      <c r="U744" s="72">
        <v>0.926581448705343</v>
      </c>
      <c r="V744" s="72">
        <v>0.948772355259169</v>
      </c>
      <c r="W744" s="72">
        <v>0.920150987224158</v>
      </c>
      <c r="X744" s="74">
        <v>0.92</v>
      </c>
      <c r="Y744" s="74">
        <v>0.807825086306099</v>
      </c>
      <c r="Z744" s="74">
        <v>0.875745526838966</v>
      </c>
      <c r="AA744" s="74">
        <v>0.878394332939788</v>
      </c>
      <c r="AB744" s="74">
        <v>0.82839698623019</v>
      </c>
      <c r="AC744" s="74">
        <v>0.92</v>
      </c>
      <c r="AD744" s="72">
        <v>0.992094861660079</v>
      </c>
      <c r="AE744" s="72">
        <v>0.991951710261569</v>
      </c>
      <c r="AF744" s="72">
        <v>0.992805755395683</v>
      </c>
      <c r="AG744" s="72">
        <v>0.986685687113647</v>
      </c>
      <c r="AH744" s="74">
        <v>0.92</v>
      </c>
      <c r="AI744" s="72">
        <v>0.923851203501094</v>
      </c>
      <c r="AJ744" s="72">
        <v>0.943061375400542</v>
      </c>
      <c r="AK744" s="72">
        <v>0.958031837916064</v>
      </c>
      <c r="AL744" s="72">
        <v>0.938496524278368</v>
      </c>
      <c r="AM744" s="71">
        <v>0.99</v>
      </c>
      <c r="AN744" s="76">
        <v>1</v>
      </c>
      <c r="AO744" s="76">
        <v>1</v>
      </c>
      <c r="AP744" s="76">
        <v>1</v>
      </c>
      <c r="AQ744" s="76">
        <v>1</v>
      </c>
      <c r="AR744" s="96">
        <v>0.0810595228934205</v>
      </c>
      <c r="AS744" s="80">
        <v>0</v>
      </c>
      <c r="AT744" s="80">
        <v>0</v>
      </c>
      <c r="AU744" s="80">
        <v>0</v>
      </c>
      <c r="AV744" s="80">
        <v>0.018018018018018</v>
      </c>
      <c r="AW744" s="36"/>
      <c r="AX744" s="34"/>
    </row>
    <row r="745" ht="14.5" spans="1:50">
      <c r="A745" s="32"/>
      <c r="B745" s="36"/>
      <c r="C745" s="91" t="s">
        <v>693</v>
      </c>
      <c r="D745" s="69" t="s">
        <v>21</v>
      </c>
      <c r="E745" s="114" t="s">
        <v>796</v>
      </c>
      <c r="F745" s="114" t="s">
        <v>796</v>
      </c>
      <c r="G745" s="114" t="s">
        <v>796</v>
      </c>
      <c r="H745" s="114" t="s">
        <v>796</v>
      </c>
      <c r="I745" s="71">
        <v>0.9</v>
      </c>
      <c r="J745" s="72">
        <v>0.931034482758621</v>
      </c>
      <c r="K745" s="72">
        <v>0.96875</v>
      </c>
      <c r="L745" s="73">
        <v>0.966666666666667</v>
      </c>
      <c r="M745" s="72">
        <v>0.967391304347826</v>
      </c>
      <c r="N745" s="74">
        <v>0.9</v>
      </c>
      <c r="O745" s="72">
        <v>0.969817315329627</v>
      </c>
      <c r="P745" s="72">
        <v>0.965367965367965</v>
      </c>
      <c r="Q745" s="72">
        <v>0.974031162604874</v>
      </c>
      <c r="R745" s="72">
        <v>0.966982922201139</v>
      </c>
      <c r="S745" s="74">
        <v>0.9</v>
      </c>
      <c r="T745" s="72">
        <v>0.914217633042097</v>
      </c>
      <c r="U745" s="72">
        <v>0.933333333333333</v>
      </c>
      <c r="V745" s="72">
        <v>0.934079105073911</v>
      </c>
      <c r="W745" s="72">
        <v>0.929079696394687</v>
      </c>
      <c r="X745" s="74">
        <v>0.92</v>
      </c>
      <c r="Y745" s="74">
        <v>0.92235609103079</v>
      </c>
      <c r="Z745" s="74">
        <v>0.9366391184573</v>
      </c>
      <c r="AA745" s="74">
        <v>0.946164199192463</v>
      </c>
      <c r="AB745" s="74">
        <v>0.932175800325556</v>
      </c>
      <c r="AC745" s="74">
        <v>0.92</v>
      </c>
      <c r="AD745" s="72">
        <v>0.995049504950495</v>
      </c>
      <c r="AE745" s="72">
        <v>0.963351441704973</v>
      </c>
      <c r="AF745" s="72">
        <v>0.813551423645091</v>
      </c>
      <c r="AG745" s="72">
        <v>0.914031914776299</v>
      </c>
      <c r="AH745" s="74">
        <v>0.92</v>
      </c>
      <c r="AI745" s="72">
        <v>0.957120980091884</v>
      </c>
      <c r="AJ745" s="72">
        <v>0.959156785243742</v>
      </c>
      <c r="AK745" s="72">
        <v>0.965220067713143</v>
      </c>
      <c r="AL745" s="72">
        <v>0.962544143061086</v>
      </c>
      <c r="AM745" s="71">
        <v>0.99</v>
      </c>
      <c r="AN745" s="76">
        <v>1</v>
      </c>
      <c r="AO745" s="76">
        <v>1</v>
      </c>
      <c r="AP745" s="76">
        <v>1</v>
      </c>
      <c r="AQ745" s="76">
        <v>1</v>
      </c>
      <c r="AR745" s="96">
        <v>0.0810595228934205</v>
      </c>
      <c r="AS745" s="80">
        <v>0</v>
      </c>
      <c r="AT745" s="80">
        <v>0</v>
      </c>
      <c r="AU745" s="80">
        <v>0.333333333333333</v>
      </c>
      <c r="AV745" s="80">
        <v>0.0821917808219178</v>
      </c>
      <c r="AW745" s="36"/>
      <c r="AX745" s="34"/>
    </row>
    <row r="746" ht="14.5" spans="1:50">
      <c r="A746" s="32"/>
      <c r="B746" s="36"/>
      <c r="C746" s="91" t="s">
        <v>693</v>
      </c>
      <c r="D746" s="69" t="s">
        <v>21</v>
      </c>
      <c r="E746" s="114" t="s">
        <v>797</v>
      </c>
      <c r="F746" s="114" t="s">
        <v>797</v>
      </c>
      <c r="G746" s="114" t="s">
        <v>797</v>
      </c>
      <c r="H746" s="114" t="s">
        <v>797</v>
      </c>
      <c r="I746" s="71">
        <v>0.9</v>
      </c>
      <c r="J746" s="72">
        <v>1</v>
      </c>
      <c r="K746" s="72">
        <v>0.9375</v>
      </c>
      <c r="L746" s="73">
        <v>1</v>
      </c>
      <c r="M746" s="72">
        <v>0.988326848249027</v>
      </c>
      <c r="N746" s="74">
        <v>0.9</v>
      </c>
      <c r="O746" s="72">
        <v>0.960562414266118</v>
      </c>
      <c r="P746" s="72">
        <v>0.982430453879941</v>
      </c>
      <c r="Q746" s="72">
        <v>0.978481526593585</v>
      </c>
      <c r="R746" s="72">
        <v>0.974407664753355</v>
      </c>
      <c r="S746" s="74">
        <v>0.9</v>
      </c>
      <c r="T746" s="72">
        <v>0.921810699588477</v>
      </c>
      <c r="U746" s="72">
        <v>0.947291361639824</v>
      </c>
      <c r="V746" s="72">
        <v>0.93950466910272</v>
      </c>
      <c r="W746" s="72">
        <v>0.942643822018903</v>
      </c>
      <c r="X746" s="74">
        <v>0.92</v>
      </c>
      <c r="Y746" s="74">
        <v>0.929559748427673</v>
      </c>
      <c r="Z746" s="74">
        <v>0.966060606060606</v>
      </c>
      <c r="AA746" s="74">
        <v>0.97225891677675</v>
      </c>
      <c r="AB746" s="74">
        <v>0.956433293778607</v>
      </c>
      <c r="AC746" s="74">
        <v>0.92</v>
      </c>
      <c r="AD746" s="72">
        <v>0.771573604060914</v>
      </c>
      <c r="AE746" s="72">
        <v>0.812523912766229</v>
      </c>
      <c r="AF746" s="72">
        <v>0.95334360159158</v>
      </c>
      <c r="AG746" s="72">
        <v>0.925383877159309</v>
      </c>
      <c r="AH746" s="74">
        <v>0.92</v>
      </c>
      <c r="AI746" s="72">
        <v>0.945851293103448</v>
      </c>
      <c r="AJ746" s="72">
        <v>0.977228001124543</v>
      </c>
      <c r="AK746" s="72">
        <v>0.975170701427685</v>
      </c>
      <c r="AL746" s="72">
        <v>0.970120001375374</v>
      </c>
      <c r="AM746" s="71">
        <v>0.99</v>
      </c>
      <c r="AN746" s="76">
        <v>1</v>
      </c>
      <c r="AO746" s="76">
        <v>1</v>
      </c>
      <c r="AP746" s="76">
        <v>1</v>
      </c>
      <c r="AQ746" s="76">
        <v>1</v>
      </c>
      <c r="AR746" s="96">
        <v>0.0810595228934205</v>
      </c>
      <c r="AS746" s="80">
        <v>0.0769230769230769</v>
      </c>
      <c r="AT746" s="80">
        <v>0</v>
      </c>
      <c r="AU746" s="80">
        <v>0.153846153846154</v>
      </c>
      <c r="AV746" s="80">
        <v>0.074468085106383</v>
      </c>
      <c r="AW746" s="36"/>
      <c r="AX746" s="34"/>
    </row>
    <row r="747" ht="14.5" spans="1:50">
      <c r="A747" s="32"/>
      <c r="B747" s="36"/>
      <c r="C747" s="91" t="s">
        <v>693</v>
      </c>
      <c r="D747" s="69" t="s">
        <v>21</v>
      </c>
      <c r="E747" s="114" t="s">
        <v>798</v>
      </c>
      <c r="F747" s="114" t="s">
        <v>798</v>
      </c>
      <c r="G747" s="114" t="s">
        <v>798</v>
      </c>
      <c r="H747" s="114" t="s">
        <v>798</v>
      </c>
      <c r="I747" s="71">
        <v>0.9</v>
      </c>
      <c r="J747" s="72">
        <v>0.944444444444444</v>
      </c>
      <c r="K747" s="72">
        <v>1</v>
      </c>
      <c r="L747" s="73">
        <v>0.928571428571429</v>
      </c>
      <c r="M747" s="72">
        <v>0.954929577464789</v>
      </c>
      <c r="N747" s="74">
        <v>0.9</v>
      </c>
      <c r="O747" s="72">
        <v>0.976483357452967</v>
      </c>
      <c r="P747" s="72">
        <v>0.986661435857199</v>
      </c>
      <c r="Q747" s="72">
        <v>0.990898748577929</v>
      </c>
      <c r="R747" s="72">
        <v>0.984237961277511</v>
      </c>
      <c r="S747" s="74">
        <v>0.9</v>
      </c>
      <c r="T747" s="72">
        <v>0.946816208393632</v>
      </c>
      <c r="U747" s="72">
        <v>0.966261278932915</v>
      </c>
      <c r="V747" s="72">
        <v>0.9677664012135</v>
      </c>
      <c r="W747" s="72">
        <v>0.962890948204534</v>
      </c>
      <c r="X747" s="74">
        <v>0.92</v>
      </c>
      <c r="Y747" s="74">
        <v>0.991869918699187</v>
      </c>
      <c r="Z747" s="74">
        <v>0.993961352657005</v>
      </c>
      <c r="AA747" s="74">
        <v>0.99685534591195</v>
      </c>
      <c r="AB747" s="74">
        <v>0.994598362083987</v>
      </c>
      <c r="AC747" s="74">
        <v>0.92</v>
      </c>
      <c r="AD747" s="72">
        <v>0.994690265486726</v>
      </c>
      <c r="AE747" s="72">
        <v>0.995523223279239</v>
      </c>
      <c r="AF747" s="72">
        <v>0.996055226824458</v>
      </c>
      <c r="AG747" s="72">
        <v>0.994840811893286</v>
      </c>
      <c r="AH747" s="74">
        <v>0.92</v>
      </c>
      <c r="AI747" s="72">
        <v>0.984580239862935</v>
      </c>
      <c r="AJ747" s="72">
        <v>0.995558187740598</v>
      </c>
      <c r="AK747" s="72">
        <v>0.995113011606597</v>
      </c>
      <c r="AL747" s="72">
        <v>0.993715737398048</v>
      </c>
      <c r="AM747" s="71">
        <v>0.99</v>
      </c>
      <c r="AN747" s="76">
        <v>1</v>
      </c>
      <c r="AO747" s="76">
        <v>1</v>
      </c>
      <c r="AP747" s="76">
        <v>1</v>
      </c>
      <c r="AQ747" s="76">
        <v>1</v>
      </c>
      <c r="AR747" s="96">
        <v>0.0810595228934205</v>
      </c>
      <c r="AS747" s="80">
        <v>0.0833333333333333</v>
      </c>
      <c r="AT747" s="80">
        <v>0.0625</v>
      </c>
      <c r="AU747" s="80">
        <v>0</v>
      </c>
      <c r="AV747" s="80">
        <v>0</v>
      </c>
      <c r="AW747" s="36"/>
      <c r="AX747" s="34"/>
    </row>
    <row r="748" ht="14.5" spans="1:50">
      <c r="A748" s="32"/>
      <c r="B748" s="36"/>
      <c r="C748" s="91" t="s">
        <v>693</v>
      </c>
      <c r="D748" s="69" t="s">
        <v>21</v>
      </c>
      <c r="E748" s="114" t="s">
        <v>799</v>
      </c>
      <c r="F748" s="114" t="s">
        <v>799</v>
      </c>
      <c r="G748" s="114" t="s">
        <v>799</v>
      </c>
      <c r="H748" s="114" t="s">
        <v>799</v>
      </c>
      <c r="I748" s="71">
        <v>0.9</v>
      </c>
      <c r="J748" s="72">
        <v>0.956521739130435</v>
      </c>
      <c r="K748" s="72">
        <v>0.884615384615385</v>
      </c>
      <c r="L748" s="73">
        <v>1</v>
      </c>
      <c r="M748" s="72">
        <v>0.978632478632479</v>
      </c>
      <c r="N748" s="74">
        <v>0.9</v>
      </c>
      <c r="O748" s="72">
        <v>0.965706447187929</v>
      </c>
      <c r="P748" s="72">
        <v>0.982381206620395</v>
      </c>
      <c r="Q748" s="72">
        <v>0.979470802919708</v>
      </c>
      <c r="R748" s="72">
        <v>0.978675460291289</v>
      </c>
      <c r="S748" s="74">
        <v>0.9</v>
      </c>
      <c r="T748" s="72">
        <v>0.937814357567444</v>
      </c>
      <c r="U748" s="72">
        <v>0.953550453817405</v>
      </c>
      <c r="V748" s="72">
        <v>0.953923357664234</v>
      </c>
      <c r="W748" s="72">
        <v>0.951580104424292</v>
      </c>
      <c r="X748" s="74">
        <v>0.92</v>
      </c>
      <c r="Y748" s="74">
        <v>0.935483870967742</v>
      </c>
      <c r="Z748" s="74">
        <v>0.959481361426256</v>
      </c>
      <c r="AA748" s="74">
        <v>0.876383763837638</v>
      </c>
      <c r="AB748" s="74">
        <v>0.899090515374621</v>
      </c>
      <c r="AC748" s="74">
        <v>0.92</v>
      </c>
      <c r="AD748" s="72">
        <v>0.994794248884482</v>
      </c>
      <c r="AE748" s="72">
        <v>0.994903581267218</v>
      </c>
      <c r="AF748" s="72">
        <v>0.988811415599157</v>
      </c>
      <c r="AG748" s="72">
        <v>0.991936159868564</v>
      </c>
      <c r="AH748" s="74">
        <v>0.92</v>
      </c>
      <c r="AI748" s="72">
        <v>0.96038890889449</v>
      </c>
      <c r="AJ748" s="72">
        <v>0.97631473303894</v>
      </c>
      <c r="AK748" s="72">
        <v>0.964155084125823</v>
      </c>
      <c r="AL748" s="72">
        <v>0.965598843069372</v>
      </c>
      <c r="AM748" s="71">
        <v>0.99</v>
      </c>
      <c r="AN748" s="76">
        <v>1</v>
      </c>
      <c r="AO748" s="76">
        <v>1</v>
      </c>
      <c r="AP748" s="76">
        <v>1</v>
      </c>
      <c r="AQ748" s="76">
        <v>1</v>
      </c>
      <c r="AR748" s="96">
        <v>0.0810595228934205</v>
      </c>
      <c r="AS748" s="80">
        <v>0</v>
      </c>
      <c r="AT748" s="80">
        <v>0</v>
      </c>
      <c r="AU748" s="80">
        <v>0</v>
      </c>
      <c r="AV748" s="80">
        <v>0.0344827586206897</v>
      </c>
      <c r="AW748" s="36"/>
      <c r="AX748" s="34"/>
    </row>
    <row r="749" ht="14.5" spans="1:50">
      <c r="A749" s="32"/>
      <c r="B749" s="36"/>
      <c r="C749" s="91" t="s">
        <v>693</v>
      </c>
      <c r="D749" s="69" t="s">
        <v>21</v>
      </c>
      <c r="E749" s="114" t="s">
        <v>800</v>
      </c>
      <c r="F749" s="114" t="s">
        <v>800</v>
      </c>
      <c r="G749" s="114" t="s">
        <v>800</v>
      </c>
      <c r="H749" s="114" t="s">
        <v>800</v>
      </c>
      <c r="I749" s="71">
        <v>0.9</v>
      </c>
      <c r="J749" s="72">
        <v>1</v>
      </c>
      <c r="K749" s="72">
        <v>0.975</v>
      </c>
      <c r="L749" s="73">
        <v>1</v>
      </c>
      <c r="M749" s="72">
        <v>0.988857938718663</v>
      </c>
      <c r="N749" s="74">
        <v>0.9</v>
      </c>
      <c r="O749" s="72">
        <v>0.9154068832422</v>
      </c>
      <c r="P749" s="72">
        <v>0.96649855907781</v>
      </c>
      <c r="Q749" s="72">
        <v>0.97458217270195</v>
      </c>
      <c r="R749" s="72">
        <v>0.958682612421296</v>
      </c>
      <c r="S749" s="74">
        <v>0.9</v>
      </c>
      <c r="T749" s="72">
        <v>0.902219363139273</v>
      </c>
      <c r="U749" s="72">
        <v>0.956412103746398</v>
      </c>
      <c r="V749" s="72">
        <v>0.942548746518106</v>
      </c>
      <c r="W749" s="72">
        <v>0.943332960768973</v>
      </c>
      <c r="X749" s="74">
        <v>0.92</v>
      </c>
      <c r="Y749" s="74">
        <v>0.91866028708134</v>
      </c>
      <c r="Z749" s="74">
        <v>0.926892950391645</v>
      </c>
      <c r="AA749" s="74">
        <v>0.93006993006993</v>
      </c>
      <c r="AB749" s="74">
        <v>0.929081389814374</v>
      </c>
      <c r="AC749" s="74">
        <v>0.92</v>
      </c>
      <c r="AD749" s="72">
        <v>0.994186046511628</v>
      </c>
      <c r="AE749" s="72">
        <v>0.983870967741935</v>
      </c>
      <c r="AF749" s="72">
        <v>0.988095238095238</v>
      </c>
      <c r="AG749" s="72">
        <v>0.991761071060762</v>
      </c>
      <c r="AH749" s="74">
        <v>0.92</v>
      </c>
      <c r="AI749" s="72">
        <v>0.94575411913815</v>
      </c>
      <c r="AJ749" s="72">
        <v>0.970920383963862</v>
      </c>
      <c r="AK749" s="72">
        <v>0.975188179537218</v>
      </c>
      <c r="AL749" s="72">
        <v>0.971277719112988</v>
      </c>
      <c r="AM749" s="71">
        <v>0.99</v>
      </c>
      <c r="AN749" s="76">
        <v>1</v>
      </c>
      <c r="AO749" s="76">
        <v>1</v>
      </c>
      <c r="AP749" s="76">
        <v>1</v>
      </c>
      <c r="AQ749" s="76">
        <v>1</v>
      </c>
      <c r="AR749" s="96">
        <v>0.0810595228934205</v>
      </c>
      <c r="AS749" s="80">
        <v>0.0909090909090909</v>
      </c>
      <c r="AT749" s="80">
        <v>0</v>
      </c>
      <c r="AU749" s="80">
        <v>0.181818181818182</v>
      </c>
      <c r="AV749" s="80">
        <v>0.0476190476190476</v>
      </c>
      <c r="AW749" s="36"/>
      <c r="AX749" s="34"/>
    </row>
    <row r="750" ht="14.5" spans="1:50">
      <c r="A750" s="32"/>
      <c r="B750" s="36"/>
      <c r="C750" s="91" t="s">
        <v>693</v>
      </c>
      <c r="D750" s="69" t="s">
        <v>21</v>
      </c>
      <c r="E750" s="114" t="s">
        <v>801</v>
      </c>
      <c r="F750" s="114" t="s">
        <v>801</v>
      </c>
      <c r="G750" s="114" t="s">
        <v>801</v>
      </c>
      <c r="H750" s="114" t="s">
        <v>801</v>
      </c>
      <c r="I750" s="71">
        <v>0.9</v>
      </c>
      <c r="J750" s="72">
        <v>1</v>
      </c>
      <c r="K750" s="72">
        <v>0.972222222222222</v>
      </c>
      <c r="L750" s="73">
        <v>1</v>
      </c>
      <c r="M750" s="72">
        <v>0.993610223642173</v>
      </c>
      <c r="N750" s="74">
        <v>0.9</v>
      </c>
      <c r="O750" s="72">
        <v>0.943570451436389</v>
      </c>
      <c r="P750" s="72">
        <v>0.973889321901793</v>
      </c>
      <c r="Q750" s="72">
        <v>0.970674486803519</v>
      </c>
      <c r="R750" s="72">
        <v>0.97266672081878</v>
      </c>
      <c r="S750" s="74">
        <v>0.9</v>
      </c>
      <c r="T750" s="72">
        <v>0.924418604651163</v>
      </c>
      <c r="U750" s="72">
        <v>0.964146531566641</v>
      </c>
      <c r="V750" s="72">
        <v>0.965909090909091</v>
      </c>
      <c r="W750" s="72">
        <v>0.957314596702136</v>
      </c>
      <c r="X750" s="74">
        <v>0.92</v>
      </c>
      <c r="Y750" s="74">
        <v>0.834411384217335</v>
      </c>
      <c r="Z750" s="74">
        <v>0.895465994962217</v>
      </c>
      <c r="AA750" s="74">
        <v>0.893959731543624</v>
      </c>
      <c r="AB750" s="74">
        <v>0.896500981033355</v>
      </c>
      <c r="AC750" s="74">
        <v>0.92</v>
      </c>
      <c r="AD750" s="72">
        <v>0.998736690128136</v>
      </c>
      <c r="AE750" s="72">
        <v>0.999270738377393</v>
      </c>
      <c r="AF750" s="72">
        <v>0.999579035992423</v>
      </c>
      <c r="AG750" s="72">
        <v>0.999291024368505</v>
      </c>
      <c r="AH750" s="74">
        <v>0.92</v>
      </c>
      <c r="AI750" s="72">
        <v>0.942401297998918</v>
      </c>
      <c r="AJ750" s="72">
        <v>0.964285714285714</v>
      </c>
      <c r="AK750" s="72">
        <v>0.969190901238123</v>
      </c>
      <c r="AL750" s="72">
        <v>0.968704251927519</v>
      </c>
      <c r="AM750" s="71">
        <v>0.99</v>
      </c>
      <c r="AN750" s="76">
        <v>1</v>
      </c>
      <c r="AO750" s="76">
        <v>1</v>
      </c>
      <c r="AP750" s="76">
        <v>1</v>
      </c>
      <c r="AQ750" s="76">
        <v>1</v>
      </c>
      <c r="AR750" s="96">
        <v>0.0810595228934205</v>
      </c>
      <c r="AS750" s="80">
        <v>0</v>
      </c>
      <c r="AT750" s="80">
        <v>0.0833333333333333</v>
      </c>
      <c r="AU750" s="80">
        <v>0.166666666666667</v>
      </c>
      <c r="AV750" s="80">
        <v>0.0821917808219178</v>
      </c>
      <c r="AW750" s="36"/>
      <c r="AX750" s="34"/>
    </row>
    <row r="751" ht="14.5" spans="1:50">
      <c r="A751" s="32"/>
      <c r="B751" s="36"/>
      <c r="C751" s="91" t="s">
        <v>693</v>
      </c>
      <c r="D751" s="69" t="s">
        <v>21</v>
      </c>
      <c r="E751" s="114" t="s">
        <v>802</v>
      </c>
      <c r="F751" s="114" t="s">
        <v>802</v>
      </c>
      <c r="G751" s="114" t="s">
        <v>802</v>
      </c>
      <c r="H751" s="114" t="s">
        <v>802</v>
      </c>
      <c r="I751" s="71">
        <v>0.9</v>
      </c>
      <c r="J751" s="72">
        <v>1</v>
      </c>
      <c r="K751" s="72">
        <v>1</v>
      </c>
      <c r="L751" s="73">
        <v>1</v>
      </c>
      <c r="M751" s="72">
        <v>0.99236641221374</v>
      </c>
      <c r="N751" s="74">
        <v>0.9</v>
      </c>
      <c r="O751" s="72">
        <v>0.966567607726597</v>
      </c>
      <c r="P751" s="72">
        <v>0.966442953020134</v>
      </c>
      <c r="Q751" s="72">
        <v>0.965311004784689</v>
      </c>
      <c r="R751" s="72">
        <v>0.963120202410052</v>
      </c>
      <c r="S751" s="74">
        <v>0.9</v>
      </c>
      <c r="T751" s="72">
        <v>0.940936106983655</v>
      </c>
      <c r="U751" s="72">
        <v>0.953439597315436</v>
      </c>
      <c r="V751" s="72">
        <v>0.957735247208931</v>
      </c>
      <c r="W751" s="72">
        <v>0.95321411724345</v>
      </c>
      <c r="X751" s="74">
        <v>0.92</v>
      </c>
      <c r="Y751" s="74">
        <v>0.941353383458647</v>
      </c>
      <c r="Z751" s="74">
        <v>0.954787234042553</v>
      </c>
      <c r="AA751" s="74">
        <v>0.858678955453149</v>
      </c>
      <c r="AB751" s="74">
        <v>0.94161212538753</v>
      </c>
      <c r="AC751" s="74">
        <v>0.92</v>
      </c>
      <c r="AD751" s="72">
        <v>0.998185117967332</v>
      </c>
      <c r="AE751" s="72">
        <v>0.995391705069124</v>
      </c>
      <c r="AF751" s="72">
        <v>0.992779783393502</v>
      </c>
      <c r="AG751" s="72">
        <v>0.994529225453498</v>
      </c>
      <c r="AH751" s="74">
        <v>0.92</v>
      </c>
      <c r="AI751" s="72">
        <v>0.973786118558236</v>
      </c>
      <c r="AJ751" s="72">
        <v>0.980548469387755</v>
      </c>
      <c r="AK751" s="72">
        <v>0.96232985121874</v>
      </c>
      <c r="AL751" s="72">
        <v>0.978369098712446</v>
      </c>
      <c r="AM751" s="71">
        <v>0.99</v>
      </c>
      <c r="AN751" s="76">
        <v>1</v>
      </c>
      <c r="AO751" s="76">
        <v>1</v>
      </c>
      <c r="AP751" s="76">
        <v>1</v>
      </c>
      <c r="AQ751" s="76">
        <v>1</v>
      </c>
      <c r="AR751" s="96">
        <v>0.0810595228934205</v>
      </c>
      <c r="AS751" s="80">
        <v>0.166666666666667</v>
      </c>
      <c r="AT751" s="80">
        <v>0.125</v>
      </c>
      <c r="AU751" s="80">
        <v>0</v>
      </c>
      <c r="AV751" s="80">
        <v>0.0941176470588235</v>
      </c>
      <c r="AW751" s="36"/>
      <c r="AX751" s="34"/>
    </row>
    <row r="752" ht="14.5" spans="1:50">
      <c r="A752" s="32"/>
      <c r="B752" s="36"/>
      <c r="C752" s="91" t="s">
        <v>693</v>
      </c>
      <c r="D752" s="69" t="s">
        <v>21</v>
      </c>
      <c r="E752" s="114" t="s">
        <v>803</v>
      </c>
      <c r="F752" s="114" t="s">
        <v>803</v>
      </c>
      <c r="G752" s="114" t="s">
        <v>803</v>
      </c>
      <c r="H752" s="114" t="s">
        <v>803</v>
      </c>
      <c r="I752" s="71">
        <v>0.9</v>
      </c>
      <c r="J752" s="72">
        <v>1</v>
      </c>
      <c r="K752" s="72">
        <v>1</v>
      </c>
      <c r="L752" s="73">
        <v>0.962962962962963</v>
      </c>
      <c r="M752" s="72">
        <v>0.963302752293578</v>
      </c>
      <c r="N752" s="74">
        <v>0.9</v>
      </c>
      <c r="O752" s="72">
        <v>0.942636289666395</v>
      </c>
      <c r="P752" s="72">
        <v>0.947322970639033</v>
      </c>
      <c r="Q752" s="72">
        <v>0.929481733220051</v>
      </c>
      <c r="R752" s="72">
        <v>0.94992677972507</v>
      </c>
      <c r="S752" s="74">
        <v>0.9</v>
      </c>
      <c r="T752" s="72">
        <v>0.932872253864931</v>
      </c>
      <c r="U752" s="72">
        <v>0.915371329879102</v>
      </c>
      <c r="V752" s="72">
        <v>0.903143585386576</v>
      </c>
      <c r="W752" s="72">
        <v>0.932070480419481</v>
      </c>
      <c r="X752" s="74">
        <v>0.92</v>
      </c>
      <c r="Y752" s="74">
        <v>0.925925925925926</v>
      </c>
      <c r="Z752" s="74">
        <v>0.93517017828201</v>
      </c>
      <c r="AA752" s="74">
        <v>0.951747088186356</v>
      </c>
      <c r="AB752" s="74">
        <v>0.9437475499804</v>
      </c>
      <c r="AC752" s="74">
        <v>0.92</v>
      </c>
      <c r="AD752" s="72">
        <v>0.994318181818182</v>
      </c>
      <c r="AE752" s="72">
        <v>0.991769547325103</v>
      </c>
      <c r="AF752" s="72">
        <v>0.996794871794872</v>
      </c>
      <c r="AG752" s="72">
        <v>0.990673886883273</v>
      </c>
      <c r="AH752" s="74">
        <v>0.92</v>
      </c>
      <c r="AI752" s="72">
        <v>0.963305785123967</v>
      </c>
      <c r="AJ752" s="72">
        <v>0.960790998977156</v>
      </c>
      <c r="AK752" s="72">
        <v>0.961434370771313</v>
      </c>
      <c r="AL752" s="72">
        <v>0.972175700365408</v>
      </c>
      <c r="AM752" s="71">
        <v>0.99</v>
      </c>
      <c r="AN752" s="76">
        <v>1</v>
      </c>
      <c r="AO752" s="76">
        <v>1</v>
      </c>
      <c r="AP752" s="76">
        <v>1</v>
      </c>
      <c r="AQ752" s="76">
        <v>1</v>
      </c>
      <c r="AR752" s="96">
        <v>0.0810595228934205</v>
      </c>
      <c r="AS752" s="80">
        <v>0</v>
      </c>
      <c r="AT752" s="80">
        <v>0.0769230769230769</v>
      </c>
      <c r="AU752" s="80">
        <v>0.0909090909090909</v>
      </c>
      <c r="AV752" s="80">
        <v>0.075</v>
      </c>
      <c r="AW752" s="36"/>
      <c r="AX752" s="34"/>
    </row>
    <row r="753" ht="14.5" spans="1:50">
      <c r="A753" s="32"/>
      <c r="B753" s="36"/>
      <c r="C753" s="91" t="s">
        <v>693</v>
      </c>
      <c r="D753" s="69" t="s">
        <v>21</v>
      </c>
      <c r="E753" s="114" t="s">
        <v>804</v>
      </c>
      <c r="F753" s="114" t="s">
        <v>804</v>
      </c>
      <c r="G753" s="114" t="s">
        <v>804</v>
      </c>
      <c r="H753" s="114" t="s">
        <v>804</v>
      </c>
      <c r="I753" s="71">
        <v>0.9</v>
      </c>
      <c r="J753" s="72">
        <v>1</v>
      </c>
      <c r="K753" s="72">
        <v>0.933333333333333</v>
      </c>
      <c r="L753" s="73">
        <v>1</v>
      </c>
      <c r="M753" s="72">
        <v>0.988416988416988</v>
      </c>
      <c r="N753" s="74">
        <v>0.9</v>
      </c>
      <c r="O753" s="72">
        <v>0.931433292028088</v>
      </c>
      <c r="P753" s="72">
        <v>0.965280950205573</v>
      </c>
      <c r="Q753" s="72">
        <v>0.968444444444444</v>
      </c>
      <c r="R753" s="72">
        <v>0.956821776009968</v>
      </c>
      <c r="S753" s="74">
        <v>0.9</v>
      </c>
      <c r="T753" s="72">
        <v>0.839735646427096</v>
      </c>
      <c r="U753" s="72">
        <v>0.929191411603472</v>
      </c>
      <c r="V753" s="72">
        <v>0.932444444444444</v>
      </c>
      <c r="W753" s="72">
        <v>0.909522212105238</v>
      </c>
      <c r="X753" s="74">
        <v>0.92</v>
      </c>
      <c r="Y753" s="74">
        <v>0.866209262435678</v>
      </c>
      <c r="Z753" s="74">
        <v>0.92</v>
      </c>
      <c r="AA753" s="74">
        <v>0.929721815519766</v>
      </c>
      <c r="AB753" s="74">
        <v>0.914918643403254</v>
      </c>
      <c r="AC753" s="74">
        <v>0.92</v>
      </c>
      <c r="AD753" s="72">
        <v>1</v>
      </c>
      <c r="AE753" s="72">
        <v>0.999187982135607</v>
      </c>
      <c r="AF753" s="72">
        <v>0.999445368829728</v>
      </c>
      <c r="AG753" s="72">
        <v>0.999204384724187</v>
      </c>
      <c r="AH753" s="74">
        <v>0.92</v>
      </c>
      <c r="AI753" s="72">
        <v>0.923435419440746</v>
      </c>
      <c r="AJ753" s="72">
        <v>0.96442409299049</v>
      </c>
      <c r="AK753" s="72">
        <v>0.969655642686669</v>
      </c>
      <c r="AL753" s="72">
        <v>0.96056685150955</v>
      </c>
      <c r="AM753" s="71">
        <v>0.99</v>
      </c>
      <c r="AN753" s="76">
        <v>1</v>
      </c>
      <c r="AO753" s="76">
        <v>1</v>
      </c>
      <c r="AP753" s="76">
        <v>1</v>
      </c>
      <c r="AQ753" s="76">
        <v>1</v>
      </c>
      <c r="AR753" s="96">
        <v>0.0810595228934205</v>
      </c>
      <c r="AS753" s="80">
        <v>0</v>
      </c>
      <c r="AT753" s="80">
        <v>0.111111111111111</v>
      </c>
      <c r="AU753" s="80">
        <v>0.0666666666666667</v>
      </c>
      <c r="AV753" s="80">
        <v>0.0348837209302326</v>
      </c>
      <c r="AW753" s="36"/>
      <c r="AX753" s="34"/>
    </row>
    <row r="754" ht="14.5" spans="1:50">
      <c r="A754" s="32"/>
      <c r="B754" s="36"/>
      <c r="C754" s="91" t="s">
        <v>693</v>
      </c>
      <c r="D754" s="69" t="s">
        <v>21</v>
      </c>
      <c r="E754" s="114" t="s">
        <v>805</v>
      </c>
      <c r="F754" s="114" t="s">
        <v>805</v>
      </c>
      <c r="G754" s="114" t="s">
        <v>805</v>
      </c>
      <c r="H754" s="114" t="s">
        <v>805</v>
      </c>
      <c r="I754" s="71">
        <v>0.9</v>
      </c>
      <c r="J754" s="72">
        <v>1</v>
      </c>
      <c r="K754" s="72">
        <v>0.935483870967742</v>
      </c>
      <c r="L754" s="73">
        <v>1</v>
      </c>
      <c r="M754" s="72">
        <v>0.958904109589041</v>
      </c>
      <c r="N754" s="74">
        <v>0.9</v>
      </c>
      <c r="O754" s="72">
        <v>0.945073235685752</v>
      </c>
      <c r="P754" s="72">
        <v>0.96580547112462</v>
      </c>
      <c r="Q754" s="72">
        <v>0.96458126448196</v>
      </c>
      <c r="R754" s="72">
        <v>0.963435823827151</v>
      </c>
      <c r="S754" s="74">
        <v>0.9</v>
      </c>
      <c r="T754" s="72">
        <v>0.872503328894807</v>
      </c>
      <c r="U754" s="72">
        <v>0.917553191489362</v>
      </c>
      <c r="V754" s="72">
        <v>0.926514399205561</v>
      </c>
      <c r="W754" s="72">
        <v>0.913311173226562</v>
      </c>
      <c r="X754" s="74">
        <v>0.92</v>
      </c>
      <c r="Y754" s="74">
        <v>0.909730363423212</v>
      </c>
      <c r="Z754" s="74">
        <v>0.943734015345269</v>
      </c>
      <c r="AA754" s="74">
        <v>0.944180522565321</v>
      </c>
      <c r="AB754" s="74">
        <v>0.933104886769964</v>
      </c>
      <c r="AC754" s="74">
        <v>0.92</v>
      </c>
      <c r="AD754" s="72">
        <v>0.999517700395486</v>
      </c>
      <c r="AE754" s="72">
        <v>0.99790546673183</v>
      </c>
      <c r="AF754" s="72">
        <v>0.999694212980659</v>
      </c>
      <c r="AG754" s="72">
        <v>0.996223544434483</v>
      </c>
      <c r="AH754" s="74">
        <v>0.92</v>
      </c>
      <c r="AI754" s="72">
        <v>0.936495593571799</v>
      </c>
      <c r="AJ754" s="72">
        <v>0.959285295840656</v>
      </c>
      <c r="AK754" s="72">
        <v>0.968685300207039</v>
      </c>
      <c r="AL754" s="72">
        <v>0.963062275918171</v>
      </c>
      <c r="AM754" s="71">
        <v>0.99</v>
      </c>
      <c r="AN754" s="76">
        <v>1</v>
      </c>
      <c r="AO754" s="76">
        <v>1</v>
      </c>
      <c r="AP754" s="76">
        <v>1</v>
      </c>
      <c r="AQ754" s="76">
        <v>1</v>
      </c>
      <c r="AR754" s="96">
        <v>0.0810595228934205</v>
      </c>
      <c r="AS754" s="80">
        <v>0</v>
      </c>
      <c r="AT754" s="80">
        <v>0.157894736842105</v>
      </c>
      <c r="AU754" s="80">
        <v>0.0714285714285714</v>
      </c>
      <c r="AV754" s="80">
        <v>0.075187969924812</v>
      </c>
      <c r="AW754" s="36"/>
      <c r="AX754" s="34"/>
    </row>
    <row r="755" ht="14.5" spans="1:50">
      <c r="A755" s="32"/>
      <c r="B755" s="36"/>
      <c r="C755" s="91" t="s">
        <v>693</v>
      </c>
      <c r="D755" s="69" t="s">
        <v>21</v>
      </c>
      <c r="E755" s="114" t="s">
        <v>806</v>
      </c>
      <c r="F755" s="114" t="s">
        <v>806</v>
      </c>
      <c r="G755" s="114" t="s">
        <v>806</v>
      </c>
      <c r="H755" s="114" t="s">
        <v>806</v>
      </c>
      <c r="I755" s="71">
        <v>0.9</v>
      </c>
      <c r="J755" s="72">
        <v>0.866666666666667</v>
      </c>
      <c r="K755" s="72">
        <v>1</v>
      </c>
      <c r="L755" s="73">
        <v>1</v>
      </c>
      <c r="M755" s="72">
        <v>0.957746478873239</v>
      </c>
      <c r="N755" s="74">
        <v>0.9</v>
      </c>
      <c r="O755" s="72">
        <v>0.965996908809892</v>
      </c>
      <c r="P755" s="72">
        <v>0.96875</v>
      </c>
      <c r="Q755" s="72">
        <v>0.9761010583817</v>
      </c>
      <c r="R755" s="72">
        <v>0.974617258809411</v>
      </c>
      <c r="S755" s="74">
        <v>0.9</v>
      </c>
      <c r="T755" s="72">
        <v>0.910046367851623</v>
      </c>
      <c r="U755" s="72">
        <v>0.952953296703297</v>
      </c>
      <c r="V755" s="72">
        <v>0.96142027995903</v>
      </c>
      <c r="W755" s="72">
        <v>0.944252518273392</v>
      </c>
      <c r="X755" s="74">
        <v>0.92</v>
      </c>
      <c r="Y755" s="74">
        <v>0.894536213468869</v>
      </c>
      <c r="Z755" s="74">
        <v>0.934758155230596</v>
      </c>
      <c r="AA755" s="74">
        <v>0.921957671957672</v>
      </c>
      <c r="AB755" s="74">
        <v>0.930371253913821</v>
      </c>
      <c r="AC755" s="74">
        <v>0.92</v>
      </c>
      <c r="AD755" s="72">
        <v>0.997844827586207</v>
      </c>
      <c r="AE755" s="72">
        <v>1</v>
      </c>
      <c r="AF755" s="72">
        <v>1</v>
      </c>
      <c r="AG755" s="72">
        <v>0.999094202898551</v>
      </c>
      <c r="AH755" s="74">
        <v>0.92</v>
      </c>
      <c r="AI755" s="72">
        <v>0.954002983590254</v>
      </c>
      <c r="AJ755" s="72">
        <v>0.972375690607735</v>
      </c>
      <c r="AK755" s="72">
        <v>0.974762550881954</v>
      </c>
      <c r="AL755" s="72">
        <v>0.973631898971001</v>
      </c>
      <c r="AM755" s="71">
        <v>0.99</v>
      </c>
      <c r="AN755" s="76">
        <v>1</v>
      </c>
      <c r="AO755" s="76">
        <v>1</v>
      </c>
      <c r="AP755" s="76">
        <v>1</v>
      </c>
      <c r="AQ755" s="76">
        <v>1</v>
      </c>
      <c r="AR755" s="96">
        <v>0.0810595228934205</v>
      </c>
      <c r="AS755" s="80">
        <v>0.166666666666667</v>
      </c>
      <c r="AT755" s="80">
        <v>0</v>
      </c>
      <c r="AU755" s="80">
        <v>0</v>
      </c>
      <c r="AV755" s="80">
        <v>0.0888888888888889</v>
      </c>
      <c r="AW755" s="36"/>
      <c r="AX755" s="34"/>
    </row>
    <row r="756" ht="14.5" spans="1:50">
      <c r="A756" s="32"/>
      <c r="B756" s="36"/>
      <c r="C756" s="91" t="s">
        <v>693</v>
      </c>
      <c r="D756" s="69" t="s">
        <v>21</v>
      </c>
      <c r="E756" s="114" t="s">
        <v>807</v>
      </c>
      <c r="F756" s="114" t="s">
        <v>807</v>
      </c>
      <c r="G756" s="114" t="s">
        <v>807</v>
      </c>
      <c r="H756" s="114" t="s">
        <v>807</v>
      </c>
      <c r="I756" s="71">
        <v>0.9</v>
      </c>
      <c r="J756" s="72">
        <v>1</v>
      </c>
      <c r="K756" s="72">
        <v>0.972222222222222</v>
      </c>
      <c r="L756" s="73">
        <v>0.972222222222222</v>
      </c>
      <c r="M756" s="72">
        <v>0.962457337883959</v>
      </c>
      <c r="N756" s="74">
        <v>0.9</v>
      </c>
      <c r="O756" s="72">
        <v>0.935278030993619</v>
      </c>
      <c r="P756" s="72">
        <v>0.943875750088246</v>
      </c>
      <c r="Q756" s="72">
        <v>0.962058726492907</v>
      </c>
      <c r="R756" s="72">
        <v>0.948748211731044</v>
      </c>
      <c r="S756" s="74">
        <v>0.9</v>
      </c>
      <c r="T756" s="72">
        <v>0.93436645396536</v>
      </c>
      <c r="U756" s="72">
        <v>0.938228026826685</v>
      </c>
      <c r="V756" s="72">
        <v>0.963378422962719</v>
      </c>
      <c r="W756" s="72">
        <v>0.936587982832618</v>
      </c>
      <c r="X756" s="74">
        <v>0.92</v>
      </c>
      <c r="Y756" s="74">
        <v>0.878973105134474</v>
      </c>
      <c r="Z756" s="74">
        <v>0.834894613583138</v>
      </c>
      <c r="AA756" s="74">
        <v>0.881313131313131</v>
      </c>
      <c r="AB756" s="74">
        <v>0.872893881170559</v>
      </c>
      <c r="AC756" s="74">
        <v>0.92</v>
      </c>
      <c r="AD756" s="72">
        <v>0.998513011152416</v>
      </c>
      <c r="AE756" s="72">
        <v>0.996618765849535</v>
      </c>
      <c r="AF756" s="72">
        <v>1</v>
      </c>
      <c r="AG756" s="72">
        <v>0.997435473196559</v>
      </c>
      <c r="AH756" s="74">
        <v>0.92</v>
      </c>
      <c r="AI756" s="72">
        <v>0.95010951569725</v>
      </c>
      <c r="AJ756" s="72">
        <v>0.946840249525359</v>
      </c>
      <c r="AK756" s="72">
        <v>0.969657337169762</v>
      </c>
      <c r="AL756" s="72">
        <v>0.959168394379175</v>
      </c>
      <c r="AM756" s="71">
        <v>0.99</v>
      </c>
      <c r="AN756" s="76">
        <v>1</v>
      </c>
      <c r="AO756" s="76">
        <v>1</v>
      </c>
      <c r="AP756" s="76">
        <v>1</v>
      </c>
      <c r="AQ756" s="76">
        <v>1</v>
      </c>
      <c r="AR756" s="96">
        <v>0.0810595228934205</v>
      </c>
      <c r="AS756" s="80">
        <v>0</v>
      </c>
      <c r="AT756" s="80">
        <v>0</v>
      </c>
      <c r="AU756" s="80">
        <v>0</v>
      </c>
      <c r="AV756" s="80">
        <v>0.024390243902439</v>
      </c>
      <c r="AW756" s="36"/>
      <c r="AX756" s="34"/>
    </row>
    <row r="757" ht="14.5" spans="1:50">
      <c r="A757" s="32"/>
      <c r="B757" s="36"/>
      <c r="C757" s="91" t="s">
        <v>693</v>
      </c>
      <c r="D757" s="69" t="s">
        <v>21</v>
      </c>
      <c r="E757" s="114" t="s">
        <v>808</v>
      </c>
      <c r="F757" s="114" t="s">
        <v>808</v>
      </c>
      <c r="G757" s="114" t="s">
        <v>808</v>
      </c>
      <c r="H757" s="114" t="s">
        <v>808</v>
      </c>
      <c r="I757" s="71">
        <v>0.9</v>
      </c>
      <c r="J757" s="72">
        <v>1</v>
      </c>
      <c r="K757" s="72">
        <v>0.944444444444444</v>
      </c>
      <c r="L757" s="73">
        <v>1</v>
      </c>
      <c r="M757" s="72">
        <v>0.994082840236686</v>
      </c>
      <c r="N757" s="74">
        <v>0.9</v>
      </c>
      <c r="O757" s="72">
        <v>0.908687068114511</v>
      </c>
      <c r="P757" s="72">
        <v>0.961249277038751</v>
      </c>
      <c r="Q757" s="72">
        <v>0.970362239297475</v>
      </c>
      <c r="R757" s="72">
        <v>0.94943754394188</v>
      </c>
      <c r="S757" s="74">
        <v>0.9</v>
      </c>
      <c r="T757" s="72">
        <v>0.884501480750247</v>
      </c>
      <c r="U757" s="72">
        <v>0.948525159051475</v>
      </c>
      <c r="V757" s="72">
        <v>0.953347969264544</v>
      </c>
      <c r="W757" s="72">
        <v>0.937016639325053</v>
      </c>
      <c r="X757" s="74">
        <v>0.92</v>
      </c>
      <c r="Y757" s="74">
        <v>0.908910891089109</v>
      </c>
      <c r="Z757" s="74">
        <v>0.914512922465209</v>
      </c>
      <c r="AA757" s="74">
        <v>0.924078091106291</v>
      </c>
      <c r="AB757" s="74">
        <v>0.922420102464016</v>
      </c>
      <c r="AC757" s="74">
        <v>0.92</v>
      </c>
      <c r="AD757" s="72">
        <v>0.996710526315789</v>
      </c>
      <c r="AE757" s="72">
        <v>0.996845425867508</v>
      </c>
      <c r="AF757" s="72">
        <v>1</v>
      </c>
      <c r="AG757" s="72">
        <v>0.996111471160078</v>
      </c>
      <c r="AH757" s="74">
        <v>0.92</v>
      </c>
      <c r="AI757" s="72">
        <v>0.957345971563981</v>
      </c>
      <c r="AJ757" s="72">
        <v>0.966845878136201</v>
      </c>
      <c r="AK757" s="72">
        <v>0.968900569426194</v>
      </c>
      <c r="AL757" s="72">
        <v>0.970760510155881</v>
      </c>
      <c r="AM757" s="71">
        <v>0.99</v>
      </c>
      <c r="AN757" s="76">
        <v>1</v>
      </c>
      <c r="AO757" s="76">
        <v>1</v>
      </c>
      <c r="AP757" s="76">
        <v>1</v>
      </c>
      <c r="AQ757" s="76">
        <v>1</v>
      </c>
      <c r="AR757" s="96">
        <v>0.0810595228934205</v>
      </c>
      <c r="AS757" s="80">
        <v>0</v>
      </c>
      <c r="AT757" s="80">
        <v>0</v>
      </c>
      <c r="AU757" s="80">
        <v>0.125</v>
      </c>
      <c r="AV757" s="80">
        <v>0.09375</v>
      </c>
      <c r="AW757" s="36"/>
      <c r="AX757" s="34"/>
    </row>
    <row r="758" ht="14.5" spans="1:50">
      <c r="A758" s="32"/>
      <c r="B758" s="36"/>
      <c r="C758" s="91" t="s">
        <v>693</v>
      </c>
      <c r="D758" s="69" t="s">
        <v>21</v>
      </c>
      <c r="E758" s="114" t="s">
        <v>809</v>
      </c>
      <c r="F758" s="114" t="s">
        <v>809</v>
      </c>
      <c r="G758" s="114" t="s">
        <v>809</v>
      </c>
      <c r="H758" s="114" t="s">
        <v>809</v>
      </c>
      <c r="I758" s="71">
        <v>0.9</v>
      </c>
      <c r="J758" s="72">
        <v>0.75</v>
      </c>
      <c r="K758" s="72">
        <v>0.916666666666667</v>
      </c>
      <c r="L758" s="73">
        <v>0.833333333333333</v>
      </c>
      <c r="M758" s="72">
        <v>0.838383838383838</v>
      </c>
      <c r="N758" s="74">
        <v>0.9</v>
      </c>
      <c r="O758" s="72">
        <v>0.962488563586459</v>
      </c>
      <c r="P758" s="72">
        <v>0.953299492385787</v>
      </c>
      <c r="Q758" s="72">
        <v>0.963137996219282</v>
      </c>
      <c r="R758" s="72">
        <v>0.955832037325039</v>
      </c>
      <c r="S758" s="74">
        <v>0.9</v>
      </c>
      <c r="T758" s="72">
        <v>0.951509606587374</v>
      </c>
      <c r="U758" s="72">
        <v>0.970558375634518</v>
      </c>
      <c r="V758" s="72">
        <v>0.966918714555766</v>
      </c>
      <c r="W758" s="72">
        <v>0.94473820632452</v>
      </c>
      <c r="X758" s="74">
        <v>0.92</v>
      </c>
      <c r="Y758" s="74">
        <v>0.921933085501859</v>
      </c>
      <c r="Z758" s="74">
        <v>0.959558823529412</v>
      </c>
      <c r="AA758" s="74">
        <v>0.976377952755906</v>
      </c>
      <c r="AB758" s="74">
        <v>0.909090909090909</v>
      </c>
      <c r="AC758" s="74">
        <v>0.92</v>
      </c>
      <c r="AD758" s="72">
        <v>0.994413407821229</v>
      </c>
      <c r="AE758" s="72">
        <v>1</v>
      </c>
      <c r="AF758" s="72">
        <v>0.989071038251366</v>
      </c>
      <c r="AG758" s="72">
        <v>0.982876712328767</v>
      </c>
      <c r="AH758" s="74">
        <v>0.92</v>
      </c>
      <c r="AI758" s="72">
        <v>0.964023494860499</v>
      </c>
      <c r="AJ758" s="72">
        <v>0.98090692124105</v>
      </c>
      <c r="AK758" s="72">
        <v>0.989329268292683</v>
      </c>
      <c r="AL758" s="72">
        <v>0.971874737637478</v>
      </c>
      <c r="AM758" s="71">
        <v>0.99</v>
      </c>
      <c r="AN758" s="76">
        <v>1</v>
      </c>
      <c r="AO758" s="76">
        <v>1</v>
      </c>
      <c r="AP758" s="76">
        <v>1</v>
      </c>
      <c r="AQ758" s="76">
        <v>1</v>
      </c>
      <c r="AR758" s="96">
        <v>0.0810595228934205</v>
      </c>
      <c r="AS758" s="80">
        <v>0</v>
      </c>
      <c r="AT758" s="80">
        <v>0</v>
      </c>
      <c r="AU758" s="80">
        <v>0.25</v>
      </c>
      <c r="AV758" s="80">
        <v>0.0344827586206897</v>
      </c>
      <c r="AW758" s="36"/>
      <c r="AX758" s="34"/>
    </row>
    <row r="759" ht="14.5" spans="1:50">
      <c r="A759" s="32"/>
      <c r="B759" s="36"/>
      <c r="C759" s="91" t="s">
        <v>693</v>
      </c>
      <c r="D759" s="69" t="s">
        <v>21</v>
      </c>
      <c r="E759" s="114" t="s">
        <v>810</v>
      </c>
      <c r="F759" s="114" t="s">
        <v>810</v>
      </c>
      <c r="G759" s="114" t="s">
        <v>810</v>
      </c>
      <c r="H759" s="114" t="s">
        <v>810</v>
      </c>
      <c r="I759" s="71">
        <v>0.9</v>
      </c>
      <c r="J759" s="72">
        <v>1</v>
      </c>
      <c r="K759" s="72">
        <v>1</v>
      </c>
      <c r="L759" s="73">
        <v>1</v>
      </c>
      <c r="M759" s="72">
        <v>1</v>
      </c>
      <c r="N759" s="74">
        <v>0.9</v>
      </c>
      <c r="O759" s="72">
        <v>0.94031007751938</v>
      </c>
      <c r="P759" s="72">
        <v>0.995610184372256</v>
      </c>
      <c r="Q759" s="72">
        <v>0.994318181818182</v>
      </c>
      <c r="R759" s="72">
        <v>0.987035203025119</v>
      </c>
      <c r="S759" s="74">
        <v>0.9</v>
      </c>
      <c r="T759" s="72">
        <v>0.908527131782946</v>
      </c>
      <c r="U759" s="72">
        <v>0.963125548726953</v>
      </c>
      <c r="V759" s="72">
        <v>0.964285714285714</v>
      </c>
      <c r="W759" s="72">
        <v>0.956243810209778</v>
      </c>
      <c r="X759" s="74">
        <v>0.92</v>
      </c>
      <c r="Y759" s="74">
        <v>0.938461538461538</v>
      </c>
      <c r="Z759" s="74">
        <v>0.952727272727273</v>
      </c>
      <c r="AA759" s="74">
        <v>0.972809667673716</v>
      </c>
      <c r="AB759" s="74">
        <v>0.952544967470341</v>
      </c>
      <c r="AC759" s="74">
        <v>0.92</v>
      </c>
      <c r="AD759" s="72">
        <v>1</v>
      </c>
      <c r="AE759" s="72">
        <v>0.997995991983968</v>
      </c>
      <c r="AF759" s="72">
        <v>0.995555555555556</v>
      </c>
      <c r="AG759" s="72">
        <v>0.999141077947176</v>
      </c>
      <c r="AH759" s="74">
        <v>0.92</v>
      </c>
      <c r="AI759" s="72">
        <v>0.96656346749226</v>
      </c>
      <c r="AJ759" s="72">
        <v>0.981625441696113</v>
      </c>
      <c r="AK759" s="72">
        <v>0.986564299424184</v>
      </c>
      <c r="AL759" s="72">
        <v>0.980759419867357</v>
      </c>
      <c r="AM759" s="71">
        <v>0.99</v>
      </c>
      <c r="AN759" s="76">
        <v>1</v>
      </c>
      <c r="AO759" s="76">
        <v>1</v>
      </c>
      <c r="AP759" s="76">
        <v>1</v>
      </c>
      <c r="AQ759" s="76">
        <v>1</v>
      </c>
      <c r="AR759" s="96">
        <v>0.0810595228934205</v>
      </c>
      <c r="AS759" s="80">
        <v>0</v>
      </c>
      <c r="AT759" s="80">
        <v>0</v>
      </c>
      <c r="AU759" s="80">
        <v>0</v>
      </c>
      <c r="AV759" s="80">
        <v>0</v>
      </c>
      <c r="AW759" s="36"/>
      <c r="AX759" s="34"/>
    </row>
    <row r="760" ht="14.5" spans="1:50">
      <c r="A760" s="32"/>
      <c r="B760" s="36"/>
      <c r="C760" s="91" t="s">
        <v>693</v>
      </c>
      <c r="D760" s="69" t="s">
        <v>21</v>
      </c>
      <c r="E760" s="114" t="s">
        <v>811</v>
      </c>
      <c r="F760" s="114" t="s">
        <v>811</v>
      </c>
      <c r="G760" s="114" t="s">
        <v>811</v>
      </c>
      <c r="H760" s="114" t="s">
        <v>811</v>
      </c>
      <c r="I760" s="71">
        <v>0.9</v>
      </c>
      <c r="J760" s="72">
        <v>0.84375</v>
      </c>
      <c r="K760" s="72">
        <v>0.763157894736842</v>
      </c>
      <c r="L760" s="73">
        <v>0.735294117647059</v>
      </c>
      <c r="M760" s="72">
        <v>0.825242718446602</v>
      </c>
      <c r="N760" s="74">
        <v>0.9</v>
      </c>
      <c r="O760" s="72">
        <v>0.896932515337423</v>
      </c>
      <c r="P760" s="72">
        <v>0.956605593056895</v>
      </c>
      <c r="Q760" s="72">
        <v>0.926502377864246</v>
      </c>
      <c r="R760" s="72">
        <v>0.894674945902719</v>
      </c>
      <c r="S760" s="74">
        <v>0.9</v>
      </c>
      <c r="T760" s="72">
        <v>0.846625766871166</v>
      </c>
      <c r="U760" s="72">
        <v>0.918514946962392</v>
      </c>
      <c r="V760" s="72">
        <v>0.923908344141807</v>
      </c>
      <c r="W760" s="72">
        <v>0.895051274814188</v>
      </c>
      <c r="X760" s="74">
        <v>0.92</v>
      </c>
      <c r="Y760" s="74">
        <v>0.865646258503401</v>
      </c>
      <c r="Z760" s="74">
        <v>0.907590759075908</v>
      </c>
      <c r="AA760" s="74">
        <v>0.939024390243902</v>
      </c>
      <c r="AB760" s="74">
        <v>0.908820614469772</v>
      </c>
      <c r="AC760" s="74">
        <v>0.92</v>
      </c>
      <c r="AD760" s="72">
        <v>0.993191721132898</v>
      </c>
      <c r="AE760" s="72">
        <v>0.991596638655462</v>
      </c>
      <c r="AF760" s="72">
        <v>0.986583118319204</v>
      </c>
      <c r="AG760" s="72">
        <v>0.984280670785525</v>
      </c>
      <c r="AH760" s="74">
        <v>0.92</v>
      </c>
      <c r="AI760" s="72">
        <v>0.886288727752142</v>
      </c>
      <c r="AJ760" s="72">
        <v>0.953020134228188</v>
      </c>
      <c r="AK760" s="72">
        <v>0.955921938088829</v>
      </c>
      <c r="AL760" s="72">
        <v>0.941565349544073</v>
      </c>
      <c r="AM760" s="71">
        <v>0.99</v>
      </c>
      <c r="AN760" s="76">
        <v>1</v>
      </c>
      <c r="AO760" s="76">
        <v>1</v>
      </c>
      <c r="AP760" s="76">
        <v>1</v>
      </c>
      <c r="AQ760" s="76">
        <v>1</v>
      </c>
      <c r="AR760" s="96">
        <v>0.0810595228934205</v>
      </c>
      <c r="AS760" s="80">
        <v>0.0555555555555556</v>
      </c>
      <c r="AT760" s="80">
        <v>0</v>
      </c>
      <c r="AU760" s="80">
        <v>0.04</v>
      </c>
      <c r="AV760" s="80">
        <v>0.0282485875706215</v>
      </c>
      <c r="AW760" s="36"/>
      <c r="AX760" s="34"/>
    </row>
    <row r="761" ht="14.5" spans="1:50">
      <c r="A761" s="32"/>
      <c r="B761" s="36"/>
      <c r="C761" s="91" t="s">
        <v>693</v>
      </c>
      <c r="D761" s="69" t="s">
        <v>21</v>
      </c>
      <c r="E761" s="114" t="s">
        <v>812</v>
      </c>
      <c r="F761" s="114" t="s">
        <v>812</v>
      </c>
      <c r="G761" s="114" t="s">
        <v>812</v>
      </c>
      <c r="H761" s="114" t="s">
        <v>812</v>
      </c>
      <c r="I761" s="71">
        <v>0.9</v>
      </c>
      <c r="J761" s="72">
        <v>0.925925925925926</v>
      </c>
      <c r="K761" s="72">
        <v>0.933333333333333</v>
      </c>
      <c r="L761" s="73">
        <v>0.935483870967742</v>
      </c>
      <c r="M761" s="72">
        <v>0.949416342412451</v>
      </c>
      <c r="N761" s="74">
        <v>0.9</v>
      </c>
      <c r="O761" s="72">
        <v>0.972172351885099</v>
      </c>
      <c r="P761" s="72">
        <v>0.985353535353535</v>
      </c>
      <c r="Q761" s="72">
        <v>0.962569316081331</v>
      </c>
      <c r="R761" s="72">
        <v>0.96672125085838</v>
      </c>
      <c r="S761" s="74">
        <v>0.9</v>
      </c>
      <c r="T761" s="72">
        <v>0.932226211849192</v>
      </c>
      <c r="U761" s="72">
        <v>0.939393939393939</v>
      </c>
      <c r="V761" s="72">
        <v>0.947781885397412</v>
      </c>
      <c r="W761" s="72">
        <v>0.92377581744229</v>
      </c>
      <c r="X761" s="74">
        <v>0.92</v>
      </c>
      <c r="Y761" s="74">
        <v>0.944244604316547</v>
      </c>
      <c r="Z761" s="74">
        <v>0.948504983388704</v>
      </c>
      <c r="AA761" s="74">
        <v>0.964814814814815</v>
      </c>
      <c r="AB761" s="74">
        <v>0.94297759041491</v>
      </c>
      <c r="AC761" s="74">
        <v>0.92</v>
      </c>
      <c r="AD761" s="72">
        <v>0.998348873348873</v>
      </c>
      <c r="AE761" s="72">
        <v>0.997412677878396</v>
      </c>
      <c r="AF761" s="72">
        <v>0.997904408801483</v>
      </c>
      <c r="AG761" s="72">
        <v>0.996284397262187</v>
      </c>
      <c r="AH761" s="74">
        <v>0.92</v>
      </c>
      <c r="AI761" s="72">
        <v>0.969827586206897</v>
      </c>
      <c r="AJ761" s="72">
        <v>0.975232198142415</v>
      </c>
      <c r="AK761" s="72">
        <v>0.979659763313609</v>
      </c>
      <c r="AL761" s="72">
        <v>0.971722255395377</v>
      </c>
      <c r="AM761" s="71">
        <v>0.99</v>
      </c>
      <c r="AN761" s="76">
        <v>1</v>
      </c>
      <c r="AO761" s="76">
        <v>1</v>
      </c>
      <c r="AP761" s="76">
        <v>1</v>
      </c>
      <c r="AQ761" s="76">
        <v>1</v>
      </c>
      <c r="AR761" s="96">
        <v>0.0810595228934205</v>
      </c>
      <c r="AS761" s="80">
        <v>0</v>
      </c>
      <c r="AT761" s="80">
        <v>0</v>
      </c>
      <c r="AU761" s="80">
        <v>0</v>
      </c>
      <c r="AV761" s="80">
        <v>0.0142857142857143</v>
      </c>
      <c r="AW761" s="36"/>
      <c r="AX761" s="34"/>
    </row>
    <row r="762" ht="14.5" spans="1:50">
      <c r="A762" s="32"/>
      <c r="B762" s="36"/>
      <c r="C762" s="91" t="s">
        <v>693</v>
      </c>
      <c r="D762" s="69" t="s">
        <v>21</v>
      </c>
      <c r="E762" s="114" t="s">
        <v>813</v>
      </c>
      <c r="F762" s="114" t="s">
        <v>813</v>
      </c>
      <c r="G762" s="114" t="s">
        <v>813</v>
      </c>
      <c r="H762" s="114" t="s">
        <v>813</v>
      </c>
      <c r="I762" s="71">
        <v>0.9</v>
      </c>
      <c r="J762" s="72">
        <v>0.972222222222222</v>
      </c>
      <c r="K762" s="72">
        <v>0.928571428571429</v>
      </c>
      <c r="L762" s="73">
        <v>1</v>
      </c>
      <c r="M762" s="72">
        <v>0.972222222222222</v>
      </c>
      <c r="N762" s="74">
        <v>0.9</v>
      </c>
      <c r="O762" s="72">
        <v>0.922645192776964</v>
      </c>
      <c r="P762" s="72">
        <v>0.955933900851277</v>
      </c>
      <c r="Q762" s="72">
        <v>0.941103687206137</v>
      </c>
      <c r="R762" s="72">
        <v>0.947228666461693</v>
      </c>
      <c r="S762" s="74">
        <v>0.9</v>
      </c>
      <c r="T762" s="72">
        <v>0.964372864812103</v>
      </c>
      <c r="U762" s="72">
        <v>0.973960941412118</v>
      </c>
      <c r="V762" s="72">
        <v>0.967829745112596</v>
      </c>
      <c r="W762" s="72">
        <v>0.969840959275512</v>
      </c>
      <c r="X762" s="74">
        <v>0.92</v>
      </c>
      <c r="Y762" s="74">
        <v>0.974981046247157</v>
      </c>
      <c r="Z762" s="74">
        <v>0.984438984438984</v>
      </c>
      <c r="AA762" s="74">
        <v>0.985254691689008</v>
      </c>
      <c r="AB762" s="74">
        <v>0.978826376285541</v>
      </c>
      <c r="AC762" s="74">
        <v>0.92</v>
      </c>
      <c r="AD762" s="72">
        <v>0.993302811305763</v>
      </c>
      <c r="AE762" s="72">
        <v>0.980652765185857</v>
      </c>
      <c r="AF762" s="72">
        <v>0.963957957486862</v>
      </c>
      <c r="AG762" s="72">
        <v>0.973182963294328</v>
      </c>
      <c r="AH762" s="74">
        <v>0.92</v>
      </c>
      <c r="AI762" s="72">
        <v>0.983576305591437</v>
      </c>
      <c r="AJ762" s="72">
        <v>0.987540732221583</v>
      </c>
      <c r="AK762" s="72">
        <v>0.988433038134827</v>
      </c>
      <c r="AL762" s="72">
        <v>0.986174308715436</v>
      </c>
      <c r="AM762" s="71">
        <v>0.99</v>
      </c>
      <c r="AN762" s="76">
        <v>1</v>
      </c>
      <c r="AO762" s="76">
        <v>1</v>
      </c>
      <c r="AP762" s="76">
        <v>1</v>
      </c>
      <c r="AQ762" s="76">
        <v>1</v>
      </c>
      <c r="AR762" s="96">
        <v>0.0810595228934205</v>
      </c>
      <c r="AS762" s="80">
        <v>0</v>
      </c>
      <c r="AT762" s="80">
        <v>0.1</v>
      </c>
      <c r="AU762" s="80">
        <v>0</v>
      </c>
      <c r="AV762" s="80">
        <v>0.02</v>
      </c>
      <c r="AW762" s="36"/>
      <c r="AX762" s="34"/>
    </row>
    <row r="763" ht="14.5" spans="1:50">
      <c r="A763" s="32"/>
      <c r="B763" s="36"/>
      <c r="C763" s="91" t="s">
        <v>693</v>
      </c>
      <c r="D763" s="69" t="s">
        <v>21</v>
      </c>
      <c r="E763" s="114" t="s">
        <v>814</v>
      </c>
      <c r="F763" s="114" t="s">
        <v>814</v>
      </c>
      <c r="G763" s="114" t="s">
        <v>814</v>
      </c>
      <c r="H763" s="114" t="s">
        <v>814</v>
      </c>
      <c r="I763" s="71">
        <v>0.9</v>
      </c>
      <c r="J763" s="72">
        <v>0.882352941176471</v>
      </c>
      <c r="K763" s="72">
        <v>0.933333333333333</v>
      </c>
      <c r="L763" s="73">
        <v>0.944444444444444</v>
      </c>
      <c r="M763" s="72">
        <v>0.952054794520548</v>
      </c>
      <c r="N763" s="74">
        <v>0.9</v>
      </c>
      <c r="O763" s="72">
        <v>0.979288025889968</v>
      </c>
      <c r="P763" s="72">
        <v>0.964028776978417</v>
      </c>
      <c r="Q763" s="72">
        <v>0.981008902077151</v>
      </c>
      <c r="R763" s="72">
        <v>0.971664451129924</v>
      </c>
      <c r="S763" s="74">
        <v>0.9</v>
      </c>
      <c r="T763" s="72">
        <v>0.970226537216828</v>
      </c>
      <c r="U763" s="72">
        <v>0.960758665794637</v>
      </c>
      <c r="V763" s="72">
        <v>0.966765578635015</v>
      </c>
      <c r="W763" s="72">
        <v>0.965857412719513</v>
      </c>
      <c r="X763" s="74">
        <v>0.92</v>
      </c>
      <c r="Y763" s="74">
        <v>0.979416809605489</v>
      </c>
      <c r="Z763" s="74">
        <v>0.989035087719298</v>
      </c>
      <c r="AA763" s="74">
        <v>0.981024667931689</v>
      </c>
      <c r="AB763" s="74">
        <v>0.97730107258668</v>
      </c>
      <c r="AC763" s="74">
        <v>0.92</v>
      </c>
      <c r="AD763" s="72">
        <v>0.998757028706718</v>
      </c>
      <c r="AE763" s="72">
        <v>0.993843768525697</v>
      </c>
      <c r="AF763" s="72">
        <v>0.997694208070272</v>
      </c>
      <c r="AG763" s="72">
        <v>0.99694127785432</v>
      </c>
      <c r="AH763" s="74">
        <v>0.92</v>
      </c>
      <c r="AI763" s="72">
        <v>0.986372180451128</v>
      </c>
      <c r="AJ763" s="72">
        <v>0.98842476094615</v>
      </c>
      <c r="AK763" s="72">
        <v>0.986449864498645</v>
      </c>
      <c r="AL763" s="72">
        <v>0.98673001310616</v>
      </c>
      <c r="AM763" s="71">
        <v>0.99</v>
      </c>
      <c r="AN763" s="76">
        <v>1</v>
      </c>
      <c r="AO763" s="76">
        <v>1</v>
      </c>
      <c r="AP763" s="76">
        <v>1</v>
      </c>
      <c r="AQ763" s="76">
        <v>1</v>
      </c>
      <c r="AR763" s="96">
        <v>0.0810595228934205</v>
      </c>
      <c r="AS763" s="80">
        <v>0.2</v>
      </c>
      <c r="AT763" s="80">
        <v>0</v>
      </c>
      <c r="AU763" s="80">
        <v>0</v>
      </c>
      <c r="AV763" s="80">
        <v>0.0769230769230769</v>
      </c>
      <c r="AW763" s="36"/>
      <c r="AX763" s="34"/>
    </row>
    <row r="764" ht="14.5" spans="1:50">
      <c r="A764" s="32"/>
      <c r="B764" s="36"/>
      <c r="C764" s="91" t="s">
        <v>693</v>
      </c>
      <c r="D764" s="69" t="s">
        <v>21</v>
      </c>
      <c r="E764" s="114" t="s">
        <v>815</v>
      </c>
      <c r="F764" s="114" t="s">
        <v>815</v>
      </c>
      <c r="G764" s="114" t="s">
        <v>815</v>
      </c>
      <c r="H764" s="114" t="s">
        <v>815</v>
      </c>
      <c r="I764" s="71">
        <v>0.9</v>
      </c>
      <c r="J764" s="72">
        <v>0.970588235294118</v>
      </c>
      <c r="K764" s="72">
        <v>1</v>
      </c>
      <c r="L764" s="73">
        <v>1</v>
      </c>
      <c r="M764" s="72">
        <v>0.981538461538462</v>
      </c>
      <c r="N764" s="74">
        <v>0.9</v>
      </c>
      <c r="O764" s="72">
        <v>0.936340640809443</v>
      </c>
      <c r="P764" s="72">
        <v>0.983561643835616</v>
      </c>
      <c r="Q764" s="72">
        <v>0.98624056813138</v>
      </c>
      <c r="R764" s="72">
        <v>0.970641502240015</v>
      </c>
      <c r="S764" s="74">
        <v>0.9</v>
      </c>
      <c r="T764" s="72">
        <v>0.937183811129848</v>
      </c>
      <c r="U764" s="72">
        <v>0.941095890410959</v>
      </c>
      <c r="V764" s="72">
        <v>0.943630714602752</v>
      </c>
      <c r="W764" s="72">
        <v>0.936278715089124</v>
      </c>
      <c r="X764" s="74">
        <v>0.92</v>
      </c>
      <c r="Y764" s="74">
        <v>0.939508506616257</v>
      </c>
      <c r="Z764" s="74">
        <v>0.943781942078365</v>
      </c>
      <c r="AA764" s="74">
        <v>0.943866943866944</v>
      </c>
      <c r="AB764" s="74">
        <v>0.945541184479238</v>
      </c>
      <c r="AC764" s="74">
        <v>0.92</v>
      </c>
      <c r="AD764" s="72">
        <v>0.994679966749792</v>
      </c>
      <c r="AE764" s="72">
        <v>0.997360980207352</v>
      </c>
      <c r="AF764" s="72">
        <v>0.999498746867168</v>
      </c>
      <c r="AG764" s="72">
        <v>0.997015095631013</v>
      </c>
      <c r="AH764" s="74">
        <v>0.92</v>
      </c>
      <c r="AI764" s="72">
        <v>0.973829201101928</v>
      </c>
      <c r="AJ764" s="72">
        <v>0.976593446164926</v>
      </c>
      <c r="AK764" s="72">
        <v>0.977330895795247</v>
      </c>
      <c r="AL764" s="72">
        <v>0.97626451485928</v>
      </c>
      <c r="AM764" s="71">
        <v>0.99</v>
      </c>
      <c r="AN764" s="76">
        <v>1</v>
      </c>
      <c r="AO764" s="76">
        <v>1</v>
      </c>
      <c r="AP764" s="76">
        <v>1</v>
      </c>
      <c r="AQ764" s="76">
        <v>1</v>
      </c>
      <c r="AR764" s="96">
        <v>0.0810595228934205</v>
      </c>
      <c r="AS764" s="80">
        <v>0.142857142857143</v>
      </c>
      <c r="AT764" s="80">
        <v>0.214285714285714</v>
      </c>
      <c r="AU764" s="80">
        <v>0</v>
      </c>
      <c r="AV764" s="80">
        <v>0.0721649484536082</v>
      </c>
      <c r="AW764" s="36"/>
      <c r="AX764" s="34"/>
    </row>
    <row r="765" ht="14.5" spans="1:50">
      <c r="A765" s="32"/>
      <c r="B765" s="36"/>
      <c r="C765" s="91" t="s">
        <v>693</v>
      </c>
      <c r="D765" s="69" t="s">
        <v>21</v>
      </c>
      <c r="E765" s="114" t="s">
        <v>816</v>
      </c>
      <c r="F765" s="114" t="s">
        <v>816</v>
      </c>
      <c r="G765" s="114" t="s">
        <v>816</v>
      </c>
      <c r="H765" s="114" t="s">
        <v>816</v>
      </c>
      <c r="I765" s="71">
        <v>0.9</v>
      </c>
      <c r="J765" s="72">
        <v>0.961538461538462</v>
      </c>
      <c r="K765" s="72">
        <v>0.928571428571429</v>
      </c>
      <c r="L765" s="73">
        <v>0.892857142857143</v>
      </c>
      <c r="M765" s="72">
        <v>0.944</v>
      </c>
      <c r="N765" s="74">
        <v>0.9</v>
      </c>
      <c r="O765" s="72">
        <v>0.932726353060192</v>
      </c>
      <c r="P765" s="72">
        <v>0.927222222222222</v>
      </c>
      <c r="Q765" s="72">
        <v>0.922908693275014</v>
      </c>
      <c r="R765" s="72">
        <v>0.912335774909894</v>
      </c>
      <c r="S765" s="74">
        <v>0.9</v>
      </c>
      <c r="T765" s="72">
        <v>0.852301466868993</v>
      </c>
      <c r="U765" s="72">
        <v>0.919444444444444</v>
      </c>
      <c r="V765" s="72">
        <v>0.921815199562602</v>
      </c>
      <c r="W765" s="72">
        <v>0.902569468666434</v>
      </c>
      <c r="X765" s="74">
        <v>0.92</v>
      </c>
      <c r="Y765" s="74">
        <v>0.907407407407407</v>
      </c>
      <c r="Z765" s="74">
        <v>0.937007874015748</v>
      </c>
      <c r="AA765" s="74">
        <v>0.918502202643172</v>
      </c>
      <c r="AB765" s="74">
        <v>0.924498416050686</v>
      </c>
      <c r="AC765" s="74">
        <v>0.92</v>
      </c>
      <c r="AD765" s="72">
        <v>0.997331460674157</v>
      </c>
      <c r="AE765" s="72">
        <v>0.995884773662551</v>
      </c>
      <c r="AF765" s="72">
        <v>0.999240237046042</v>
      </c>
      <c r="AG765" s="72">
        <v>0.998584671997735</v>
      </c>
      <c r="AH765" s="74">
        <v>0.92</v>
      </c>
      <c r="AI765" s="72">
        <v>0.939702760084926</v>
      </c>
      <c r="AJ765" s="72">
        <v>0.967504332755633</v>
      </c>
      <c r="AK765" s="72">
        <v>0.955321944809461</v>
      </c>
      <c r="AL765" s="72">
        <v>0.958603277439024</v>
      </c>
      <c r="AM765" s="71">
        <v>0.99</v>
      </c>
      <c r="AN765" s="76">
        <v>1</v>
      </c>
      <c r="AO765" s="76">
        <v>1</v>
      </c>
      <c r="AP765" s="76">
        <v>1</v>
      </c>
      <c r="AQ765" s="76">
        <v>1</v>
      </c>
      <c r="AR765" s="96">
        <v>0.0810595228934205</v>
      </c>
      <c r="AS765" s="80">
        <v>0</v>
      </c>
      <c r="AT765" s="80">
        <v>0.0769230769230769</v>
      </c>
      <c r="AU765" s="80">
        <v>0</v>
      </c>
      <c r="AV765" s="80">
        <v>0.111111111111111</v>
      </c>
      <c r="AW765" s="36"/>
      <c r="AX765" s="34"/>
    </row>
    <row r="766" ht="14.5" spans="1:50">
      <c r="A766" s="32"/>
      <c r="B766" s="36"/>
      <c r="C766" s="91" t="s">
        <v>693</v>
      </c>
      <c r="D766" s="69" t="s">
        <v>21</v>
      </c>
      <c r="E766" s="114" t="s">
        <v>817</v>
      </c>
      <c r="F766" s="114" t="s">
        <v>817</v>
      </c>
      <c r="G766" s="114" t="s">
        <v>817</v>
      </c>
      <c r="H766" s="114" t="s">
        <v>817</v>
      </c>
      <c r="I766" s="71">
        <v>0.9</v>
      </c>
      <c r="J766" s="72">
        <v>0.970588235294118</v>
      </c>
      <c r="K766" s="72">
        <v>1</v>
      </c>
      <c r="L766" s="73">
        <v>1</v>
      </c>
      <c r="M766" s="72">
        <v>0.98780487804878</v>
      </c>
      <c r="N766" s="74">
        <v>0.9</v>
      </c>
      <c r="O766" s="72">
        <v>0.974178403755869</v>
      </c>
      <c r="P766" s="72">
        <v>0.979026845637584</v>
      </c>
      <c r="Q766" s="72">
        <v>0.958778246833871</v>
      </c>
      <c r="R766" s="72">
        <v>0.971458956081858</v>
      </c>
      <c r="S766" s="74">
        <v>0.9</v>
      </c>
      <c r="T766" s="72">
        <v>0.946009389671361</v>
      </c>
      <c r="U766" s="72">
        <v>0.953859060402685</v>
      </c>
      <c r="V766" s="72">
        <v>0.964986342190216</v>
      </c>
      <c r="W766" s="72">
        <v>0.952690273626121</v>
      </c>
      <c r="X766" s="74">
        <v>0.92</v>
      </c>
      <c r="Y766" s="74">
        <v>0.970024979184013</v>
      </c>
      <c r="Z766" s="74">
        <v>0.97273526824978</v>
      </c>
      <c r="AA766" s="74">
        <v>0.985119047619048</v>
      </c>
      <c r="AB766" s="74">
        <v>0.976794554455445</v>
      </c>
      <c r="AC766" s="74">
        <v>0.92</v>
      </c>
      <c r="AD766" s="72">
        <v>0.99739021168283</v>
      </c>
      <c r="AE766" s="72">
        <v>0.99501601993592</v>
      </c>
      <c r="AF766" s="72">
        <v>0.996634615384615</v>
      </c>
      <c r="AG766" s="72">
        <v>0.995010244486824</v>
      </c>
      <c r="AH766" s="74">
        <v>0.92</v>
      </c>
      <c r="AI766" s="72">
        <v>0.979948381973397</v>
      </c>
      <c r="AJ766" s="72">
        <v>0.979630808402292</v>
      </c>
      <c r="AK766" s="72">
        <v>0.984363365599404</v>
      </c>
      <c r="AL766" s="72">
        <v>0.981280898876404</v>
      </c>
      <c r="AM766" s="71">
        <v>0.99</v>
      </c>
      <c r="AN766" s="76">
        <v>1</v>
      </c>
      <c r="AO766" s="76">
        <v>1</v>
      </c>
      <c r="AP766" s="76">
        <v>1</v>
      </c>
      <c r="AQ766" s="76">
        <v>1</v>
      </c>
      <c r="AR766" s="96">
        <v>0.0810595228934205</v>
      </c>
      <c r="AS766" s="80">
        <v>0.0588235294117647</v>
      </c>
      <c r="AT766" s="80">
        <v>0.05</v>
      </c>
      <c r="AU766" s="80">
        <v>0.166666666666667</v>
      </c>
      <c r="AV766" s="80">
        <v>0.0555555555555556</v>
      </c>
      <c r="AW766" s="36"/>
      <c r="AX766" s="34"/>
    </row>
    <row r="767" ht="14.5" spans="1:50">
      <c r="A767" s="32"/>
      <c r="B767" s="36"/>
      <c r="C767" s="91" t="s">
        <v>693</v>
      </c>
      <c r="D767" s="69" t="s">
        <v>21</v>
      </c>
      <c r="E767" s="114" t="s">
        <v>818</v>
      </c>
      <c r="F767" s="114" t="s">
        <v>818</v>
      </c>
      <c r="G767" s="114" t="s">
        <v>818</v>
      </c>
      <c r="H767" s="114" t="s">
        <v>818</v>
      </c>
      <c r="I767" s="71">
        <v>0.9</v>
      </c>
      <c r="J767" s="72">
        <v>0</v>
      </c>
      <c r="K767" s="72">
        <v>0</v>
      </c>
      <c r="L767" s="73">
        <v>0</v>
      </c>
      <c r="M767" s="72">
        <v>0</v>
      </c>
      <c r="N767" s="74">
        <v>0.9</v>
      </c>
      <c r="O767" s="72">
        <v>0</v>
      </c>
      <c r="P767" s="72">
        <v>0</v>
      </c>
      <c r="Q767" s="72">
        <v>0</v>
      </c>
      <c r="R767" s="72">
        <v>0</v>
      </c>
      <c r="S767" s="74">
        <v>0.9</v>
      </c>
      <c r="T767" s="72">
        <v>0</v>
      </c>
      <c r="U767" s="72">
        <v>0</v>
      </c>
      <c r="V767" s="72">
        <v>0</v>
      </c>
      <c r="W767" s="72">
        <v>0</v>
      </c>
      <c r="X767" s="74">
        <v>0.92</v>
      </c>
      <c r="Y767" s="74">
        <v>0</v>
      </c>
      <c r="Z767" s="74">
        <v>0</v>
      </c>
      <c r="AA767" s="74">
        <v>0</v>
      </c>
      <c r="AB767" s="74">
        <v>0</v>
      </c>
      <c r="AC767" s="74">
        <v>0.92</v>
      </c>
      <c r="AD767" s="72">
        <v>0</v>
      </c>
      <c r="AE767" s="72">
        <v>0</v>
      </c>
      <c r="AF767" s="72">
        <v>0</v>
      </c>
      <c r="AG767" s="72">
        <v>0</v>
      </c>
      <c r="AH767" s="74">
        <v>0.92</v>
      </c>
      <c r="AI767" s="72">
        <v>0</v>
      </c>
      <c r="AJ767" s="72">
        <v>0</v>
      </c>
      <c r="AK767" s="72">
        <v>0</v>
      </c>
      <c r="AL767" s="72">
        <v>0</v>
      </c>
      <c r="AM767" s="71">
        <v>0.99</v>
      </c>
      <c r="AN767" s="76">
        <v>0</v>
      </c>
      <c r="AO767" s="76">
        <v>0</v>
      </c>
      <c r="AP767" s="76">
        <v>0</v>
      </c>
      <c r="AQ767" s="76">
        <v>0</v>
      </c>
      <c r="AR767" s="96">
        <v>0.0810595228934205</v>
      </c>
      <c r="AS767" s="80">
        <v>0</v>
      </c>
      <c r="AT767" s="80">
        <v>0</v>
      </c>
      <c r="AU767" s="80">
        <v>0</v>
      </c>
      <c r="AV767" s="80">
        <v>0</v>
      </c>
      <c r="AW767" s="36"/>
      <c r="AX767" s="34"/>
    </row>
    <row r="768" ht="14.5" spans="1:50">
      <c r="A768" s="32"/>
      <c r="B768" s="36"/>
      <c r="C768" s="91" t="s">
        <v>693</v>
      </c>
      <c r="D768" s="69" t="s">
        <v>21</v>
      </c>
      <c r="E768" s="114" t="s">
        <v>819</v>
      </c>
      <c r="F768" s="114" t="s">
        <v>819</v>
      </c>
      <c r="G768" s="114" t="s">
        <v>819</v>
      </c>
      <c r="H768" s="114" t="s">
        <v>819</v>
      </c>
      <c r="I768" s="71">
        <v>0.9</v>
      </c>
      <c r="J768" s="72">
        <v>0.947368421052632</v>
      </c>
      <c r="K768" s="72">
        <v>0.95</v>
      </c>
      <c r="L768" s="73">
        <v>0.888888888888889</v>
      </c>
      <c r="M768" s="72">
        <v>0.935294117647059</v>
      </c>
      <c r="N768" s="74">
        <v>0.9</v>
      </c>
      <c r="O768" s="72">
        <v>0.976928622927181</v>
      </c>
      <c r="P768" s="72">
        <v>0.974222222222222</v>
      </c>
      <c r="Q768" s="72">
        <v>0.973839662447257</v>
      </c>
      <c r="R768" s="72">
        <v>0.97147031021741</v>
      </c>
      <c r="S768" s="74">
        <v>0.9</v>
      </c>
      <c r="T768" s="72">
        <v>0.943042537851478</v>
      </c>
      <c r="U768" s="72">
        <v>0.96</v>
      </c>
      <c r="V768" s="72">
        <v>0.951898734177215</v>
      </c>
      <c r="W768" s="72">
        <v>0.953338489301366</v>
      </c>
      <c r="X768" s="74">
        <v>0.92</v>
      </c>
      <c r="Y768" s="74">
        <v>0.935222672064777</v>
      </c>
      <c r="Z768" s="74">
        <v>0.958477508650519</v>
      </c>
      <c r="AA768" s="74">
        <v>0.965732087227414</v>
      </c>
      <c r="AB768" s="74">
        <v>0.963395012067578</v>
      </c>
      <c r="AC768" s="74">
        <v>0.92</v>
      </c>
      <c r="AD768" s="72">
        <v>0.997968397291196</v>
      </c>
      <c r="AE768" s="72">
        <v>0.997416627524659</v>
      </c>
      <c r="AF768" s="72">
        <v>0.995727510087823</v>
      </c>
      <c r="AG768" s="72">
        <v>0.998671503755557</v>
      </c>
      <c r="AH768" s="74">
        <v>0.92</v>
      </c>
      <c r="AI768" s="72">
        <v>0.976744186046512</v>
      </c>
      <c r="AJ768" s="72">
        <v>0.979505300353357</v>
      </c>
      <c r="AK768" s="72">
        <v>0.98804780876494</v>
      </c>
      <c r="AL768" s="72">
        <v>0.983315659243549</v>
      </c>
      <c r="AM768" s="71">
        <v>0.99</v>
      </c>
      <c r="AN768" s="76">
        <v>1</v>
      </c>
      <c r="AO768" s="76">
        <v>1</v>
      </c>
      <c r="AP768" s="76">
        <v>1</v>
      </c>
      <c r="AQ768" s="76">
        <v>1</v>
      </c>
      <c r="AR768" s="96">
        <v>0.0810595228934205</v>
      </c>
      <c r="AS768" s="80">
        <v>0</v>
      </c>
      <c r="AT768" s="80">
        <v>-0.125</v>
      </c>
      <c r="AU768" s="80">
        <v>0</v>
      </c>
      <c r="AV768" s="80">
        <v>-0.0273972602739726</v>
      </c>
      <c r="AW768" s="36"/>
      <c r="AX768" s="34"/>
    </row>
    <row r="769" ht="14.5" spans="1:50">
      <c r="A769" s="32"/>
      <c r="B769" s="36"/>
      <c r="C769" s="91" t="s">
        <v>693</v>
      </c>
      <c r="D769" s="69" t="s">
        <v>21</v>
      </c>
      <c r="E769" s="114" t="s">
        <v>820</v>
      </c>
      <c r="F769" s="114" t="s">
        <v>820</v>
      </c>
      <c r="G769" s="114" t="s">
        <v>820</v>
      </c>
      <c r="H769" s="114" t="s">
        <v>820</v>
      </c>
      <c r="I769" s="71">
        <v>0.9</v>
      </c>
      <c r="J769" s="72">
        <v>0.375</v>
      </c>
      <c r="K769" s="72">
        <v>0.388888888888889</v>
      </c>
      <c r="L769" s="73">
        <v>0.578947368421053</v>
      </c>
      <c r="M769" s="72">
        <v>0.45679012345679</v>
      </c>
      <c r="N769" s="74">
        <v>0.9</v>
      </c>
      <c r="O769" s="72">
        <v>0.938472418670439</v>
      </c>
      <c r="P769" s="72">
        <v>0.952282157676348</v>
      </c>
      <c r="Q769" s="72">
        <v>0.962557603686636</v>
      </c>
      <c r="R769" s="72">
        <v>0.953127321348982</v>
      </c>
      <c r="S769" s="74">
        <v>0.9</v>
      </c>
      <c r="T769" s="72">
        <v>0.88967468175389</v>
      </c>
      <c r="U769" s="72">
        <v>0.912863070539419</v>
      </c>
      <c r="V769" s="72">
        <v>0.925691244239631</v>
      </c>
      <c r="W769" s="72">
        <v>0.910340216906849</v>
      </c>
      <c r="X769" s="74">
        <v>0.92</v>
      </c>
      <c r="Y769" s="74">
        <v>0.821029082774049</v>
      </c>
      <c r="Z769" s="74">
        <v>0.903529411764706</v>
      </c>
      <c r="AA769" s="74">
        <v>0.89572192513369</v>
      </c>
      <c r="AB769" s="74">
        <v>0.889615931721195</v>
      </c>
      <c r="AC769" s="74">
        <v>0.92</v>
      </c>
      <c r="AD769" s="72">
        <v>1</v>
      </c>
      <c r="AE769" s="72">
        <v>1</v>
      </c>
      <c r="AF769" s="72">
        <v>0.998751560549313</v>
      </c>
      <c r="AG769" s="72">
        <v>0.995860356009383</v>
      </c>
      <c r="AH769" s="74">
        <v>0.92</v>
      </c>
      <c r="AI769" s="72">
        <v>0.907139023081052</v>
      </c>
      <c r="AJ769" s="72">
        <v>0.930058729311265</v>
      </c>
      <c r="AK769" s="72">
        <v>0.93989588263133</v>
      </c>
      <c r="AL769" s="72">
        <v>0.937488963446936</v>
      </c>
      <c r="AM769" s="71">
        <v>0.99</v>
      </c>
      <c r="AN769" s="76">
        <v>1</v>
      </c>
      <c r="AO769" s="76">
        <v>1</v>
      </c>
      <c r="AP769" s="76">
        <v>1</v>
      </c>
      <c r="AQ769" s="76">
        <v>1</v>
      </c>
      <c r="AR769" s="96">
        <v>0.0810595228934205</v>
      </c>
      <c r="AS769" s="80">
        <v>0.0833333333333333</v>
      </c>
      <c r="AT769" s="80">
        <v>0</v>
      </c>
      <c r="AU769" s="80">
        <v>0.2</v>
      </c>
      <c r="AV769" s="80">
        <v>0.0454545454545455</v>
      </c>
      <c r="AW769" s="36"/>
      <c r="AX769" s="34"/>
    </row>
    <row r="770" ht="14.5" spans="1:50">
      <c r="A770" s="32"/>
      <c r="B770" s="36"/>
      <c r="C770" s="91" t="s">
        <v>693</v>
      </c>
      <c r="D770" s="69" t="s">
        <v>21</v>
      </c>
      <c r="E770" s="114" t="s">
        <v>821</v>
      </c>
      <c r="F770" s="114" t="s">
        <v>821</v>
      </c>
      <c r="G770" s="114" t="s">
        <v>821</v>
      </c>
      <c r="H770" s="114" t="s">
        <v>821</v>
      </c>
      <c r="I770" s="71">
        <v>0.9</v>
      </c>
      <c r="J770" s="72">
        <v>0.833333333333333</v>
      </c>
      <c r="K770" s="72">
        <v>0.928571428571429</v>
      </c>
      <c r="L770" s="73">
        <v>0.857142857142857</v>
      </c>
      <c r="M770" s="72">
        <v>0.83206106870229</v>
      </c>
      <c r="N770" s="74">
        <v>0.9</v>
      </c>
      <c r="O770" s="72">
        <v>0.546205860255447</v>
      </c>
      <c r="P770" s="72">
        <v>0.933913043478261</v>
      </c>
      <c r="Q770" s="72">
        <v>0.874641833810888</v>
      </c>
      <c r="R770" s="72">
        <v>0.887824037706206</v>
      </c>
      <c r="S770" s="74">
        <v>0.9</v>
      </c>
      <c r="T770" s="72">
        <v>0.59053343350864</v>
      </c>
      <c r="U770" s="72">
        <v>0.874202898550725</v>
      </c>
      <c r="V770" s="72">
        <v>0.861031518624642</v>
      </c>
      <c r="W770" s="72">
        <v>0.816967792615868</v>
      </c>
      <c r="X770" s="74">
        <v>0.92</v>
      </c>
      <c r="Y770" s="74">
        <v>0.673740053050398</v>
      </c>
      <c r="Z770" s="74">
        <v>0.889162561576355</v>
      </c>
      <c r="AA770" s="74">
        <v>1</v>
      </c>
      <c r="AB770" s="74">
        <v>0.838143953233467</v>
      </c>
      <c r="AC770" s="74">
        <v>0.92</v>
      </c>
      <c r="AD770" s="72">
        <v>1</v>
      </c>
      <c r="AE770" s="72">
        <v>0.994642857142857</v>
      </c>
      <c r="AF770" s="72">
        <v>1</v>
      </c>
      <c r="AG770" s="72">
        <v>0.993652233053729</v>
      </c>
      <c r="AH770" s="74">
        <v>0.92</v>
      </c>
      <c r="AI770" s="72">
        <v>0.767564402810304</v>
      </c>
      <c r="AJ770" s="72">
        <v>0.927264195213515</v>
      </c>
      <c r="AK770" s="72">
        <v>0.907791279485347</v>
      </c>
      <c r="AL770" s="72">
        <v>0.903542798034652</v>
      </c>
      <c r="AM770" s="71">
        <v>0.99</v>
      </c>
      <c r="AN770" s="76">
        <v>1</v>
      </c>
      <c r="AO770" s="76">
        <v>1</v>
      </c>
      <c r="AP770" s="76">
        <v>1</v>
      </c>
      <c r="AQ770" s="76">
        <v>1</v>
      </c>
      <c r="AR770" s="96">
        <v>0.0810595228934205</v>
      </c>
      <c r="AS770" s="80">
        <v>1</v>
      </c>
      <c r="AT770" s="80">
        <v>0</v>
      </c>
      <c r="AU770" s="80">
        <v>0</v>
      </c>
      <c r="AV770" s="80">
        <v>0.0568181818181818</v>
      </c>
      <c r="AW770" s="36"/>
      <c r="AX770" s="34"/>
    </row>
    <row r="771" ht="14.5" spans="1:50">
      <c r="A771" s="32"/>
      <c r="B771" s="36"/>
      <c r="C771" s="91" t="s">
        <v>693</v>
      </c>
      <c r="D771" s="69" t="s">
        <v>21</v>
      </c>
      <c r="E771" s="114" t="s">
        <v>822</v>
      </c>
      <c r="F771" s="114" t="s">
        <v>822</v>
      </c>
      <c r="G771" s="114" t="s">
        <v>822</v>
      </c>
      <c r="H771" s="114" t="s">
        <v>822</v>
      </c>
      <c r="I771" s="71">
        <v>0.9</v>
      </c>
      <c r="J771" s="72">
        <v>0.6875</v>
      </c>
      <c r="K771" s="72">
        <v>0.75</v>
      </c>
      <c r="L771" s="73">
        <v>0.804878048780488</v>
      </c>
      <c r="M771" s="72">
        <v>0.749253731343284</v>
      </c>
      <c r="N771" s="74">
        <v>0.9</v>
      </c>
      <c r="O771" s="72">
        <v>0.921098978513561</v>
      </c>
      <c r="P771" s="72">
        <v>0.951428571428571</v>
      </c>
      <c r="Q771" s="72">
        <v>0.960327868852459</v>
      </c>
      <c r="R771" s="72">
        <v>0.947013936158779</v>
      </c>
      <c r="S771" s="74">
        <v>0.9</v>
      </c>
      <c r="T771" s="72">
        <v>0.862275449101796</v>
      </c>
      <c r="U771" s="72">
        <v>0.916571428571429</v>
      </c>
      <c r="V771" s="72">
        <v>0.930163934426229</v>
      </c>
      <c r="W771" s="72">
        <v>0.906531007057643</v>
      </c>
      <c r="X771" s="74">
        <v>0.92</v>
      </c>
      <c r="Y771" s="74">
        <v>0.847434119278779</v>
      </c>
      <c r="Z771" s="74">
        <v>0.894865525672372</v>
      </c>
      <c r="AA771" s="74">
        <v>1</v>
      </c>
      <c r="AB771" s="74">
        <v>0.901467155718573</v>
      </c>
      <c r="AC771" s="74">
        <v>0.92</v>
      </c>
      <c r="AD771" s="72">
        <v>0.994360902255639</v>
      </c>
      <c r="AE771" s="72">
        <v>0.993197278911565</v>
      </c>
      <c r="AF771" s="72">
        <v>0.997307001795332</v>
      </c>
      <c r="AG771" s="72">
        <v>0.994038559107052</v>
      </c>
      <c r="AH771" s="74">
        <v>0.92</v>
      </c>
      <c r="AI771" s="72">
        <v>0.898033707865169</v>
      </c>
      <c r="AJ771" s="72">
        <v>0.951366373320982</v>
      </c>
      <c r="AK771" s="72">
        <v>0.964601769911504</v>
      </c>
      <c r="AL771" s="72">
        <v>0.946008905139622</v>
      </c>
      <c r="AM771" s="71">
        <v>0.99</v>
      </c>
      <c r="AN771" s="76">
        <v>1</v>
      </c>
      <c r="AO771" s="76">
        <v>1</v>
      </c>
      <c r="AP771" s="76">
        <v>1</v>
      </c>
      <c r="AQ771" s="76">
        <v>1</v>
      </c>
      <c r="AR771" s="96">
        <v>0.0810595228934205</v>
      </c>
      <c r="AS771" s="80">
        <v>0</v>
      </c>
      <c r="AT771" s="80">
        <v>0</v>
      </c>
      <c r="AU771" s="80">
        <v>0</v>
      </c>
      <c r="AV771" s="80">
        <v>0.024390243902439</v>
      </c>
      <c r="AW771" s="36"/>
      <c r="AX771" s="34"/>
    </row>
    <row r="772" ht="14.5" spans="1:50">
      <c r="A772" s="32"/>
      <c r="B772" s="36"/>
      <c r="C772" s="91" t="s">
        <v>693</v>
      </c>
      <c r="D772" s="69" t="s">
        <v>21</v>
      </c>
      <c r="E772" s="114" t="s">
        <v>823</v>
      </c>
      <c r="F772" s="114" t="s">
        <v>823</v>
      </c>
      <c r="G772" s="114" t="s">
        <v>823</v>
      </c>
      <c r="H772" s="114" t="s">
        <v>823</v>
      </c>
      <c r="I772" s="71">
        <v>0.9</v>
      </c>
      <c r="J772" s="72">
        <v>0.793103448275862</v>
      </c>
      <c r="K772" s="72">
        <v>0.794117647058823</v>
      </c>
      <c r="L772" s="73">
        <v>0.764705882352941</v>
      </c>
      <c r="M772" s="72">
        <v>0.802768166089965</v>
      </c>
      <c r="N772" s="74">
        <v>0.9</v>
      </c>
      <c r="O772" s="72">
        <v>0.948670944087993</v>
      </c>
      <c r="P772" s="72">
        <v>0.952068617558022</v>
      </c>
      <c r="Q772" s="72">
        <v>0.968349016253208</v>
      </c>
      <c r="R772" s="72">
        <v>0.95461650950532</v>
      </c>
      <c r="S772" s="74">
        <v>0.9</v>
      </c>
      <c r="T772" s="72">
        <v>0.87121906507791</v>
      </c>
      <c r="U772" s="72">
        <v>0.919273461150353</v>
      </c>
      <c r="V772" s="72">
        <v>0.930282292557742</v>
      </c>
      <c r="W772" s="72">
        <v>0.913065402652413</v>
      </c>
      <c r="X772" s="74">
        <v>0.92</v>
      </c>
      <c r="Y772" s="74">
        <v>0.825046040515654</v>
      </c>
      <c r="Z772" s="74">
        <v>0.889245585874799</v>
      </c>
      <c r="AA772" s="74">
        <v>0.88336192109777</v>
      </c>
      <c r="AB772" s="74">
        <v>0.876349362119725</v>
      </c>
      <c r="AC772" s="74">
        <v>0.92</v>
      </c>
      <c r="AD772" s="72">
        <v>0.999357739242132</v>
      </c>
      <c r="AE772" s="72">
        <v>0.998083679335676</v>
      </c>
      <c r="AF772" s="72">
        <v>0.998069498069498</v>
      </c>
      <c r="AG772" s="72">
        <v>0.99720134335519</v>
      </c>
      <c r="AH772" s="74">
        <v>0.92</v>
      </c>
      <c r="AI772" s="72">
        <v>0.899119589141599</v>
      </c>
      <c r="AJ772" s="72">
        <v>0.942824251726784</v>
      </c>
      <c r="AK772" s="72">
        <v>0.951403148528405</v>
      </c>
      <c r="AL772" s="72">
        <v>0.936437279435354</v>
      </c>
      <c r="AM772" s="71">
        <v>0.99</v>
      </c>
      <c r="AN772" s="76">
        <v>1</v>
      </c>
      <c r="AO772" s="76">
        <v>1</v>
      </c>
      <c r="AP772" s="76">
        <v>1</v>
      </c>
      <c r="AQ772" s="76">
        <v>1</v>
      </c>
      <c r="AR772" s="96">
        <v>0.0810595228934205</v>
      </c>
      <c r="AS772" s="80">
        <v>0</v>
      </c>
      <c r="AT772" s="80">
        <v>0.2</v>
      </c>
      <c r="AU772" s="80">
        <v>0.105263157894737</v>
      </c>
      <c r="AV772" s="80">
        <v>0.0523255813953488</v>
      </c>
      <c r="AW772" s="36"/>
      <c r="AX772" s="34"/>
    </row>
    <row r="773" ht="14.5" spans="1:50">
      <c r="A773" s="32"/>
      <c r="B773" s="36"/>
      <c r="C773" s="91" t="s">
        <v>693</v>
      </c>
      <c r="D773" s="69" t="s">
        <v>21</v>
      </c>
      <c r="E773" s="114" t="s">
        <v>824</v>
      </c>
      <c r="F773" s="114" t="s">
        <v>824</v>
      </c>
      <c r="G773" s="114" t="s">
        <v>824</v>
      </c>
      <c r="H773" s="114" t="s">
        <v>824</v>
      </c>
      <c r="I773" s="71">
        <v>0.9</v>
      </c>
      <c r="J773" s="72">
        <v>0.821428571428571</v>
      </c>
      <c r="K773" s="72">
        <v>0.8</v>
      </c>
      <c r="L773" s="73">
        <v>0.9</v>
      </c>
      <c r="M773" s="72">
        <v>0.792114695340502</v>
      </c>
      <c r="N773" s="74">
        <v>0.9</v>
      </c>
      <c r="O773" s="72">
        <v>0.891243919388464</v>
      </c>
      <c r="P773" s="72">
        <v>0.944264653002517</v>
      </c>
      <c r="Q773" s="72">
        <v>0.922773578705225</v>
      </c>
      <c r="R773" s="72">
        <v>0.928066746843055</v>
      </c>
      <c r="S773" s="74">
        <v>0.9</v>
      </c>
      <c r="T773" s="72">
        <v>0.731063238359972</v>
      </c>
      <c r="U773" s="72">
        <v>0.877022653721683</v>
      </c>
      <c r="V773" s="72">
        <v>0.849490634242524</v>
      </c>
      <c r="W773" s="72">
        <v>0.836252254960914</v>
      </c>
      <c r="X773" s="74">
        <v>0.92</v>
      </c>
      <c r="Y773" s="74">
        <v>0.703349282296651</v>
      </c>
      <c r="Z773" s="74">
        <v>0.816711590296496</v>
      </c>
      <c r="AA773" s="74">
        <v>0.829528158295282</v>
      </c>
      <c r="AB773" s="74">
        <v>0.828449905482042</v>
      </c>
      <c r="AC773" s="74">
        <v>0.92</v>
      </c>
      <c r="AD773" s="72">
        <v>0.994082840236686</v>
      </c>
      <c r="AE773" s="72">
        <v>0.998206278026906</v>
      </c>
      <c r="AF773" s="72">
        <v>0.993431855500821</v>
      </c>
      <c r="AG773" s="72">
        <v>0.994691254540374</v>
      </c>
      <c r="AH773" s="74">
        <v>0.92</v>
      </c>
      <c r="AI773" s="72">
        <v>0.808882907133244</v>
      </c>
      <c r="AJ773" s="72">
        <v>0.907181379506103</v>
      </c>
      <c r="AK773" s="72">
        <v>0.909754120507971</v>
      </c>
      <c r="AL773" s="72">
        <v>0.907256841211092</v>
      </c>
      <c r="AM773" s="71">
        <v>0.99</v>
      </c>
      <c r="AN773" s="76">
        <v>1</v>
      </c>
      <c r="AO773" s="76">
        <v>1</v>
      </c>
      <c r="AP773" s="76">
        <v>1</v>
      </c>
      <c r="AQ773" s="76">
        <v>1</v>
      </c>
      <c r="AR773" s="96">
        <v>0.0810595228934205</v>
      </c>
      <c r="AS773" s="80">
        <v>0</v>
      </c>
      <c r="AT773" s="80">
        <v>0.0454545454545455</v>
      </c>
      <c r="AU773" s="80">
        <v>0.0526315789473684</v>
      </c>
      <c r="AV773" s="80">
        <v>0.0581395348837209</v>
      </c>
      <c r="AW773" s="36"/>
      <c r="AX773" s="34"/>
    </row>
    <row r="774" ht="14.5" spans="1:50">
      <c r="A774" s="32"/>
      <c r="B774" s="36"/>
      <c r="C774" s="91" t="s">
        <v>693</v>
      </c>
      <c r="D774" s="69" t="s">
        <v>21</v>
      </c>
      <c r="E774" s="114" t="s">
        <v>825</v>
      </c>
      <c r="F774" s="114" t="s">
        <v>825</v>
      </c>
      <c r="G774" s="114" t="s">
        <v>825</v>
      </c>
      <c r="H774" s="114" t="s">
        <v>825</v>
      </c>
      <c r="I774" s="71">
        <v>0.9</v>
      </c>
      <c r="J774" s="72">
        <v>0.740740740740741</v>
      </c>
      <c r="K774" s="72">
        <v>0.689655172413793</v>
      </c>
      <c r="L774" s="73">
        <v>0.833333333333333</v>
      </c>
      <c r="M774" s="72">
        <v>0.709803921568627</v>
      </c>
      <c r="N774" s="74">
        <v>0.9</v>
      </c>
      <c r="O774" s="72">
        <v>0.877034358047016</v>
      </c>
      <c r="P774" s="72">
        <v>0.925465838509317</v>
      </c>
      <c r="Q774" s="72">
        <v>0.931473829201102</v>
      </c>
      <c r="R774" s="72">
        <v>0.922832043842682</v>
      </c>
      <c r="S774" s="74">
        <v>0.9</v>
      </c>
      <c r="T774" s="72">
        <v>0.852079566003617</v>
      </c>
      <c r="U774" s="72">
        <v>0.890527950310559</v>
      </c>
      <c r="V774" s="72">
        <v>0.875</v>
      </c>
      <c r="W774" s="72">
        <v>0.868512250161186</v>
      </c>
      <c r="X774" s="74">
        <v>0.92</v>
      </c>
      <c r="Y774" s="74">
        <v>0.849447513812155</v>
      </c>
      <c r="Z774" s="74">
        <v>0.84080370942813</v>
      </c>
      <c r="AA774" s="74">
        <v>0.848854961832061</v>
      </c>
      <c r="AB774" s="74">
        <v>0.849301229163159</v>
      </c>
      <c r="AC774" s="74">
        <v>0.92</v>
      </c>
      <c r="AD774" s="72">
        <v>0.998134328358209</v>
      </c>
      <c r="AE774" s="72">
        <v>0.997549019607843</v>
      </c>
      <c r="AF774" s="72">
        <v>0.998459167950693</v>
      </c>
      <c r="AG774" s="72">
        <v>0.996435240196911</v>
      </c>
      <c r="AH774" s="74">
        <v>0.92</v>
      </c>
      <c r="AI774" s="72">
        <v>0.906276870163371</v>
      </c>
      <c r="AJ774" s="72">
        <v>0.922742786224015</v>
      </c>
      <c r="AK774" s="72">
        <v>0.929233361415333</v>
      </c>
      <c r="AL774" s="72">
        <v>0.924287246838529</v>
      </c>
      <c r="AM774" s="71">
        <v>0.99</v>
      </c>
      <c r="AN774" s="76">
        <v>1</v>
      </c>
      <c r="AO774" s="76">
        <v>1</v>
      </c>
      <c r="AP774" s="76">
        <v>1</v>
      </c>
      <c r="AQ774" s="76">
        <v>1</v>
      </c>
      <c r="AR774" s="96">
        <v>0.0810595228934205</v>
      </c>
      <c r="AS774" s="80">
        <v>0.0909090909090909</v>
      </c>
      <c r="AT774" s="80">
        <v>0.2</v>
      </c>
      <c r="AU774" s="80">
        <v>0</v>
      </c>
      <c r="AV774" s="80">
        <v>0.0508474576271186</v>
      </c>
      <c r="AW774" s="36"/>
      <c r="AX774" s="34"/>
    </row>
    <row r="775" ht="14.5" spans="1:50">
      <c r="A775" s="32"/>
      <c r="B775" s="36"/>
      <c r="C775" s="91" t="s">
        <v>693</v>
      </c>
      <c r="D775" s="69" t="s">
        <v>21</v>
      </c>
      <c r="E775" s="114" t="s">
        <v>826</v>
      </c>
      <c r="F775" s="114" t="s">
        <v>826</v>
      </c>
      <c r="G775" s="114" t="s">
        <v>826</v>
      </c>
      <c r="H775" s="114" t="s">
        <v>826</v>
      </c>
      <c r="I775" s="71">
        <v>0.9</v>
      </c>
      <c r="J775" s="72">
        <v>1</v>
      </c>
      <c r="K775" s="72">
        <v>0.916666666666667</v>
      </c>
      <c r="L775" s="73">
        <v>0.96</v>
      </c>
      <c r="M775" s="72">
        <v>0.936651583710407</v>
      </c>
      <c r="N775" s="74">
        <v>0.9</v>
      </c>
      <c r="O775" s="72">
        <v>0.964173757277206</v>
      </c>
      <c r="P775" s="72">
        <v>0.989531178880291</v>
      </c>
      <c r="Q775" s="72">
        <v>0.993550987505038</v>
      </c>
      <c r="R775" s="72">
        <v>0.984905836721342</v>
      </c>
      <c r="S775" s="74">
        <v>0.9</v>
      </c>
      <c r="T775" s="72">
        <v>0.886251679355128</v>
      </c>
      <c r="U775" s="72">
        <v>0.944924897587619</v>
      </c>
      <c r="V775" s="72">
        <v>0.977025392986699</v>
      </c>
      <c r="W775" s="72">
        <v>0.949997663442217</v>
      </c>
      <c r="X775" s="74">
        <v>0.92</v>
      </c>
      <c r="Y775" s="74">
        <v>0.831365935919056</v>
      </c>
      <c r="Z775" s="74">
        <v>0.916817359855335</v>
      </c>
      <c r="AA775" s="74">
        <v>0.977941176470588</v>
      </c>
      <c r="AB775" s="74">
        <v>0.935306802587728</v>
      </c>
      <c r="AC775" s="74">
        <v>0.92</v>
      </c>
      <c r="AD775" s="72">
        <v>0.989100817438692</v>
      </c>
      <c r="AE775" s="72">
        <v>0.99209391471011</v>
      </c>
      <c r="AF775" s="72">
        <v>0.998223275096239</v>
      </c>
      <c r="AG775" s="72">
        <v>0.996381053751996</v>
      </c>
      <c r="AH775" s="74">
        <v>0.92</v>
      </c>
      <c r="AI775" s="72">
        <v>0.893842887473461</v>
      </c>
      <c r="AJ775" s="72">
        <v>0.96442831215971</v>
      </c>
      <c r="AK775" s="72">
        <v>0.988099173553719</v>
      </c>
      <c r="AL775" s="72">
        <v>0.962999283370422</v>
      </c>
      <c r="AM775" s="71">
        <v>0.99</v>
      </c>
      <c r="AN775" s="76">
        <v>1</v>
      </c>
      <c r="AO775" s="76">
        <v>1</v>
      </c>
      <c r="AP775" s="76">
        <v>1</v>
      </c>
      <c r="AQ775" s="76">
        <v>1</v>
      </c>
      <c r="AR775" s="96">
        <v>0.0810595228934205</v>
      </c>
      <c r="AS775" s="80">
        <v>0.166666666666667</v>
      </c>
      <c r="AT775" s="80">
        <v>0.0454545454545455</v>
      </c>
      <c r="AU775" s="80">
        <v>0.125</v>
      </c>
      <c r="AV775" s="80">
        <v>0.0567375886524823</v>
      </c>
      <c r="AW775" s="36"/>
      <c r="AX775" s="34"/>
    </row>
    <row r="776" ht="14.5" spans="1:50">
      <c r="A776" s="32"/>
      <c r="B776" s="36"/>
      <c r="C776" s="91" t="s">
        <v>693</v>
      </c>
      <c r="D776" s="69" t="s">
        <v>21</v>
      </c>
      <c r="E776" s="114" t="s">
        <v>827</v>
      </c>
      <c r="F776" s="114" t="s">
        <v>827</v>
      </c>
      <c r="G776" s="114" t="s">
        <v>827</v>
      </c>
      <c r="H776" s="114" t="s">
        <v>827</v>
      </c>
      <c r="I776" s="71">
        <v>0.9</v>
      </c>
      <c r="J776" s="72">
        <v>0.962962962962963</v>
      </c>
      <c r="K776" s="72">
        <v>0.966666666666667</v>
      </c>
      <c r="L776" s="73">
        <v>0.9375</v>
      </c>
      <c r="M776" s="72">
        <v>0.966911764705882</v>
      </c>
      <c r="N776" s="74">
        <v>0.9</v>
      </c>
      <c r="O776" s="72">
        <v>0.956964892412231</v>
      </c>
      <c r="P776" s="72">
        <v>0.973349733497335</v>
      </c>
      <c r="Q776" s="72">
        <v>0.975308641975309</v>
      </c>
      <c r="R776" s="72">
        <v>0.977288230809358</v>
      </c>
      <c r="S776" s="74">
        <v>0.9</v>
      </c>
      <c r="T776" s="72">
        <v>0.893922234805587</v>
      </c>
      <c r="U776" s="72">
        <v>0.934809348093481</v>
      </c>
      <c r="V776" s="72">
        <v>0.950980392156863</v>
      </c>
      <c r="W776" s="72">
        <v>0.942056899803379</v>
      </c>
      <c r="X776" s="74">
        <v>0.92</v>
      </c>
      <c r="Y776" s="74">
        <v>0.908701854493581</v>
      </c>
      <c r="Z776" s="74">
        <v>0.943166441136671</v>
      </c>
      <c r="AA776" s="74">
        <v>0.959881129271917</v>
      </c>
      <c r="AB776" s="74">
        <v>0.951095845600262</v>
      </c>
      <c r="AC776" s="74">
        <v>0.92</v>
      </c>
      <c r="AD776" s="72">
        <v>0.988732394366197</v>
      </c>
      <c r="AE776" s="72">
        <v>0.99896694214876</v>
      </c>
      <c r="AF776" s="72">
        <v>0.997474747474748</v>
      </c>
      <c r="AG776" s="72">
        <v>0.997433155080214</v>
      </c>
      <c r="AH776" s="74">
        <v>0.92</v>
      </c>
      <c r="AI776" s="72">
        <v>0.939402985074627</v>
      </c>
      <c r="AJ776" s="72">
        <v>0.965723270440252</v>
      </c>
      <c r="AK776" s="72">
        <v>0.980449372629122</v>
      </c>
      <c r="AL776" s="72">
        <v>0.970972002964013</v>
      </c>
      <c r="AM776" s="71">
        <v>0.99</v>
      </c>
      <c r="AN776" s="76">
        <v>1</v>
      </c>
      <c r="AO776" s="76">
        <v>1</v>
      </c>
      <c r="AP776" s="76">
        <v>1</v>
      </c>
      <c r="AQ776" s="76">
        <v>1</v>
      </c>
      <c r="AR776" s="96">
        <v>0.0810595228934205</v>
      </c>
      <c r="AS776" s="80">
        <v>0</v>
      </c>
      <c r="AT776" s="80">
        <v>0</v>
      </c>
      <c r="AU776" s="80">
        <v>0</v>
      </c>
      <c r="AV776" s="80">
        <v>0.0127388535031847</v>
      </c>
      <c r="AW776" s="36"/>
      <c r="AX776" s="34"/>
    </row>
    <row r="777" ht="14.5" spans="1:50">
      <c r="A777" s="32"/>
      <c r="B777" s="36"/>
      <c r="C777" s="91" t="s">
        <v>693</v>
      </c>
      <c r="D777" s="69" t="s">
        <v>21</v>
      </c>
      <c r="E777" s="114" t="s">
        <v>828</v>
      </c>
      <c r="F777" s="114" t="s">
        <v>828</v>
      </c>
      <c r="G777" s="114" t="s">
        <v>828</v>
      </c>
      <c r="H777" s="114" t="s">
        <v>828</v>
      </c>
      <c r="I777" s="71">
        <v>0.9</v>
      </c>
      <c r="J777" s="72">
        <v>0.625</v>
      </c>
      <c r="K777" s="72">
        <v>0.470588235294118</v>
      </c>
      <c r="L777" s="73">
        <v>0.434782608695652</v>
      </c>
      <c r="M777" s="72">
        <v>0.466292134831461</v>
      </c>
      <c r="N777" s="74">
        <v>0.9</v>
      </c>
      <c r="O777" s="72">
        <v>0.664504716981132</v>
      </c>
      <c r="P777" s="72">
        <v>0.868099941894248</v>
      </c>
      <c r="Q777" s="72">
        <v>0.925925925925926</v>
      </c>
      <c r="R777" s="72">
        <v>0.840500681621019</v>
      </c>
      <c r="S777" s="74">
        <v>0.9</v>
      </c>
      <c r="T777" s="72">
        <v>0.58372641509434</v>
      </c>
      <c r="U777" s="72">
        <v>0.73329459616502</v>
      </c>
      <c r="V777" s="72">
        <v>0.826291079812207</v>
      </c>
      <c r="W777" s="72">
        <v>0.720411451233114</v>
      </c>
      <c r="X777" s="74">
        <v>0.92</v>
      </c>
      <c r="Y777" s="74">
        <v>0.728571428571429</v>
      </c>
      <c r="Z777" s="74">
        <v>0.790973871733967</v>
      </c>
      <c r="AA777" s="74">
        <v>0.903225806451613</v>
      </c>
      <c r="AB777" s="74">
        <v>0.802170073176886</v>
      </c>
      <c r="AC777" s="74">
        <v>0.92</v>
      </c>
      <c r="AD777" s="72">
        <v>0.992307692307692</v>
      </c>
      <c r="AE777" s="72">
        <v>0.995497748874437</v>
      </c>
      <c r="AF777" s="72">
        <v>0.947619047619048</v>
      </c>
      <c r="AG777" s="72">
        <v>0.969797074091553</v>
      </c>
      <c r="AH777" s="74">
        <v>0.92</v>
      </c>
      <c r="AI777" s="72">
        <v>0.761680037753657</v>
      </c>
      <c r="AJ777" s="72">
        <v>0.860877684407096</v>
      </c>
      <c r="AK777" s="72">
        <v>0.925692695214106</v>
      </c>
      <c r="AL777" s="72">
        <v>0.866494230003979</v>
      </c>
      <c r="AM777" s="71">
        <v>0.99</v>
      </c>
      <c r="AN777" s="76">
        <v>1</v>
      </c>
      <c r="AO777" s="76">
        <v>1</v>
      </c>
      <c r="AP777" s="76">
        <v>1</v>
      </c>
      <c r="AQ777" s="76">
        <v>1</v>
      </c>
      <c r="AR777" s="96">
        <v>0.0810595228934205</v>
      </c>
      <c r="AS777" s="80">
        <v>0.111111111111111</v>
      </c>
      <c r="AT777" s="80">
        <v>0</v>
      </c>
      <c r="AU777" s="80">
        <v>0</v>
      </c>
      <c r="AV777" s="80">
        <v>0.0285714285714286</v>
      </c>
      <c r="AW777" s="36"/>
      <c r="AX777" s="34"/>
    </row>
    <row r="778" ht="14.5" spans="1:50">
      <c r="A778" s="32"/>
      <c r="B778" s="36"/>
      <c r="C778" s="91" t="s">
        <v>693</v>
      </c>
      <c r="D778" s="69" t="s">
        <v>21</v>
      </c>
      <c r="E778" s="114" t="s">
        <v>829</v>
      </c>
      <c r="F778" s="114" t="s">
        <v>829</v>
      </c>
      <c r="G778" s="114" t="s">
        <v>829</v>
      </c>
      <c r="H778" s="114" t="s">
        <v>829</v>
      </c>
      <c r="I778" s="71">
        <v>0.9</v>
      </c>
      <c r="J778" s="72">
        <v>0.827586206896552</v>
      </c>
      <c r="K778" s="72">
        <v>0.933333333333333</v>
      </c>
      <c r="L778" s="73">
        <v>0.878787878787879</v>
      </c>
      <c r="M778" s="72">
        <v>0.88768115942029</v>
      </c>
      <c r="N778" s="74">
        <v>0.9</v>
      </c>
      <c r="O778" s="72">
        <v>0.89587948604342</v>
      </c>
      <c r="P778" s="72">
        <v>0.966636609558161</v>
      </c>
      <c r="Q778" s="72">
        <v>0.978017585931255</v>
      </c>
      <c r="R778" s="72">
        <v>0.96300572695363</v>
      </c>
      <c r="S778" s="74">
        <v>0.9</v>
      </c>
      <c r="T778" s="72">
        <v>0.852902082410279</v>
      </c>
      <c r="U778" s="72">
        <v>0.93868349864743</v>
      </c>
      <c r="V778" s="72">
        <v>0.956834532374101</v>
      </c>
      <c r="W778" s="72">
        <v>0.923101791982265</v>
      </c>
      <c r="X778" s="74">
        <v>0.92</v>
      </c>
      <c r="Y778" s="74">
        <v>0.8</v>
      </c>
      <c r="Z778" s="74">
        <v>0.925042589437819</v>
      </c>
      <c r="AA778" s="74">
        <v>0.910714285714286</v>
      </c>
      <c r="AB778" s="74">
        <v>0.907677165354331</v>
      </c>
      <c r="AC778" s="74">
        <v>0.92</v>
      </c>
      <c r="AD778" s="72">
        <v>0.998762376237624</v>
      </c>
      <c r="AE778" s="72">
        <v>0.99604743083004</v>
      </c>
      <c r="AF778" s="72">
        <v>0.99077868852459</v>
      </c>
      <c r="AG778" s="72">
        <v>0.99135474997544</v>
      </c>
      <c r="AH778" s="74">
        <v>0.92</v>
      </c>
      <c r="AI778" s="72">
        <v>0.875177809388336</v>
      </c>
      <c r="AJ778" s="72">
        <v>0.959358288770053</v>
      </c>
      <c r="AK778" s="72">
        <v>0.957665169980757</v>
      </c>
      <c r="AL778" s="72">
        <v>0.947409762483636</v>
      </c>
      <c r="AM778" s="71">
        <v>0.99</v>
      </c>
      <c r="AN778" s="76">
        <v>1</v>
      </c>
      <c r="AO778" s="76">
        <v>1</v>
      </c>
      <c r="AP778" s="76">
        <v>1</v>
      </c>
      <c r="AQ778" s="76">
        <v>1</v>
      </c>
      <c r="AR778" s="96">
        <v>0.0810595228934205</v>
      </c>
      <c r="AS778" s="80">
        <v>0</v>
      </c>
      <c r="AT778" s="80">
        <v>0</v>
      </c>
      <c r="AU778" s="80">
        <v>0.14</v>
      </c>
      <c r="AV778" s="80">
        <v>0.0377906976744186</v>
      </c>
      <c r="AW778" s="36"/>
      <c r="AX778" s="34"/>
    </row>
    <row r="779" ht="14.5" spans="1:50">
      <c r="A779" s="32"/>
      <c r="B779" s="36"/>
      <c r="C779" s="91" t="s">
        <v>693</v>
      </c>
      <c r="D779" s="69" t="s">
        <v>21</v>
      </c>
      <c r="E779" s="114" t="s">
        <v>830</v>
      </c>
      <c r="F779" s="114" t="s">
        <v>830</v>
      </c>
      <c r="G779" s="114" t="s">
        <v>830</v>
      </c>
      <c r="H779" s="114" t="s">
        <v>830</v>
      </c>
      <c r="I779" s="71">
        <v>0.9</v>
      </c>
      <c r="J779" s="72">
        <v>0.65</v>
      </c>
      <c r="K779" s="72">
        <v>0.521739130434783</v>
      </c>
      <c r="L779" s="73">
        <v>0.625</v>
      </c>
      <c r="M779" s="72">
        <v>0.587378640776699</v>
      </c>
      <c r="N779" s="74">
        <v>0.9</v>
      </c>
      <c r="O779" s="72">
        <v>0.834553440702782</v>
      </c>
      <c r="P779" s="72">
        <v>0.916095890410959</v>
      </c>
      <c r="Q779" s="72">
        <v>0.967940813810111</v>
      </c>
      <c r="R779" s="72">
        <v>0.914761834537679</v>
      </c>
      <c r="S779" s="74">
        <v>0.9</v>
      </c>
      <c r="T779" s="72">
        <v>0.734992679355783</v>
      </c>
      <c r="U779" s="72">
        <v>0.878424657534247</v>
      </c>
      <c r="V779" s="72">
        <v>0.908754623921085</v>
      </c>
      <c r="W779" s="72">
        <v>0.87420734404955</v>
      </c>
      <c r="X779" s="74">
        <v>0.92</v>
      </c>
      <c r="Y779" s="74">
        <v>0.822396576319544</v>
      </c>
      <c r="Z779" s="74">
        <v>0.935030140656397</v>
      </c>
      <c r="AA779" s="74">
        <v>0.952059419311276</v>
      </c>
      <c r="AB779" s="74">
        <v>0.927764565992866</v>
      </c>
      <c r="AC779" s="74">
        <v>0.92</v>
      </c>
      <c r="AD779" s="72">
        <v>0.99375</v>
      </c>
      <c r="AE779" s="72">
        <v>0.998864926220204</v>
      </c>
      <c r="AF779" s="72">
        <v>0.994805194805195</v>
      </c>
      <c r="AG779" s="72">
        <v>0.971518987341772</v>
      </c>
      <c r="AH779" s="74">
        <v>0.92</v>
      </c>
      <c r="AI779" s="72">
        <v>0.825419664268585</v>
      </c>
      <c r="AJ779" s="72">
        <v>0.935514918190568</v>
      </c>
      <c r="AK779" s="72">
        <v>0.951134380453752</v>
      </c>
      <c r="AL779" s="72">
        <v>0.929700622468136</v>
      </c>
      <c r="AM779" s="71">
        <v>0.99</v>
      </c>
      <c r="AN779" s="76">
        <v>0</v>
      </c>
      <c r="AO779" s="76">
        <v>1</v>
      </c>
      <c r="AP779" s="76">
        <v>1</v>
      </c>
      <c r="AQ779" s="76">
        <v>1</v>
      </c>
      <c r="AR779" s="96">
        <v>0.0810595228934205</v>
      </c>
      <c r="AS779" s="80">
        <v>0.0769230769230769</v>
      </c>
      <c r="AT779" s="80">
        <v>0.142857142857143</v>
      </c>
      <c r="AU779" s="80">
        <v>0.0588235294117647</v>
      </c>
      <c r="AV779" s="80">
        <v>0.036231884057971</v>
      </c>
      <c r="AW779" s="36"/>
      <c r="AX779" s="34"/>
    </row>
    <row r="780" ht="14.5" spans="1:50">
      <c r="A780" s="32"/>
      <c r="B780" s="36"/>
      <c r="C780" s="91" t="s">
        <v>693</v>
      </c>
      <c r="D780" s="69" t="s">
        <v>21</v>
      </c>
      <c r="E780" s="114" t="s">
        <v>831</v>
      </c>
      <c r="F780" s="114" t="s">
        <v>831</v>
      </c>
      <c r="G780" s="114" t="s">
        <v>831</v>
      </c>
      <c r="H780" s="114" t="s">
        <v>831</v>
      </c>
      <c r="I780" s="71">
        <v>0.9</v>
      </c>
      <c r="J780" s="72">
        <v>0.75</v>
      </c>
      <c r="K780" s="72">
        <v>0.583333333333333</v>
      </c>
      <c r="L780" s="73">
        <v>0.75</v>
      </c>
      <c r="M780" s="72">
        <v>0.693693693693694</v>
      </c>
      <c r="N780" s="74">
        <v>0.9</v>
      </c>
      <c r="O780" s="72">
        <v>0.97224709042077</v>
      </c>
      <c r="P780" s="72">
        <v>0.652340019102197</v>
      </c>
      <c r="Q780" s="72">
        <v>0.96419853539463</v>
      </c>
      <c r="R780" s="72">
        <v>0.935965243672082</v>
      </c>
      <c r="S780" s="74">
        <v>0.9</v>
      </c>
      <c r="T780" s="72">
        <v>0.776186213070725</v>
      </c>
      <c r="U780" s="72">
        <v>0.792741165234002</v>
      </c>
      <c r="V780" s="72">
        <v>0.794955248169243</v>
      </c>
      <c r="W780" s="72">
        <v>0.813562523611636</v>
      </c>
      <c r="X780" s="74">
        <v>0.92</v>
      </c>
      <c r="Y780" s="74">
        <v>0.813880126182965</v>
      </c>
      <c r="Z780" s="74">
        <v>0.926605504587156</v>
      </c>
      <c r="AA780" s="74">
        <v>0.899598393574297</v>
      </c>
      <c r="AB780" s="74">
        <v>0.891347293559858</v>
      </c>
      <c r="AC780" s="74">
        <v>0.92</v>
      </c>
      <c r="AD780" s="72">
        <v>1</v>
      </c>
      <c r="AE780" s="72">
        <v>1</v>
      </c>
      <c r="AF780" s="72">
        <v>1</v>
      </c>
      <c r="AG780" s="72">
        <v>0.99849578820698</v>
      </c>
      <c r="AH780" s="74">
        <v>0.92</v>
      </c>
      <c r="AI780" s="72">
        <v>0.882845188284519</v>
      </c>
      <c r="AJ780" s="72">
        <v>0.933042212518195</v>
      </c>
      <c r="AK780" s="72">
        <v>0.946549391069012</v>
      </c>
      <c r="AL780" s="72">
        <v>0.931483880801768</v>
      </c>
      <c r="AM780" s="71">
        <v>0.99</v>
      </c>
      <c r="AN780" s="76">
        <v>1</v>
      </c>
      <c r="AO780" s="76">
        <v>1</v>
      </c>
      <c r="AP780" s="76">
        <v>1</v>
      </c>
      <c r="AQ780" s="76">
        <v>1</v>
      </c>
      <c r="AR780" s="96">
        <v>0.0810595228934205</v>
      </c>
      <c r="AS780" s="80">
        <v>0</v>
      </c>
      <c r="AT780" s="80">
        <v>0.222222222222222</v>
      </c>
      <c r="AU780" s="80">
        <v>0.0666666666666667</v>
      </c>
      <c r="AV780" s="80">
        <v>0</v>
      </c>
      <c r="AW780" s="36"/>
      <c r="AX780" s="34"/>
    </row>
    <row r="781" ht="14.5" spans="1:50">
      <c r="A781" s="32"/>
      <c r="B781" s="36"/>
      <c r="C781" s="91" t="s">
        <v>693</v>
      </c>
      <c r="D781" s="69" t="s">
        <v>21</v>
      </c>
      <c r="E781" s="114" t="s">
        <v>832</v>
      </c>
      <c r="F781" s="114" t="s">
        <v>832</v>
      </c>
      <c r="G781" s="114" t="s">
        <v>832</v>
      </c>
      <c r="H781" s="114" t="s">
        <v>832</v>
      </c>
      <c r="I781" s="71">
        <v>0.9</v>
      </c>
      <c r="J781" s="72">
        <v>0.936170212765957</v>
      </c>
      <c r="K781" s="72">
        <v>0.888888888888889</v>
      </c>
      <c r="L781" s="73">
        <v>0.923076923076923</v>
      </c>
      <c r="M781" s="72">
        <v>0.89873417721519</v>
      </c>
      <c r="N781" s="74">
        <v>0.9</v>
      </c>
      <c r="O781" s="72">
        <v>0.95732546705998</v>
      </c>
      <c r="P781" s="72">
        <v>0.952709559569718</v>
      </c>
      <c r="Q781" s="72">
        <v>0.960722702278083</v>
      </c>
      <c r="R781" s="72">
        <v>0.954189310111526</v>
      </c>
      <c r="S781" s="74">
        <v>0.9</v>
      </c>
      <c r="T781" s="72">
        <v>0.868436578171091</v>
      </c>
      <c r="U781" s="72">
        <v>0.910696163994317</v>
      </c>
      <c r="V781" s="72">
        <v>0.926747839748625</v>
      </c>
      <c r="W781" s="72">
        <v>0.910146445797595</v>
      </c>
      <c r="X781" s="74">
        <v>0.92</v>
      </c>
      <c r="Y781" s="74">
        <v>0.905415162454874</v>
      </c>
      <c r="Z781" s="74">
        <v>0.91358024691358</v>
      </c>
      <c r="AA781" s="74">
        <v>0.928172942817294</v>
      </c>
      <c r="AB781" s="74">
        <v>0.920130854544004</v>
      </c>
      <c r="AC781" s="74">
        <v>0.92</v>
      </c>
      <c r="AD781" s="72">
        <v>0.996811224489796</v>
      </c>
      <c r="AE781" s="72">
        <v>0.989006514657981</v>
      </c>
      <c r="AF781" s="72">
        <v>0.982194616977226</v>
      </c>
      <c r="AG781" s="72">
        <v>0.990549255058928</v>
      </c>
      <c r="AH781" s="74">
        <v>0.92</v>
      </c>
      <c r="AI781" s="72">
        <v>0.926938523324065</v>
      </c>
      <c r="AJ781" s="72">
        <v>0.942017346610986</v>
      </c>
      <c r="AK781" s="72">
        <v>0.954663807627508</v>
      </c>
      <c r="AL781" s="72">
        <v>0.946197327852004</v>
      </c>
      <c r="AM781" s="71">
        <v>0.99</v>
      </c>
      <c r="AN781" s="76">
        <v>1</v>
      </c>
      <c r="AO781" s="76">
        <v>1</v>
      </c>
      <c r="AP781" s="76">
        <v>1</v>
      </c>
      <c r="AQ781" s="76">
        <v>1</v>
      </c>
      <c r="AR781" s="96">
        <v>0.0810595228934205</v>
      </c>
      <c r="AS781" s="80">
        <v>0</v>
      </c>
      <c r="AT781" s="80">
        <v>0.0357142857142857</v>
      </c>
      <c r="AU781" s="80">
        <v>0.0625</v>
      </c>
      <c r="AV781" s="80">
        <v>0.0551181102362205</v>
      </c>
      <c r="AW781" s="36"/>
      <c r="AX781" s="34"/>
    </row>
    <row r="782" ht="14.5" spans="1:50">
      <c r="A782" s="32"/>
      <c r="B782" s="36"/>
      <c r="C782" s="91" t="s">
        <v>693</v>
      </c>
      <c r="D782" s="69" t="s">
        <v>21</v>
      </c>
      <c r="E782" s="114" t="s">
        <v>833</v>
      </c>
      <c r="F782" s="114" t="s">
        <v>833</v>
      </c>
      <c r="G782" s="114" t="s">
        <v>833</v>
      </c>
      <c r="H782" s="114" t="s">
        <v>833</v>
      </c>
      <c r="I782" s="71">
        <v>0.9</v>
      </c>
      <c r="J782" s="72">
        <v>0.846153846153846</v>
      </c>
      <c r="K782" s="72">
        <v>0.838709677419355</v>
      </c>
      <c r="L782" s="73">
        <v>0.84375</v>
      </c>
      <c r="M782" s="72">
        <v>0.847583643122677</v>
      </c>
      <c r="N782" s="74">
        <v>0.9</v>
      </c>
      <c r="O782" s="72">
        <v>0.950221238938053</v>
      </c>
      <c r="P782" s="72">
        <v>0.958061889250814</v>
      </c>
      <c r="Q782" s="72">
        <v>0.963845848232022</v>
      </c>
      <c r="R782" s="72">
        <v>0.951288417087578</v>
      </c>
      <c r="S782" s="74">
        <v>0.9</v>
      </c>
      <c r="T782" s="72">
        <v>0.888274336283186</v>
      </c>
      <c r="U782" s="72">
        <v>0.927524429967427</v>
      </c>
      <c r="V782" s="72">
        <v>0.946364719904648</v>
      </c>
      <c r="W782" s="72">
        <v>0.92406472048626</v>
      </c>
      <c r="X782" s="74">
        <v>0.92</v>
      </c>
      <c r="Y782" s="74">
        <v>0.881615598885794</v>
      </c>
      <c r="Z782" s="74">
        <v>0.933447098976109</v>
      </c>
      <c r="AA782" s="74">
        <v>0.947651006711409</v>
      </c>
      <c r="AB782" s="74">
        <v>0.923590746171391</v>
      </c>
      <c r="AC782" s="74">
        <v>0.92</v>
      </c>
      <c r="AD782" s="72">
        <v>0.996695475343162</v>
      </c>
      <c r="AE782" s="72">
        <v>0.993184634448575</v>
      </c>
      <c r="AF782" s="72">
        <v>0.995589856670342</v>
      </c>
      <c r="AG782" s="72">
        <v>0.993308450183261</v>
      </c>
      <c r="AH782" s="74">
        <v>0.92</v>
      </c>
      <c r="AI782" s="72">
        <v>0.910573842120594</v>
      </c>
      <c r="AJ782" s="72">
        <v>0.933333333333333</v>
      </c>
      <c r="AK782" s="72">
        <v>0.964777947932619</v>
      </c>
      <c r="AL782" s="72">
        <v>0.947172744786562</v>
      </c>
      <c r="AM782" s="71">
        <v>0.99</v>
      </c>
      <c r="AN782" s="76">
        <v>1</v>
      </c>
      <c r="AO782" s="76">
        <v>1</v>
      </c>
      <c r="AP782" s="76">
        <v>1</v>
      </c>
      <c r="AQ782" s="76">
        <v>1</v>
      </c>
      <c r="AR782" s="96">
        <v>0.0810595228934205</v>
      </c>
      <c r="AS782" s="80">
        <v>0</v>
      </c>
      <c r="AT782" s="80">
        <v>0.2</v>
      </c>
      <c r="AU782" s="80">
        <v>0.0714285714285714</v>
      </c>
      <c r="AV782" s="80">
        <v>0.0462962962962963</v>
      </c>
      <c r="AW782" s="36"/>
      <c r="AX782" s="34"/>
    </row>
    <row r="783" ht="14.5" spans="1:50">
      <c r="A783" s="32"/>
      <c r="B783" s="36"/>
      <c r="C783" s="91" t="s">
        <v>693</v>
      </c>
      <c r="D783" s="69" t="s">
        <v>21</v>
      </c>
      <c r="E783" s="114" t="s">
        <v>834</v>
      </c>
      <c r="F783" s="114" t="s">
        <v>834</v>
      </c>
      <c r="G783" s="114" t="s">
        <v>834</v>
      </c>
      <c r="H783" s="114" t="s">
        <v>834</v>
      </c>
      <c r="I783" s="71">
        <v>0.9</v>
      </c>
      <c r="J783" s="72">
        <v>0.826086956521739</v>
      </c>
      <c r="K783" s="72">
        <v>0.772727272727273</v>
      </c>
      <c r="L783" s="73">
        <v>0.739130434782609</v>
      </c>
      <c r="M783" s="72">
        <v>0.76</v>
      </c>
      <c r="N783" s="74">
        <v>0.9</v>
      </c>
      <c r="O783" s="72">
        <v>0.925013109596224</v>
      </c>
      <c r="P783" s="72">
        <v>0.934981192907039</v>
      </c>
      <c r="Q783" s="72">
        <v>0.88</v>
      </c>
      <c r="R783" s="72">
        <v>0.912918770078017</v>
      </c>
      <c r="S783" s="74">
        <v>0.9</v>
      </c>
      <c r="T783" s="72">
        <v>0.938647089669638</v>
      </c>
      <c r="U783" s="72">
        <v>0.938742611499194</v>
      </c>
      <c r="V783" s="72">
        <v>0.929230769230769</v>
      </c>
      <c r="W783" s="72">
        <v>0.926858650757228</v>
      </c>
      <c r="X783" s="74">
        <v>0.92</v>
      </c>
      <c r="Y783" s="74">
        <v>0.896193771626298</v>
      </c>
      <c r="Z783" s="74">
        <v>0.943025540275049</v>
      </c>
      <c r="AA783" s="74">
        <v>0.941385435168739</v>
      </c>
      <c r="AB783" s="74">
        <v>0.938695741616951</v>
      </c>
      <c r="AC783" s="74">
        <v>0.92</v>
      </c>
      <c r="AD783" s="72">
        <v>0.994069681245367</v>
      </c>
      <c r="AE783" s="72">
        <v>0.994464944649446</v>
      </c>
      <c r="AF783" s="72">
        <v>0.998972778633796</v>
      </c>
      <c r="AG783" s="72">
        <v>0.961868503746676</v>
      </c>
      <c r="AH783" s="74">
        <v>0.92</v>
      </c>
      <c r="AI783" s="72">
        <v>0.959388821873743</v>
      </c>
      <c r="AJ783" s="72">
        <v>0.973018549747049</v>
      </c>
      <c r="AK783" s="72">
        <v>0.969817315329627</v>
      </c>
      <c r="AL783" s="72">
        <v>0.96711764178837</v>
      </c>
      <c r="AM783" s="71">
        <v>0.99</v>
      </c>
      <c r="AN783" s="76">
        <v>1</v>
      </c>
      <c r="AO783" s="76">
        <v>1</v>
      </c>
      <c r="AP783" s="76">
        <v>1</v>
      </c>
      <c r="AQ783" s="76">
        <v>1</v>
      </c>
      <c r="AR783" s="96">
        <v>0.0810595228934205</v>
      </c>
      <c r="AS783" s="80">
        <v>0.111111111111111</v>
      </c>
      <c r="AT783" s="80">
        <v>0.111111111111111</v>
      </c>
      <c r="AU783" s="80">
        <v>0.166666666666667</v>
      </c>
      <c r="AV783" s="80">
        <v>0.0983606557377049</v>
      </c>
      <c r="AW783" s="36"/>
      <c r="AX783" s="34"/>
    </row>
    <row r="784" ht="14.5" spans="1:50">
      <c r="A784" s="32"/>
      <c r="B784" s="36"/>
      <c r="C784" s="91" t="s">
        <v>693</v>
      </c>
      <c r="D784" s="69" t="s">
        <v>21</v>
      </c>
      <c r="E784" s="114" t="s">
        <v>835</v>
      </c>
      <c r="F784" s="114" t="s">
        <v>835</v>
      </c>
      <c r="G784" s="114" t="s">
        <v>835</v>
      </c>
      <c r="H784" s="114" t="s">
        <v>835</v>
      </c>
      <c r="I784" s="71">
        <v>0.9</v>
      </c>
      <c r="J784" s="72">
        <v>0.875</v>
      </c>
      <c r="K784" s="72">
        <v>0.833333333333333</v>
      </c>
      <c r="L784" s="73">
        <v>0.818181818181818</v>
      </c>
      <c r="M784" s="72">
        <v>0.854497354497355</v>
      </c>
      <c r="N784" s="74">
        <v>0.9</v>
      </c>
      <c r="O784" s="72">
        <v>0.910164835164835</v>
      </c>
      <c r="P784" s="72">
        <v>0.949815270935961</v>
      </c>
      <c r="Q784" s="72">
        <v>0.953910199226881</v>
      </c>
      <c r="R784" s="72">
        <v>0.939065456528014</v>
      </c>
      <c r="S784" s="74">
        <v>0.9</v>
      </c>
      <c r="T784" s="72">
        <v>0.898076923076923</v>
      </c>
      <c r="U784" s="72">
        <v>0.935652709359606</v>
      </c>
      <c r="V784" s="72">
        <v>0.92328278322926</v>
      </c>
      <c r="W784" s="72">
        <v>0.915878259196305</v>
      </c>
      <c r="X784" s="74">
        <v>0.92</v>
      </c>
      <c r="Y784" s="74">
        <v>0.892893923789907</v>
      </c>
      <c r="Z784" s="74">
        <v>0.932418162618796</v>
      </c>
      <c r="AA784" s="74">
        <v>0.928571428571429</v>
      </c>
      <c r="AB784" s="74">
        <v>0.926061159287996</v>
      </c>
      <c r="AC784" s="74">
        <v>0.92</v>
      </c>
      <c r="AD784" s="72">
        <v>1</v>
      </c>
      <c r="AE784" s="72">
        <v>0.998859749144812</v>
      </c>
      <c r="AF784" s="72">
        <v>1</v>
      </c>
      <c r="AG784" s="72">
        <v>0.998750260362425</v>
      </c>
      <c r="AH784" s="74">
        <v>0.92</v>
      </c>
      <c r="AI784" s="72">
        <v>0.934763762462072</v>
      </c>
      <c r="AJ784" s="72">
        <v>0.966658728268635</v>
      </c>
      <c r="AK784" s="72">
        <v>0.96164199192463</v>
      </c>
      <c r="AL784" s="72">
        <v>0.959677822802541</v>
      </c>
      <c r="AM784" s="71">
        <v>0.99</v>
      </c>
      <c r="AN784" s="76">
        <v>1</v>
      </c>
      <c r="AO784" s="76">
        <v>1</v>
      </c>
      <c r="AP784" s="76">
        <v>1</v>
      </c>
      <c r="AQ784" s="76">
        <v>1</v>
      </c>
      <c r="AR784" s="96">
        <v>0.0810595228934205</v>
      </c>
      <c r="AS784" s="80">
        <v>0.142857142857143</v>
      </c>
      <c r="AT784" s="80">
        <v>0.0714285714285714</v>
      </c>
      <c r="AU784" s="80">
        <v>0</v>
      </c>
      <c r="AV784" s="80">
        <v>0.0402684563758389</v>
      </c>
      <c r="AW784" s="36"/>
      <c r="AX784" s="34"/>
    </row>
    <row r="785" ht="14.5" spans="1:50">
      <c r="A785" s="32"/>
      <c r="B785" s="36"/>
      <c r="C785" s="91" t="s">
        <v>693</v>
      </c>
      <c r="D785" s="69" t="s">
        <v>21</v>
      </c>
      <c r="E785" s="114" t="s">
        <v>836</v>
      </c>
      <c r="F785" s="114" t="s">
        <v>836</v>
      </c>
      <c r="G785" s="114" t="s">
        <v>836</v>
      </c>
      <c r="H785" s="114" t="s">
        <v>836</v>
      </c>
      <c r="I785" s="71">
        <v>0.9</v>
      </c>
      <c r="J785" s="72">
        <v>0.727272727272727</v>
      </c>
      <c r="K785" s="72">
        <v>0.727272727272727</v>
      </c>
      <c r="L785" s="73">
        <v>0.76</v>
      </c>
      <c r="M785" s="72">
        <v>0.776190476190476</v>
      </c>
      <c r="N785" s="74">
        <v>0.9</v>
      </c>
      <c r="O785" s="72">
        <v>0.945958016971862</v>
      </c>
      <c r="P785" s="72">
        <v>0.94589552238806</v>
      </c>
      <c r="Q785" s="72">
        <v>0.951650395165039</v>
      </c>
      <c r="R785" s="72">
        <v>0.948464912280702</v>
      </c>
      <c r="S785" s="74">
        <v>0.9</v>
      </c>
      <c r="T785" s="72">
        <v>0.895489057615007</v>
      </c>
      <c r="U785" s="72">
        <v>0.896921641791045</v>
      </c>
      <c r="V785" s="72">
        <v>0.923291492329149</v>
      </c>
      <c r="W785" s="72">
        <v>0.904555422647528</v>
      </c>
      <c r="X785" s="74">
        <v>0.92</v>
      </c>
      <c r="Y785" s="74">
        <v>0.862903225806452</v>
      </c>
      <c r="Z785" s="74">
        <v>0.905594405594406</v>
      </c>
      <c r="AA785" s="74">
        <v>0.917271407837446</v>
      </c>
      <c r="AB785" s="74">
        <v>0.898687012065295</v>
      </c>
      <c r="AC785" s="74">
        <v>0.92</v>
      </c>
      <c r="AD785" s="72">
        <v>0.997368421052632</v>
      </c>
      <c r="AE785" s="72">
        <v>0.996965098634294</v>
      </c>
      <c r="AF785" s="72">
        <v>0.997090909090909</v>
      </c>
      <c r="AG785" s="72">
        <v>0.990159212737019</v>
      </c>
      <c r="AH785" s="74">
        <v>0.92</v>
      </c>
      <c r="AI785" s="72">
        <v>0.92060160895418</v>
      </c>
      <c r="AJ785" s="72">
        <v>0.951802796173657</v>
      </c>
      <c r="AK785" s="72">
        <v>0.953267744202389</v>
      </c>
      <c r="AL785" s="72">
        <v>0.947482993197279</v>
      </c>
      <c r="AM785" s="71">
        <v>0.99</v>
      </c>
      <c r="AN785" s="76">
        <v>1</v>
      </c>
      <c r="AO785" s="76">
        <v>1</v>
      </c>
      <c r="AP785" s="76">
        <v>1</v>
      </c>
      <c r="AQ785" s="76">
        <v>1</v>
      </c>
      <c r="AR785" s="96">
        <v>0.0810595228934205</v>
      </c>
      <c r="AS785" s="80">
        <v>0</v>
      </c>
      <c r="AT785" s="80">
        <v>0</v>
      </c>
      <c r="AU785" s="80">
        <v>0.0833333333333333</v>
      </c>
      <c r="AV785" s="80">
        <v>0.0560747663551402</v>
      </c>
      <c r="AW785" s="36"/>
      <c r="AX785" s="34"/>
    </row>
    <row r="786" ht="14.5" spans="1:50">
      <c r="A786" s="32"/>
      <c r="B786" s="36"/>
      <c r="C786" s="91" t="s">
        <v>693</v>
      </c>
      <c r="D786" s="69" t="s">
        <v>21</v>
      </c>
      <c r="E786" s="114" t="s">
        <v>837</v>
      </c>
      <c r="F786" s="114" t="s">
        <v>837</v>
      </c>
      <c r="G786" s="114" t="s">
        <v>837</v>
      </c>
      <c r="H786" s="114" t="s">
        <v>837</v>
      </c>
      <c r="I786" s="71">
        <v>0.9</v>
      </c>
      <c r="J786" s="72">
        <v>0.964285714285714</v>
      </c>
      <c r="K786" s="72">
        <v>0.866666666666667</v>
      </c>
      <c r="L786" s="73">
        <v>0.933333333333333</v>
      </c>
      <c r="M786" s="72">
        <v>0.931654676258993</v>
      </c>
      <c r="N786" s="74">
        <v>0.9</v>
      </c>
      <c r="O786" s="72">
        <v>0.925352502073542</v>
      </c>
      <c r="P786" s="72">
        <v>0.958929682638457</v>
      </c>
      <c r="Q786" s="72">
        <v>0.952952952952953</v>
      </c>
      <c r="R786" s="72">
        <v>0.94754677020826</v>
      </c>
      <c r="S786" s="74">
        <v>0.9</v>
      </c>
      <c r="T786" s="72">
        <v>0.92065247442632</v>
      </c>
      <c r="U786" s="72">
        <v>0.927504667081518</v>
      </c>
      <c r="V786" s="72">
        <v>0.929596262929596</v>
      </c>
      <c r="W786" s="72">
        <v>0.924638192728556</v>
      </c>
      <c r="X786" s="74">
        <v>0.92</v>
      </c>
      <c r="Y786" s="74">
        <v>0.915</v>
      </c>
      <c r="Z786" s="74">
        <v>0.918987341772152</v>
      </c>
      <c r="AA786" s="74">
        <v>0.925443786982248</v>
      </c>
      <c r="AB786" s="74">
        <v>0.918294849023091</v>
      </c>
      <c r="AC786" s="74">
        <v>0.92</v>
      </c>
      <c r="AD786" s="72">
        <v>0.988549618320611</v>
      </c>
      <c r="AE786" s="72">
        <v>0.990291262135922</v>
      </c>
      <c r="AF786" s="72">
        <v>1</v>
      </c>
      <c r="AG786" s="72">
        <v>0.992705849347735</v>
      </c>
      <c r="AH786" s="74">
        <v>0.92</v>
      </c>
      <c r="AI786" s="72">
        <v>0.960850871237837</v>
      </c>
      <c r="AJ786" s="72">
        <v>0.961816820564013</v>
      </c>
      <c r="AK786" s="72">
        <v>0.957596253902185</v>
      </c>
      <c r="AL786" s="72">
        <v>0.958462874268269</v>
      </c>
      <c r="AM786" s="71">
        <v>0.99</v>
      </c>
      <c r="AN786" s="76">
        <v>1</v>
      </c>
      <c r="AO786" s="76">
        <v>1</v>
      </c>
      <c r="AP786" s="76">
        <v>1</v>
      </c>
      <c r="AQ786" s="76">
        <v>1</v>
      </c>
      <c r="AR786" s="96">
        <v>0.0810595228934205</v>
      </c>
      <c r="AS786" s="80">
        <v>0</v>
      </c>
      <c r="AT786" s="80">
        <v>0.0666666666666667</v>
      </c>
      <c r="AU786" s="80">
        <v>0</v>
      </c>
      <c r="AV786" s="80">
        <v>0.03</v>
      </c>
      <c r="AW786" s="36"/>
      <c r="AX786" s="34"/>
    </row>
    <row r="787" ht="14.5" spans="1:50">
      <c r="A787" s="32"/>
      <c r="B787" s="36"/>
      <c r="C787" s="91" t="s">
        <v>693</v>
      </c>
      <c r="D787" s="69" t="s">
        <v>21</v>
      </c>
      <c r="E787" s="114" t="s">
        <v>838</v>
      </c>
      <c r="F787" s="114" t="s">
        <v>838</v>
      </c>
      <c r="G787" s="114" t="s">
        <v>838</v>
      </c>
      <c r="H787" s="114" t="s">
        <v>838</v>
      </c>
      <c r="I787" s="71">
        <v>0.9</v>
      </c>
      <c r="J787" s="72">
        <v>0.758620689655172</v>
      </c>
      <c r="K787" s="72">
        <v>0.793103448275862</v>
      </c>
      <c r="L787" s="73">
        <v>0.774193548387097</v>
      </c>
      <c r="M787" s="72">
        <v>0.806691449814126</v>
      </c>
      <c r="N787" s="74">
        <v>0.9</v>
      </c>
      <c r="O787" s="72">
        <v>0.93559718969555</v>
      </c>
      <c r="P787" s="72">
        <v>0.936098180279306</v>
      </c>
      <c r="Q787" s="72">
        <v>0.967165419783874</v>
      </c>
      <c r="R787" s="72">
        <v>0.949030545683566</v>
      </c>
      <c r="S787" s="74">
        <v>0.9</v>
      </c>
      <c r="T787" s="72">
        <v>0.919594067135051</v>
      </c>
      <c r="U787" s="72">
        <v>0.925941599661447</v>
      </c>
      <c r="V787" s="72">
        <v>0.945552784704904</v>
      </c>
      <c r="W787" s="72">
        <v>0.931665841918215</v>
      </c>
      <c r="X787" s="74">
        <v>0.92</v>
      </c>
      <c r="Y787" s="74">
        <v>0.933014354066986</v>
      </c>
      <c r="Z787" s="74">
        <v>0.920382165605096</v>
      </c>
      <c r="AA787" s="74">
        <v>0.951153324287653</v>
      </c>
      <c r="AB787" s="74">
        <v>0.943041029766693</v>
      </c>
      <c r="AC787" s="74">
        <v>0.92</v>
      </c>
      <c r="AD787" s="72">
        <v>0.994629430719656</v>
      </c>
      <c r="AE787" s="72">
        <v>0.997638724911452</v>
      </c>
      <c r="AF787" s="72">
        <v>0.998417721518987</v>
      </c>
      <c r="AG787" s="72">
        <v>0.994933858710949</v>
      </c>
      <c r="AH787" s="74">
        <v>0.92</v>
      </c>
      <c r="AI787" s="72">
        <v>0.939555277168807</v>
      </c>
      <c r="AJ787" s="72">
        <v>0.956550802139037</v>
      </c>
      <c r="AK787" s="72">
        <v>0.958399491902191</v>
      </c>
      <c r="AL787" s="72">
        <v>0.955343350652998</v>
      </c>
      <c r="AM787" s="71">
        <v>0.99</v>
      </c>
      <c r="AN787" s="76">
        <v>1</v>
      </c>
      <c r="AO787" s="76">
        <v>1</v>
      </c>
      <c r="AP787" s="76">
        <v>1</v>
      </c>
      <c r="AQ787" s="76">
        <v>1</v>
      </c>
      <c r="AR787" s="96">
        <v>0.0810595228934205</v>
      </c>
      <c r="AS787" s="80">
        <v>0</v>
      </c>
      <c r="AT787" s="80">
        <v>0.133333333333333</v>
      </c>
      <c r="AU787" s="80">
        <v>0</v>
      </c>
      <c r="AV787" s="80">
        <v>0.053030303030303</v>
      </c>
      <c r="AW787" s="36"/>
      <c r="AX787" s="34"/>
    </row>
    <row r="788" ht="14.5" spans="1:50">
      <c r="A788" s="32"/>
      <c r="B788" s="36"/>
      <c r="C788" s="91" t="s">
        <v>693</v>
      </c>
      <c r="D788" s="69" t="s">
        <v>21</v>
      </c>
      <c r="E788" s="114" t="s">
        <v>839</v>
      </c>
      <c r="F788" s="114" t="s">
        <v>839</v>
      </c>
      <c r="G788" s="114" t="s">
        <v>839</v>
      </c>
      <c r="H788" s="114" t="s">
        <v>839</v>
      </c>
      <c r="I788" s="71">
        <v>0.9</v>
      </c>
      <c r="J788" s="72">
        <v>0.964285714285714</v>
      </c>
      <c r="K788" s="72">
        <v>0.931034482758621</v>
      </c>
      <c r="L788" s="73">
        <v>0.935483870967742</v>
      </c>
      <c r="M788" s="72">
        <v>0.932835820895522</v>
      </c>
      <c r="N788" s="74">
        <v>0.9</v>
      </c>
      <c r="O788" s="72">
        <v>0.933808553971487</v>
      </c>
      <c r="P788" s="72">
        <v>0.958310774228479</v>
      </c>
      <c r="Q788" s="72">
        <v>0.934537246049661</v>
      </c>
      <c r="R788" s="72">
        <v>0.936391327719047</v>
      </c>
      <c r="S788" s="74">
        <v>0.9</v>
      </c>
      <c r="T788" s="72">
        <v>0.886965376782077</v>
      </c>
      <c r="U788" s="72">
        <v>0.900920411478073</v>
      </c>
      <c r="V788" s="72">
        <v>0.892776523702032</v>
      </c>
      <c r="W788" s="72">
        <v>0.880606820760915</v>
      </c>
      <c r="X788" s="74">
        <v>0.92</v>
      </c>
      <c r="Y788" s="74">
        <v>0.913207547169811</v>
      </c>
      <c r="Z788" s="74">
        <v>0.916317991631799</v>
      </c>
      <c r="AA788" s="74">
        <v>0.916666666666667</v>
      </c>
      <c r="AB788" s="74">
        <v>0.914122556556117</v>
      </c>
      <c r="AC788" s="74">
        <v>0.92</v>
      </c>
      <c r="AD788" s="72">
        <v>0.992667277726856</v>
      </c>
      <c r="AE788" s="72">
        <v>0.992341356673961</v>
      </c>
      <c r="AF788" s="72">
        <v>0.99353169469599</v>
      </c>
      <c r="AG788" s="72">
        <v>0.994409858975988</v>
      </c>
      <c r="AH788" s="74">
        <v>0.92</v>
      </c>
      <c r="AI788" s="72">
        <v>0.946693386773547</v>
      </c>
      <c r="AJ788" s="72">
        <v>0.958297506448839</v>
      </c>
      <c r="AK788" s="72">
        <v>0.956053425247738</v>
      </c>
      <c r="AL788" s="72">
        <v>0.955167885950103</v>
      </c>
      <c r="AM788" s="71">
        <v>0.99</v>
      </c>
      <c r="AN788" s="76">
        <v>1</v>
      </c>
      <c r="AO788" s="76">
        <v>1</v>
      </c>
      <c r="AP788" s="76">
        <v>1</v>
      </c>
      <c r="AQ788" s="76">
        <v>1</v>
      </c>
      <c r="AR788" s="96">
        <v>0.0810595228934205</v>
      </c>
      <c r="AS788" s="80">
        <v>0.142857142857143</v>
      </c>
      <c r="AT788" s="80">
        <v>0</v>
      </c>
      <c r="AU788" s="80">
        <v>0</v>
      </c>
      <c r="AV788" s="80">
        <v>0.0563380281690141</v>
      </c>
      <c r="AW788" s="36"/>
      <c r="AX788" s="34"/>
    </row>
    <row r="789" ht="14.5" spans="1:50">
      <c r="A789" s="32"/>
      <c r="B789" s="36"/>
      <c r="C789" s="91" t="s">
        <v>693</v>
      </c>
      <c r="D789" s="69" t="s">
        <v>21</v>
      </c>
      <c r="E789" s="114" t="s">
        <v>840</v>
      </c>
      <c r="F789" s="114" t="s">
        <v>840</v>
      </c>
      <c r="G789" s="114" t="s">
        <v>840</v>
      </c>
      <c r="H789" s="114" t="s">
        <v>840</v>
      </c>
      <c r="I789" s="71">
        <v>0.9</v>
      </c>
      <c r="J789" s="72">
        <v>0.78125</v>
      </c>
      <c r="K789" s="72">
        <v>0.852941176470588</v>
      </c>
      <c r="L789" s="73">
        <v>0.916666666666667</v>
      </c>
      <c r="M789" s="72">
        <v>0.882943143812709</v>
      </c>
      <c r="N789" s="74">
        <v>0.9</v>
      </c>
      <c r="O789" s="72">
        <v>0.941988950276243</v>
      </c>
      <c r="P789" s="72">
        <v>0.94694589877836</v>
      </c>
      <c r="Q789" s="72">
        <v>0.96256157635468</v>
      </c>
      <c r="R789" s="72">
        <v>0.94592467678471</v>
      </c>
      <c r="S789" s="74">
        <v>0.9</v>
      </c>
      <c r="T789" s="72">
        <v>0.931629834254144</v>
      </c>
      <c r="U789" s="72">
        <v>0.942408376963351</v>
      </c>
      <c r="V789" s="72">
        <v>0.952380952380952</v>
      </c>
      <c r="W789" s="72">
        <v>0.938729623383924</v>
      </c>
      <c r="X789" s="74">
        <v>0.92</v>
      </c>
      <c r="Y789" s="74">
        <v>0.946537059538275</v>
      </c>
      <c r="Z789" s="74">
        <v>0.956589147286822</v>
      </c>
      <c r="AA789" s="74">
        <v>0.926014319809069</v>
      </c>
      <c r="AB789" s="74">
        <v>0.94378441031585</v>
      </c>
      <c r="AC789" s="74">
        <v>0.92</v>
      </c>
      <c r="AD789" s="72">
        <v>0.996394230769231</v>
      </c>
      <c r="AE789" s="72">
        <v>0.995744680851064</v>
      </c>
      <c r="AF789" s="72">
        <v>0.998857142857143</v>
      </c>
      <c r="AG789" s="72">
        <v>0.996113989637306</v>
      </c>
      <c r="AH789" s="74">
        <v>0.92</v>
      </c>
      <c r="AI789" s="72">
        <v>0.963690155997848</v>
      </c>
      <c r="AJ789" s="72">
        <v>0.976393629124005</v>
      </c>
      <c r="AK789" s="72">
        <v>0.97119341563786</v>
      </c>
      <c r="AL789" s="72">
        <v>0.971760154738878</v>
      </c>
      <c r="AM789" s="71">
        <v>0.99</v>
      </c>
      <c r="AN789" s="76">
        <v>1</v>
      </c>
      <c r="AO789" s="76">
        <v>1</v>
      </c>
      <c r="AP789" s="76">
        <v>1</v>
      </c>
      <c r="AQ789" s="76">
        <v>1</v>
      </c>
      <c r="AR789" s="96">
        <v>0.0810595228934205</v>
      </c>
      <c r="AS789" s="80">
        <v>0</v>
      </c>
      <c r="AT789" s="80">
        <v>0.0909090909090909</v>
      </c>
      <c r="AU789" s="80">
        <v>0</v>
      </c>
      <c r="AV789" s="80">
        <v>0.0142857142857143</v>
      </c>
      <c r="AW789" s="36"/>
      <c r="AX789" s="34"/>
    </row>
    <row r="790" ht="14.5" spans="1:50">
      <c r="A790" s="32"/>
      <c r="B790" s="36"/>
      <c r="C790" s="91" t="s">
        <v>693</v>
      </c>
      <c r="D790" s="69" t="s">
        <v>21</v>
      </c>
      <c r="E790" s="114" t="s">
        <v>841</v>
      </c>
      <c r="F790" s="114" t="s">
        <v>841</v>
      </c>
      <c r="G790" s="114" t="s">
        <v>841</v>
      </c>
      <c r="H790" s="114" t="s">
        <v>841</v>
      </c>
      <c r="I790" s="71">
        <v>0.9</v>
      </c>
      <c r="J790" s="72">
        <v>0.766666666666667</v>
      </c>
      <c r="K790" s="72">
        <v>0.794117647058823</v>
      </c>
      <c r="L790" s="73">
        <v>0.742857142857143</v>
      </c>
      <c r="M790" s="72">
        <v>0.745704467353952</v>
      </c>
      <c r="N790" s="74">
        <v>0.9</v>
      </c>
      <c r="O790" s="72">
        <v>0.902035623409669</v>
      </c>
      <c r="P790" s="72">
        <v>0.960709318497914</v>
      </c>
      <c r="Q790" s="72">
        <v>0.957314974182444</v>
      </c>
      <c r="R790" s="72">
        <v>0.938727938727939</v>
      </c>
      <c r="S790" s="74">
        <v>0.9</v>
      </c>
      <c r="T790" s="72">
        <v>0.829834605597964</v>
      </c>
      <c r="U790" s="72">
        <v>0.920027816411683</v>
      </c>
      <c r="V790" s="72">
        <v>0.934251290877797</v>
      </c>
      <c r="W790" s="72">
        <v>0.904169904169904</v>
      </c>
      <c r="X790" s="74">
        <v>0.92</v>
      </c>
      <c r="Y790" s="74">
        <v>0.890377588306943</v>
      </c>
      <c r="Z790" s="74">
        <v>0.894132653061224</v>
      </c>
      <c r="AA790" s="74">
        <v>0.927083333333333</v>
      </c>
      <c r="AB790" s="74">
        <v>0.914913573629908</v>
      </c>
      <c r="AC790" s="74">
        <v>0.92</v>
      </c>
      <c r="AD790" s="72">
        <v>0.99584487534626</v>
      </c>
      <c r="AE790" s="72">
        <v>0.996458087367178</v>
      </c>
      <c r="AF790" s="72">
        <v>0.992376111817027</v>
      </c>
      <c r="AG790" s="72">
        <v>0.967753536322225</v>
      </c>
      <c r="AH790" s="74">
        <v>0.92</v>
      </c>
      <c r="AI790" s="72">
        <v>0.938965952080706</v>
      </c>
      <c r="AJ790" s="72">
        <v>0.952732240437158</v>
      </c>
      <c r="AK790" s="72">
        <v>0.959703075291622</v>
      </c>
      <c r="AL790" s="72">
        <v>0.950938912715892</v>
      </c>
      <c r="AM790" s="71">
        <v>0.99</v>
      </c>
      <c r="AN790" s="76">
        <v>1</v>
      </c>
      <c r="AO790" s="76">
        <v>1</v>
      </c>
      <c r="AP790" s="76">
        <v>1</v>
      </c>
      <c r="AQ790" s="76">
        <v>1</v>
      </c>
      <c r="AR790" s="96">
        <v>0.0810595228934205</v>
      </c>
      <c r="AS790" s="80">
        <v>0</v>
      </c>
      <c r="AT790" s="80">
        <v>0.0833333333333333</v>
      </c>
      <c r="AU790" s="80">
        <v>0.111111111111111</v>
      </c>
      <c r="AV790" s="80">
        <v>0.0434782608695652</v>
      </c>
      <c r="AW790" s="36"/>
      <c r="AX790" s="34"/>
    </row>
    <row r="791" ht="14.5" spans="1:50">
      <c r="A791" s="32"/>
      <c r="B791" s="36"/>
      <c r="C791" s="91" t="s">
        <v>693</v>
      </c>
      <c r="D791" s="69" t="s">
        <v>21</v>
      </c>
      <c r="E791" s="114" t="s">
        <v>842</v>
      </c>
      <c r="F791" s="114" t="s">
        <v>842</v>
      </c>
      <c r="G791" s="114" t="s">
        <v>842</v>
      </c>
      <c r="H791" s="114" t="s">
        <v>842</v>
      </c>
      <c r="I791" s="71">
        <v>0.9</v>
      </c>
      <c r="J791" s="72">
        <v>0.8</v>
      </c>
      <c r="K791" s="72">
        <v>0.8</v>
      </c>
      <c r="L791" s="73">
        <v>0.666666666666667</v>
      </c>
      <c r="M791" s="72">
        <v>0.709677419354839</v>
      </c>
      <c r="N791" s="74">
        <v>0.9</v>
      </c>
      <c r="O791" s="72">
        <v>0.943452380952381</v>
      </c>
      <c r="P791" s="72">
        <v>0.928679817905918</v>
      </c>
      <c r="Q791" s="72">
        <v>0.93923520167627</v>
      </c>
      <c r="R791" s="72">
        <v>0.931894997746733</v>
      </c>
      <c r="S791" s="74">
        <v>0.9</v>
      </c>
      <c r="T791" s="72">
        <v>0.950892857142857</v>
      </c>
      <c r="U791" s="72">
        <v>0.930197268588771</v>
      </c>
      <c r="V791" s="72">
        <v>0.939759036144578</v>
      </c>
      <c r="W791" s="72">
        <v>0.93386660657954</v>
      </c>
      <c r="X791" s="74">
        <v>0.92</v>
      </c>
      <c r="Y791" s="74">
        <v>0.949090909090909</v>
      </c>
      <c r="Z791" s="74">
        <v>0.926829268292683</v>
      </c>
      <c r="AA791" s="74">
        <v>0.903908794788274</v>
      </c>
      <c r="AB791" s="74">
        <v>0.931771894093686</v>
      </c>
      <c r="AC791" s="74">
        <v>0.92</v>
      </c>
      <c r="AD791" s="72">
        <v>0.999286733238231</v>
      </c>
      <c r="AE791" s="72">
        <v>0.998619737750173</v>
      </c>
      <c r="AF791" s="72">
        <v>1</v>
      </c>
      <c r="AG791" s="72">
        <v>0.998190591073583</v>
      </c>
      <c r="AH791" s="74">
        <v>0.92</v>
      </c>
      <c r="AI791" s="72">
        <v>0.973120373977406</v>
      </c>
      <c r="AJ791" s="72">
        <v>0.971314741035857</v>
      </c>
      <c r="AK791" s="72">
        <v>0.956797463337297</v>
      </c>
      <c r="AL791" s="72">
        <v>0.96430462407342</v>
      </c>
      <c r="AM791" s="71">
        <v>0.99</v>
      </c>
      <c r="AN791" s="76">
        <v>1</v>
      </c>
      <c r="AO791" s="76">
        <v>1</v>
      </c>
      <c r="AP791" s="76">
        <v>1</v>
      </c>
      <c r="AQ791" s="76">
        <v>1</v>
      </c>
      <c r="AR791" s="96">
        <v>0.0810595228934205</v>
      </c>
      <c r="AS791" s="80">
        <v>0</v>
      </c>
      <c r="AT791" s="80">
        <v>0</v>
      </c>
      <c r="AU791" s="80">
        <v>0</v>
      </c>
      <c r="AV791" s="80">
        <v>-0.015625</v>
      </c>
      <c r="AW791" s="36"/>
      <c r="AX791" s="34"/>
    </row>
    <row r="792" ht="14.5" spans="1:50">
      <c r="A792" s="32"/>
      <c r="B792" s="36"/>
      <c r="C792" s="91" t="s">
        <v>693</v>
      </c>
      <c r="D792" s="69" t="s">
        <v>21</v>
      </c>
      <c r="E792" s="114" t="s">
        <v>843</v>
      </c>
      <c r="F792" s="114" t="s">
        <v>843</v>
      </c>
      <c r="G792" s="114" t="s">
        <v>843</v>
      </c>
      <c r="H792" s="114" t="s">
        <v>843</v>
      </c>
      <c r="I792" s="71">
        <v>0.9</v>
      </c>
      <c r="J792" s="72">
        <v>0.857142857142857</v>
      </c>
      <c r="K792" s="72">
        <v>0.857142857142857</v>
      </c>
      <c r="L792" s="73">
        <v>0.85</v>
      </c>
      <c r="M792" s="72">
        <v>0.85792349726776</v>
      </c>
      <c r="N792" s="74">
        <v>0.9</v>
      </c>
      <c r="O792" s="72">
        <v>0.938775510204082</v>
      </c>
      <c r="P792" s="72">
        <v>0.958357771260997</v>
      </c>
      <c r="Q792" s="72">
        <v>0.96046511627907</v>
      </c>
      <c r="R792" s="72">
        <v>0.953592173647203</v>
      </c>
      <c r="S792" s="74">
        <v>0.9</v>
      </c>
      <c r="T792" s="72">
        <v>0.910848549946294</v>
      </c>
      <c r="U792" s="72">
        <v>0.936656891495601</v>
      </c>
      <c r="V792" s="72">
        <v>0.947093023255814</v>
      </c>
      <c r="W792" s="72">
        <v>0.936838887190462</v>
      </c>
      <c r="X792" s="74">
        <v>0.92</v>
      </c>
      <c r="Y792" s="74">
        <v>0.795761078998073</v>
      </c>
      <c r="Z792" s="74">
        <v>0.886792452830189</v>
      </c>
      <c r="AA792" s="74">
        <v>0.939068100358423</v>
      </c>
      <c r="AB792" s="74">
        <v>0.898142216527867</v>
      </c>
      <c r="AC792" s="74">
        <v>0.92</v>
      </c>
      <c r="AD792" s="72">
        <v>0.998456790123457</v>
      </c>
      <c r="AE792" s="72">
        <v>0.997842502696872</v>
      </c>
      <c r="AF792" s="72">
        <v>0.997732426303855</v>
      </c>
      <c r="AG792" s="72">
        <v>0.996956439033669</v>
      </c>
      <c r="AH792" s="74">
        <v>0.92</v>
      </c>
      <c r="AI792" s="72">
        <v>0.908441831163377</v>
      </c>
      <c r="AJ792" s="72">
        <v>0.951052150045746</v>
      </c>
      <c r="AK792" s="72">
        <v>0.960999123575811</v>
      </c>
      <c r="AL792" s="72">
        <v>0.951831266923187</v>
      </c>
      <c r="AM792" s="71">
        <v>0.99</v>
      </c>
      <c r="AN792" s="76">
        <v>1</v>
      </c>
      <c r="AO792" s="76">
        <v>1</v>
      </c>
      <c r="AP792" s="76">
        <v>1</v>
      </c>
      <c r="AQ792" s="76">
        <v>1</v>
      </c>
      <c r="AR792" s="96">
        <v>0.0810595228934205</v>
      </c>
      <c r="AS792" s="80">
        <v>0</v>
      </c>
      <c r="AT792" s="80">
        <v>0.111111111111111</v>
      </c>
      <c r="AU792" s="80">
        <v>0.4</v>
      </c>
      <c r="AV792" s="80">
        <v>0.0533333333333333</v>
      </c>
      <c r="AW792" s="36"/>
      <c r="AX792" s="34"/>
    </row>
    <row r="793" ht="14.5" spans="1:50">
      <c r="A793" s="32"/>
      <c r="B793" s="36"/>
      <c r="C793" s="91" t="s">
        <v>693</v>
      </c>
      <c r="D793" s="69" t="s">
        <v>21</v>
      </c>
      <c r="E793" s="114" t="s">
        <v>844</v>
      </c>
      <c r="F793" s="114" t="s">
        <v>844</v>
      </c>
      <c r="G793" s="114" t="s">
        <v>844</v>
      </c>
      <c r="H793" s="114" t="s">
        <v>844</v>
      </c>
      <c r="I793" s="71">
        <v>0.9</v>
      </c>
      <c r="J793" s="72">
        <v>0.761904761904762</v>
      </c>
      <c r="K793" s="72">
        <v>0.956521739130435</v>
      </c>
      <c r="L793" s="73">
        <v>0.88</v>
      </c>
      <c r="M793" s="72">
        <v>0.902912621359223</v>
      </c>
      <c r="N793" s="74">
        <v>0.9</v>
      </c>
      <c r="O793" s="72">
        <v>0.928319030792529</v>
      </c>
      <c r="P793" s="72">
        <v>0.937362637362637</v>
      </c>
      <c r="Q793" s="72">
        <v>0.939330543933054</v>
      </c>
      <c r="R793" s="72">
        <v>0.936415161176054</v>
      </c>
      <c r="S793" s="74">
        <v>0.9</v>
      </c>
      <c r="T793" s="72">
        <v>0.880363452801615</v>
      </c>
      <c r="U793" s="72">
        <v>0.922527472527473</v>
      </c>
      <c r="V793" s="72">
        <v>0.916317991631799</v>
      </c>
      <c r="W793" s="72">
        <v>0.914039437950171</v>
      </c>
      <c r="X793" s="74">
        <v>0.92</v>
      </c>
      <c r="Y793" s="74">
        <v>0.883196721311475</v>
      </c>
      <c r="Z793" s="74">
        <v>0.908704883227176</v>
      </c>
      <c r="AA793" s="74">
        <v>0.855960264900662</v>
      </c>
      <c r="AB793" s="74">
        <v>0.909596067535798</v>
      </c>
      <c r="AC793" s="74">
        <v>0.92</v>
      </c>
      <c r="AD793" s="72">
        <v>0.998487140695915</v>
      </c>
      <c r="AE793" s="72">
        <v>0.996102883865939</v>
      </c>
      <c r="AF793" s="72">
        <v>0.992516370439663</v>
      </c>
      <c r="AG793" s="72">
        <v>0.993744668751777</v>
      </c>
      <c r="AH793" s="74">
        <v>0.92</v>
      </c>
      <c r="AI793" s="72">
        <v>0.91023048928427</v>
      </c>
      <c r="AJ793" s="72">
        <v>0.950762527233115</v>
      </c>
      <c r="AK793" s="72">
        <v>0.936085748312823</v>
      </c>
      <c r="AL793" s="72">
        <v>0.941355885207265</v>
      </c>
      <c r="AM793" s="71">
        <v>0.99</v>
      </c>
      <c r="AN793" s="76">
        <v>1</v>
      </c>
      <c r="AO793" s="76">
        <v>1</v>
      </c>
      <c r="AP793" s="76">
        <v>1</v>
      </c>
      <c r="AQ793" s="76">
        <v>1</v>
      </c>
      <c r="AR793" s="96">
        <v>0.0810595228934205</v>
      </c>
      <c r="AS793" s="80">
        <v>0.0625</v>
      </c>
      <c r="AT793" s="80">
        <v>0.0555555555555556</v>
      </c>
      <c r="AU793" s="80">
        <v>0</v>
      </c>
      <c r="AV793" s="80">
        <v>0.0304878048780488</v>
      </c>
      <c r="AW793" s="36"/>
      <c r="AX793" s="34"/>
    </row>
    <row r="794" ht="14.5" spans="1:50">
      <c r="A794" s="32"/>
      <c r="B794" s="36"/>
      <c r="C794" s="91" t="s">
        <v>693</v>
      </c>
      <c r="D794" s="69" t="s">
        <v>21</v>
      </c>
      <c r="E794" s="114" t="s">
        <v>845</v>
      </c>
      <c r="F794" s="114" t="s">
        <v>845</v>
      </c>
      <c r="G794" s="114" t="s">
        <v>845</v>
      </c>
      <c r="H794" s="114" t="s">
        <v>845</v>
      </c>
      <c r="I794" s="71">
        <v>0.9</v>
      </c>
      <c r="J794" s="72">
        <v>0.758620689655172</v>
      </c>
      <c r="K794" s="72">
        <v>0.875</v>
      </c>
      <c r="L794" s="73">
        <v>0.774193548387097</v>
      </c>
      <c r="M794" s="72">
        <v>0.791044776119403</v>
      </c>
      <c r="N794" s="74">
        <v>0.9</v>
      </c>
      <c r="O794" s="72">
        <v>0.930670685757347</v>
      </c>
      <c r="P794" s="72">
        <v>0.952772073921971</v>
      </c>
      <c r="Q794" s="72">
        <v>0.965761511216057</v>
      </c>
      <c r="R794" s="72">
        <v>0.954978836205054</v>
      </c>
      <c r="S794" s="74">
        <v>0.9</v>
      </c>
      <c r="T794" s="72">
        <v>0.907686510926903</v>
      </c>
      <c r="U794" s="72">
        <v>0.919917864476386</v>
      </c>
      <c r="V794" s="72">
        <v>0.939393939393939</v>
      </c>
      <c r="W794" s="72">
        <v>0.921971867117021</v>
      </c>
      <c r="X794" s="74">
        <v>0.92</v>
      </c>
      <c r="Y794" s="74">
        <v>0.884955752212389</v>
      </c>
      <c r="Z794" s="74">
        <v>0.917151162790698</v>
      </c>
      <c r="AA794" s="74">
        <v>0.924164524421594</v>
      </c>
      <c r="AB794" s="74">
        <v>0.899593368783234</v>
      </c>
      <c r="AC794" s="74">
        <v>0.92</v>
      </c>
      <c r="AD794" s="72">
        <v>0.992592592592593</v>
      </c>
      <c r="AE794" s="72">
        <v>1</v>
      </c>
      <c r="AF794" s="72">
        <v>0.99501246882793</v>
      </c>
      <c r="AG794" s="72">
        <v>0.995245245245245</v>
      </c>
      <c r="AH794" s="74">
        <v>0.92</v>
      </c>
      <c r="AI794" s="72">
        <v>0.950480192076831</v>
      </c>
      <c r="AJ794" s="72">
        <v>0.961575408261287</v>
      </c>
      <c r="AK794" s="72">
        <v>0.965382299819386</v>
      </c>
      <c r="AL794" s="72">
        <v>0.959650889560255</v>
      </c>
      <c r="AM794" s="71">
        <v>0.99</v>
      </c>
      <c r="AN794" s="76">
        <v>1</v>
      </c>
      <c r="AO794" s="76">
        <v>1</v>
      </c>
      <c r="AP794" s="76">
        <v>1</v>
      </c>
      <c r="AQ794" s="76">
        <v>1</v>
      </c>
      <c r="AR794" s="96">
        <v>0.0810595228934205</v>
      </c>
      <c r="AS794" s="80">
        <v>0</v>
      </c>
      <c r="AT794" s="80">
        <v>0.117647058823529</v>
      </c>
      <c r="AU794" s="80">
        <v>0.111111111111111</v>
      </c>
      <c r="AV794" s="80">
        <v>0.0840336134453782</v>
      </c>
      <c r="AW794" s="36"/>
      <c r="AX794" s="34"/>
    </row>
    <row r="795" ht="14.5" spans="1:50">
      <c r="A795" s="32"/>
      <c r="B795" s="36"/>
      <c r="C795" s="91" t="s">
        <v>693</v>
      </c>
      <c r="D795" s="69" t="s">
        <v>21</v>
      </c>
      <c r="E795" s="114" t="s">
        <v>846</v>
      </c>
      <c r="F795" s="114" t="s">
        <v>846</v>
      </c>
      <c r="G795" s="114" t="s">
        <v>846</v>
      </c>
      <c r="H795" s="114" t="s">
        <v>846</v>
      </c>
      <c r="I795" s="71">
        <v>0.9</v>
      </c>
      <c r="J795" s="72">
        <v>0.818181818181818</v>
      </c>
      <c r="K795" s="72">
        <v>0.782608695652174</v>
      </c>
      <c r="L795" s="73">
        <v>0.782608695652174</v>
      </c>
      <c r="M795" s="72">
        <v>0.864321608040201</v>
      </c>
      <c r="N795" s="74">
        <v>0.9</v>
      </c>
      <c r="O795" s="72">
        <v>0.864878803506962</v>
      </c>
      <c r="P795" s="72">
        <v>0.944507361268403</v>
      </c>
      <c r="Q795" s="72">
        <v>0.939017808958446</v>
      </c>
      <c r="R795" s="72">
        <v>0.920540349221331</v>
      </c>
      <c r="S795" s="74">
        <v>0.9</v>
      </c>
      <c r="T795" s="72">
        <v>0.891696750902527</v>
      </c>
      <c r="U795" s="72">
        <v>0.933182332955832</v>
      </c>
      <c r="V795" s="72">
        <v>0.934160820291419</v>
      </c>
      <c r="W795" s="72">
        <v>0.911632845681925</v>
      </c>
      <c r="X795" s="74">
        <v>0.92</v>
      </c>
      <c r="Y795" s="74">
        <v>0.836466165413534</v>
      </c>
      <c r="Z795" s="74">
        <v>0.92479674796748</v>
      </c>
      <c r="AA795" s="74">
        <v>0.919210053859964</v>
      </c>
      <c r="AB795" s="74">
        <v>0.889962200755985</v>
      </c>
      <c r="AC795" s="74">
        <v>0.92</v>
      </c>
      <c r="AD795" s="72">
        <v>0.998307952622673</v>
      </c>
      <c r="AE795" s="72">
        <v>0.99868073878628</v>
      </c>
      <c r="AF795" s="72">
        <v>0.990842490842491</v>
      </c>
      <c r="AG795" s="72">
        <v>0.992974612805365</v>
      </c>
      <c r="AH795" s="74">
        <v>0.92</v>
      </c>
      <c r="AI795" s="72">
        <v>0.923450789793439</v>
      </c>
      <c r="AJ795" s="72">
        <v>0.963716814159292</v>
      </c>
      <c r="AK795" s="72">
        <v>0.956449605972626</v>
      </c>
      <c r="AL795" s="72">
        <v>0.946380080084687</v>
      </c>
      <c r="AM795" s="71">
        <v>0.99</v>
      </c>
      <c r="AN795" s="76">
        <v>1</v>
      </c>
      <c r="AO795" s="76">
        <v>1</v>
      </c>
      <c r="AP795" s="76">
        <v>1</v>
      </c>
      <c r="AQ795" s="76">
        <v>1</v>
      </c>
      <c r="AR795" s="96">
        <v>0.0810595228934205</v>
      </c>
      <c r="AS795" s="80">
        <v>0.142857142857143</v>
      </c>
      <c r="AT795" s="80">
        <v>0</v>
      </c>
      <c r="AU795" s="80">
        <v>0.125</v>
      </c>
      <c r="AV795" s="80">
        <v>0.0444444444444444</v>
      </c>
      <c r="AW795" s="36"/>
      <c r="AX795" s="34"/>
    </row>
    <row r="796" ht="14.5" spans="1:50">
      <c r="A796" s="32"/>
      <c r="B796" s="36"/>
      <c r="C796" s="91" t="s">
        <v>693</v>
      </c>
      <c r="D796" s="69" t="s">
        <v>21</v>
      </c>
      <c r="E796" s="114" t="s">
        <v>847</v>
      </c>
      <c r="F796" s="114" t="s">
        <v>847</v>
      </c>
      <c r="G796" s="114" t="s">
        <v>847</v>
      </c>
      <c r="H796" s="114" t="s">
        <v>847</v>
      </c>
      <c r="I796" s="71">
        <v>0.9</v>
      </c>
      <c r="J796" s="72">
        <v>0.666666666666667</v>
      </c>
      <c r="K796" s="72">
        <v>0.8</v>
      </c>
      <c r="L796" s="73">
        <v>0.714285714285714</v>
      </c>
      <c r="M796" s="72">
        <v>0.737704918032787</v>
      </c>
      <c r="N796" s="74">
        <v>0.9</v>
      </c>
      <c r="O796" s="72">
        <v>0.912289395441031</v>
      </c>
      <c r="P796" s="72">
        <v>0.924008810572687</v>
      </c>
      <c r="Q796" s="72">
        <v>0.940797186400938</v>
      </c>
      <c r="R796" s="72">
        <v>0.923659497122084</v>
      </c>
      <c r="S796" s="74">
        <v>0.9</v>
      </c>
      <c r="T796" s="72">
        <v>0.897423191278494</v>
      </c>
      <c r="U796" s="72">
        <v>0.926211453744493</v>
      </c>
      <c r="V796" s="72">
        <v>0.937866354044549</v>
      </c>
      <c r="W796" s="72">
        <v>0.919539533474705</v>
      </c>
      <c r="X796" s="74">
        <v>0.92</v>
      </c>
      <c r="Y796" s="74">
        <v>0.835689045936396</v>
      </c>
      <c r="Z796" s="74">
        <v>0.932515337423313</v>
      </c>
      <c r="AA796" s="74">
        <v>0.917721518987342</v>
      </c>
      <c r="AB796" s="74">
        <v>0.916121758737317</v>
      </c>
      <c r="AC796" s="74">
        <v>0.92</v>
      </c>
      <c r="AD796" s="72">
        <v>0.993401015228426</v>
      </c>
      <c r="AE796" s="72">
        <v>0.988532110091743</v>
      </c>
      <c r="AF796" s="72">
        <v>0.995689655172414</v>
      </c>
      <c r="AG796" s="72">
        <v>0.99381133962618</v>
      </c>
      <c r="AH796" s="74">
        <v>0.92</v>
      </c>
      <c r="AI796" s="72">
        <v>0.929980657640232</v>
      </c>
      <c r="AJ796" s="72">
        <v>0.965756393584742</v>
      </c>
      <c r="AK796" s="72">
        <v>0.960164835164835</v>
      </c>
      <c r="AL796" s="72">
        <v>0.958474535821679</v>
      </c>
      <c r="AM796" s="71">
        <v>0.99</v>
      </c>
      <c r="AN796" s="76">
        <v>1</v>
      </c>
      <c r="AO796" s="76">
        <v>1</v>
      </c>
      <c r="AP796" s="76">
        <v>1</v>
      </c>
      <c r="AQ796" s="76">
        <v>1</v>
      </c>
      <c r="AR796" s="96">
        <v>0.0810595228934205</v>
      </c>
      <c r="AS796" s="80">
        <v>0</v>
      </c>
      <c r="AT796" s="80">
        <v>0</v>
      </c>
      <c r="AU796" s="80">
        <v>0</v>
      </c>
      <c r="AV796" s="80">
        <v>0.0476190476190476</v>
      </c>
      <c r="AW796" s="36"/>
      <c r="AX796" s="34"/>
    </row>
    <row r="797" ht="14.5" spans="1:50">
      <c r="A797" s="32"/>
      <c r="B797" s="36"/>
      <c r="C797" s="91" t="s">
        <v>693</v>
      </c>
      <c r="D797" s="69" t="s">
        <v>21</v>
      </c>
      <c r="E797" s="114" t="s">
        <v>848</v>
      </c>
      <c r="F797" s="114" t="s">
        <v>848</v>
      </c>
      <c r="G797" s="114" t="s">
        <v>848</v>
      </c>
      <c r="H797" s="114" t="s">
        <v>848</v>
      </c>
      <c r="I797" s="71">
        <v>0.9</v>
      </c>
      <c r="J797" s="72">
        <v>0.846153846153846</v>
      </c>
      <c r="K797" s="72">
        <v>0.923076923076923</v>
      </c>
      <c r="L797" s="73">
        <v>1</v>
      </c>
      <c r="M797" s="72">
        <v>0.869918699186992</v>
      </c>
      <c r="N797" s="74">
        <v>0.9</v>
      </c>
      <c r="O797" s="72">
        <v>0.894849785407725</v>
      </c>
      <c r="P797" s="72">
        <v>0.944209636517329</v>
      </c>
      <c r="Q797" s="72">
        <v>0.949055053410025</v>
      </c>
      <c r="R797" s="72">
        <v>0.938772048846676</v>
      </c>
      <c r="S797" s="74">
        <v>0.9</v>
      </c>
      <c r="T797" s="72">
        <v>0.920600858369099</v>
      </c>
      <c r="U797" s="72">
        <v>0.931530008453085</v>
      </c>
      <c r="V797" s="72">
        <v>0.910435497124076</v>
      </c>
      <c r="W797" s="72">
        <v>0.923846675712347</v>
      </c>
      <c r="X797" s="74">
        <v>0.92</v>
      </c>
      <c r="Y797" s="74">
        <v>0.887399463806971</v>
      </c>
      <c r="Z797" s="74">
        <v>0.9533527696793</v>
      </c>
      <c r="AA797" s="74">
        <v>0.93048128342246</v>
      </c>
      <c r="AB797" s="74">
        <v>0.921782486755999</v>
      </c>
      <c r="AC797" s="74">
        <v>0.92</v>
      </c>
      <c r="AD797" s="72">
        <v>0.995327102803738</v>
      </c>
      <c r="AE797" s="72">
        <v>0.9957805907173</v>
      </c>
      <c r="AF797" s="72">
        <v>0.990740740740741</v>
      </c>
      <c r="AG797" s="72">
        <v>0.996517027863777</v>
      </c>
      <c r="AH797" s="74">
        <v>0.92</v>
      </c>
      <c r="AI797" s="72">
        <v>0.949238578680203</v>
      </c>
      <c r="AJ797" s="72">
        <v>0.966623036649215</v>
      </c>
      <c r="AK797" s="72">
        <v>0.96105527638191</v>
      </c>
      <c r="AL797" s="72">
        <v>0.957764306175471</v>
      </c>
      <c r="AM797" s="71">
        <v>0.99</v>
      </c>
      <c r="AN797" s="76">
        <v>1</v>
      </c>
      <c r="AO797" s="76">
        <v>1</v>
      </c>
      <c r="AP797" s="76">
        <v>1</v>
      </c>
      <c r="AQ797" s="76">
        <v>1</v>
      </c>
      <c r="AR797" s="96">
        <v>0.0810595228934205</v>
      </c>
      <c r="AS797" s="80">
        <v>0</v>
      </c>
      <c r="AT797" s="80">
        <v>0.142857142857143</v>
      </c>
      <c r="AU797" s="80">
        <v>1</v>
      </c>
      <c r="AV797" s="80">
        <v>0.12962962962963</v>
      </c>
      <c r="AW797" s="36"/>
      <c r="AX797" s="34"/>
    </row>
    <row r="798" ht="14.5" spans="1:50">
      <c r="A798" s="32"/>
      <c r="B798" s="36"/>
      <c r="C798" s="91" t="s">
        <v>693</v>
      </c>
      <c r="D798" s="69" t="s">
        <v>21</v>
      </c>
      <c r="E798" s="114" t="s">
        <v>849</v>
      </c>
      <c r="F798" s="114" t="s">
        <v>849</v>
      </c>
      <c r="G798" s="114" t="s">
        <v>849</v>
      </c>
      <c r="H798" s="114" t="s">
        <v>849</v>
      </c>
      <c r="I798" s="71">
        <v>0.9</v>
      </c>
      <c r="J798" s="72">
        <v>0.944444444444444</v>
      </c>
      <c r="K798" s="72">
        <v>0.833333333333333</v>
      </c>
      <c r="L798" s="73">
        <v>0.9</v>
      </c>
      <c r="M798" s="72">
        <v>0.888888888888889</v>
      </c>
      <c r="N798" s="74">
        <v>0.9</v>
      </c>
      <c r="O798" s="72">
        <v>0.953637660485021</v>
      </c>
      <c r="P798" s="72">
        <v>0.966317365269461</v>
      </c>
      <c r="Q798" s="72">
        <v>0.965361445783133</v>
      </c>
      <c r="R798" s="72">
        <v>0.955305413011091</v>
      </c>
      <c r="S798" s="74">
        <v>0.9</v>
      </c>
      <c r="T798" s="72">
        <v>0.930099857346648</v>
      </c>
      <c r="U798" s="72">
        <v>0.905688622754491</v>
      </c>
      <c r="V798" s="72">
        <v>0.955572289156627</v>
      </c>
      <c r="W798" s="72">
        <v>0.945042211554378</v>
      </c>
      <c r="X798" s="74">
        <v>0.92</v>
      </c>
      <c r="Y798" s="74">
        <v>0.914425427872861</v>
      </c>
      <c r="Z798" s="74">
        <v>0.941011235955056</v>
      </c>
      <c r="AA798" s="74">
        <v>0.966587112171838</v>
      </c>
      <c r="AB798" s="74">
        <v>0.94868804664723</v>
      </c>
      <c r="AC798" s="74">
        <v>0.92</v>
      </c>
      <c r="AD798" s="72">
        <v>0.997928748964374</v>
      </c>
      <c r="AE798" s="72">
        <v>0.997004867090977</v>
      </c>
      <c r="AF798" s="72">
        <v>0.999230473258946</v>
      </c>
      <c r="AG798" s="72">
        <v>0.994345152103026</v>
      </c>
      <c r="AH798" s="74">
        <v>0.92</v>
      </c>
      <c r="AI798" s="72">
        <v>0.944781888459415</v>
      </c>
      <c r="AJ798" s="72">
        <v>0.966922622563497</v>
      </c>
      <c r="AK798" s="72">
        <v>0.969714285714286</v>
      </c>
      <c r="AL798" s="72">
        <v>0.966441223832528</v>
      </c>
      <c r="AM798" s="71">
        <v>0.99</v>
      </c>
      <c r="AN798" s="76">
        <v>1</v>
      </c>
      <c r="AO798" s="76">
        <v>1</v>
      </c>
      <c r="AP798" s="76">
        <v>1</v>
      </c>
      <c r="AQ798" s="76">
        <v>1</v>
      </c>
      <c r="AR798" s="96">
        <v>0.0810595228934205</v>
      </c>
      <c r="AS798" s="80">
        <v>0</v>
      </c>
      <c r="AT798" s="80">
        <v>0</v>
      </c>
      <c r="AU798" s="80">
        <v>0</v>
      </c>
      <c r="AV798" s="80">
        <v>0.0434782608695652</v>
      </c>
      <c r="AW798" s="36"/>
      <c r="AX798" s="34"/>
    </row>
    <row r="799" ht="14.5" spans="1:50">
      <c r="A799" s="32"/>
      <c r="B799" s="36"/>
      <c r="C799" s="91" t="s">
        <v>693</v>
      </c>
      <c r="D799" s="69" t="s">
        <v>21</v>
      </c>
      <c r="E799" s="114" t="s">
        <v>850</v>
      </c>
      <c r="F799" s="114" t="s">
        <v>850</v>
      </c>
      <c r="G799" s="114" t="s">
        <v>850</v>
      </c>
      <c r="H799" s="114" t="s">
        <v>850</v>
      </c>
      <c r="I799" s="71">
        <v>0.9</v>
      </c>
      <c r="J799" s="72">
        <v>0.789473684210526</v>
      </c>
      <c r="K799" s="72">
        <v>0.825396825396825</v>
      </c>
      <c r="L799" s="73">
        <v>0.848484848484849</v>
      </c>
      <c r="M799" s="72">
        <v>0.846715328467153</v>
      </c>
      <c r="N799" s="74">
        <v>0.9</v>
      </c>
      <c r="O799" s="72">
        <v>0.912684553103667</v>
      </c>
      <c r="P799" s="72">
        <v>0.902687989111943</v>
      </c>
      <c r="Q799" s="72">
        <v>0.950671140939597</v>
      </c>
      <c r="R799" s="72">
        <v>0.920795287748527</v>
      </c>
      <c r="S799" s="74">
        <v>0.9</v>
      </c>
      <c r="T799" s="72">
        <v>0.896491506588347</v>
      </c>
      <c r="U799" s="72">
        <v>0.89316093909493</v>
      </c>
      <c r="V799" s="72">
        <v>0.934731543624161</v>
      </c>
      <c r="W799" s="72">
        <v>0.907241846013077</v>
      </c>
      <c r="X799" s="74">
        <v>0.92</v>
      </c>
      <c r="Y799" s="74">
        <v>0.924300254452926</v>
      </c>
      <c r="Z799" s="74">
        <v>0.920571428571429</v>
      </c>
      <c r="AA799" s="74">
        <v>0.93903743315508</v>
      </c>
      <c r="AB799" s="74">
        <v>0.935773347862316</v>
      </c>
      <c r="AC799" s="74">
        <v>0.92</v>
      </c>
      <c r="AD799" s="72">
        <v>0.991666666666667</v>
      </c>
      <c r="AE799" s="72">
        <v>0.980891719745223</v>
      </c>
      <c r="AF799" s="72">
        <v>0.967741935483871</v>
      </c>
      <c r="AG799" s="72">
        <v>0.97661446041622</v>
      </c>
      <c r="AH799" s="74">
        <v>0.92</v>
      </c>
      <c r="AI799" s="72">
        <v>0.944359756097561</v>
      </c>
      <c r="AJ799" s="72">
        <v>0.952031454783748</v>
      </c>
      <c r="AK799" s="72">
        <v>0.963984674329502</v>
      </c>
      <c r="AL799" s="72">
        <v>0.956775975552421</v>
      </c>
      <c r="AM799" s="71">
        <v>0.99</v>
      </c>
      <c r="AN799" s="76">
        <v>1</v>
      </c>
      <c r="AO799" s="76">
        <v>1</v>
      </c>
      <c r="AP799" s="76">
        <v>1</v>
      </c>
      <c r="AQ799" s="76">
        <v>1</v>
      </c>
      <c r="AR799" s="96">
        <v>0.0810595228934205</v>
      </c>
      <c r="AS799" s="80">
        <v>0</v>
      </c>
      <c r="AT799" s="80">
        <v>0.0857142857142857</v>
      </c>
      <c r="AU799" s="80">
        <v>0.0555555555555556</v>
      </c>
      <c r="AV799" s="80">
        <v>0.0314685314685315</v>
      </c>
      <c r="AW799" s="36"/>
      <c r="AX799" s="34"/>
    </row>
    <row r="800" ht="14.5" spans="1:50">
      <c r="A800" s="32"/>
      <c r="B800" s="36"/>
      <c r="C800" s="91" t="s">
        <v>693</v>
      </c>
      <c r="D800" s="69" t="s">
        <v>21</v>
      </c>
      <c r="E800" s="114" t="s">
        <v>851</v>
      </c>
      <c r="F800" s="114" t="s">
        <v>851</v>
      </c>
      <c r="G800" s="114" t="s">
        <v>851</v>
      </c>
      <c r="H800" s="114" t="s">
        <v>851</v>
      </c>
      <c r="I800" s="71">
        <v>0.9</v>
      </c>
      <c r="J800" s="72">
        <v>0.888888888888889</v>
      </c>
      <c r="K800" s="72">
        <v>0.761904761904762</v>
      </c>
      <c r="L800" s="73">
        <v>0.947368421052632</v>
      </c>
      <c r="M800" s="72">
        <v>0.892045454545455</v>
      </c>
      <c r="N800" s="74">
        <v>0.9</v>
      </c>
      <c r="O800" s="72">
        <v>0.9572877736252</v>
      </c>
      <c r="P800" s="72">
        <v>0.918413597733711</v>
      </c>
      <c r="Q800" s="72">
        <v>0.879498364231189</v>
      </c>
      <c r="R800" s="72">
        <v>0.928091565065937</v>
      </c>
      <c r="S800" s="74">
        <v>0.9</v>
      </c>
      <c r="T800" s="72">
        <v>0.90923651895355</v>
      </c>
      <c r="U800" s="72">
        <v>0.920113314447592</v>
      </c>
      <c r="V800" s="72">
        <v>0.89803707742639</v>
      </c>
      <c r="W800" s="72">
        <v>0.906693207265489</v>
      </c>
      <c r="X800" s="74">
        <v>0.92</v>
      </c>
      <c r="Y800" s="74">
        <v>0.941787941787942</v>
      </c>
      <c r="Z800" s="74">
        <v>0.903885480572597</v>
      </c>
      <c r="AA800" s="74">
        <v>0.94413407821229</v>
      </c>
      <c r="AB800" s="74">
        <v>0.923612576492931</v>
      </c>
      <c r="AC800" s="74">
        <v>0.92</v>
      </c>
      <c r="AD800" s="72">
        <v>0.993710691823899</v>
      </c>
      <c r="AE800" s="72">
        <v>0.991701244813278</v>
      </c>
      <c r="AF800" s="72">
        <v>1</v>
      </c>
      <c r="AG800" s="72">
        <v>0.989907485281749</v>
      </c>
      <c r="AH800" s="74">
        <v>0.92</v>
      </c>
      <c r="AI800" s="72">
        <v>0.966015293118097</v>
      </c>
      <c r="AJ800" s="72">
        <v>0.952528837622005</v>
      </c>
      <c r="AK800" s="72">
        <v>0.964993673555462</v>
      </c>
      <c r="AL800" s="72">
        <v>0.955853389057021</v>
      </c>
      <c r="AM800" s="71">
        <v>0.99</v>
      </c>
      <c r="AN800" s="76">
        <v>1</v>
      </c>
      <c r="AO800" s="76">
        <v>1</v>
      </c>
      <c r="AP800" s="76">
        <v>1</v>
      </c>
      <c r="AQ800" s="76">
        <v>1</v>
      </c>
      <c r="AR800" s="96">
        <v>0.0810595228934205</v>
      </c>
      <c r="AS800" s="80">
        <v>0</v>
      </c>
      <c r="AT800" s="80">
        <v>0</v>
      </c>
      <c r="AU800" s="80">
        <v>0.0833333333333333</v>
      </c>
      <c r="AV800" s="80">
        <v>0.0434782608695652</v>
      </c>
      <c r="AW800" s="36"/>
      <c r="AX800" s="34"/>
    </row>
    <row r="801" ht="14.5" spans="1:50">
      <c r="A801" s="32"/>
      <c r="B801" s="36"/>
      <c r="C801" s="91" t="s">
        <v>693</v>
      </c>
      <c r="D801" s="69" t="s">
        <v>21</v>
      </c>
      <c r="E801" s="114" t="s">
        <v>852</v>
      </c>
      <c r="F801" s="114" t="s">
        <v>852</v>
      </c>
      <c r="G801" s="114" t="s">
        <v>852</v>
      </c>
      <c r="H801" s="114" t="s">
        <v>852</v>
      </c>
      <c r="I801" s="71">
        <v>0.9</v>
      </c>
      <c r="J801" s="72">
        <v>0.9375</v>
      </c>
      <c r="K801" s="72">
        <v>0.842105263157895</v>
      </c>
      <c r="L801" s="73">
        <v>0.947368421052632</v>
      </c>
      <c r="M801" s="72">
        <v>0.943037974683544</v>
      </c>
      <c r="N801" s="74">
        <v>0.9</v>
      </c>
      <c r="O801" s="72">
        <v>0.90210970464135</v>
      </c>
      <c r="P801" s="72">
        <v>0.928571428571429</v>
      </c>
      <c r="Q801" s="72">
        <v>0.923112338858195</v>
      </c>
      <c r="R801" s="72">
        <v>0.913941391564093</v>
      </c>
      <c r="S801" s="74">
        <v>0.9</v>
      </c>
      <c r="T801" s="72">
        <v>0.90379746835443</v>
      </c>
      <c r="U801" s="72">
        <v>0.917808219178082</v>
      </c>
      <c r="V801" s="72">
        <v>0.934622467771639</v>
      </c>
      <c r="W801" s="72">
        <v>0.913632383993408</v>
      </c>
      <c r="X801" s="74">
        <v>0.92</v>
      </c>
      <c r="Y801" s="74">
        <v>0.799638989169675</v>
      </c>
      <c r="Z801" s="74">
        <v>0.90299823633157</v>
      </c>
      <c r="AA801" s="74">
        <v>0.912396694214876</v>
      </c>
      <c r="AB801" s="74">
        <v>0.895090909090909</v>
      </c>
      <c r="AC801" s="74">
        <v>0.92</v>
      </c>
      <c r="AD801" s="72">
        <v>0.996977837474815</v>
      </c>
      <c r="AE801" s="72">
        <v>0.944474539544962</v>
      </c>
      <c r="AF801" s="72">
        <v>0.995068493150685</v>
      </c>
      <c r="AG801" s="72">
        <v>0.964904016016959</v>
      </c>
      <c r="AH801" s="74">
        <v>0.92</v>
      </c>
      <c r="AI801" s="72">
        <v>0.916894664842681</v>
      </c>
      <c r="AJ801" s="72">
        <v>0.946763692072003</v>
      </c>
      <c r="AK801" s="72">
        <v>0.954283657307415</v>
      </c>
      <c r="AL801" s="72">
        <v>0.943296279947028</v>
      </c>
      <c r="AM801" s="71">
        <v>0.99</v>
      </c>
      <c r="AN801" s="76">
        <v>1</v>
      </c>
      <c r="AO801" s="76">
        <v>1</v>
      </c>
      <c r="AP801" s="76">
        <v>1</v>
      </c>
      <c r="AQ801" s="76">
        <v>1</v>
      </c>
      <c r="AR801" s="96">
        <v>0.0810595228934205</v>
      </c>
      <c r="AS801" s="80">
        <v>0</v>
      </c>
      <c r="AT801" s="80">
        <v>0</v>
      </c>
      <c r="AU801" s="80">
        <v>0.2</v>
      </c>
      <c r="AV801" s="80">
        <v>0.0566037735849057</v>
      </c>
      <c r="AW801" s="36"/>
      <c r="AX801" s="34"/>
    </row>
    <row r="802" ht="14.5" spans="1:50">
      <c r="A802" s="32"/>
      <c r="B802" s="36"/>
      <c r="C802" s="91" t="s">
        <v>693</v>
      </c>
      <c r="D802" s="69" t="s">
        <v>21</v>
      </c>
      <c r="E802" s="114" t="s">
        <v>853</v>
      </c>
      <c r="F802" s="114" t="s">
        <v>853</v>
      </c>
      <c r="G802" s="114" t="s">
        <v>853</v>
      </c>
      <c r="H802" s="114" t="s">
        <v>853</v>
      </c>
      <c r="I802" s="71">
        <v>0.9</v>
      </c>
      <c r="J802" s="72">
        <v>0.909090909090909</v>
      </c>
      <c r="K802" s="72">
        <v>0.8</v>
      </c>
      <c r="L802" s="73">
        <v>0.772727272727273</v>
      </c>
      <c r="M802" s="72">
        <v>0.841584158415842</v>
      </c>
      <c r="N802" s="74">
        <v>0.9</v>
      </c>
      <c r="O802" s="72">
        <v>0.874742480428513</v>
      </c>
      <c r="P802" s="72">
        <v>0.932748538011696</v>
      </c>
      <c r="Q802" s="72">
        <v>0.927529411764706</v>
      </c>
      <c r="R802" s="72">
        <v>0.908073582013286</v>
      </c>
      <c r="S802" s="74">
        <v>0.9</v>
      </c>
      <c r="T802" s="72">
        <v>0.872682323856613</v>
      </c>
      <c r="U802" s="72">
        <v>0.900584795321637</v>
      </c>
      <c r="V802" s="72">
        <v>0.872941176470588</v>
      </c>
      <c r="W802" s="72">
        <v>0.85947879407256</v>
      </c>
      <c r="X802" s="74">
        <v>0.92</v>
      </c>
      <c r="Y802" s="74">
        <v>0.896607431340872</v>
      </c>
      <c r="Z802" s="74">
        <v>0.933560477001704</v>
      </c>
      <c r="AA802" s="74">
        <v>0.904761904761905</v>
      </c>
      <c r="AB802" s="74">
        <v>0.91056338028169</v>
      </c>
      <c r="AC802" s="74">
        <v>0.92</v>
      </c>
      <c r="AD802" s="72">
        <v>0.997206703910614</v>
      </c>
      <c r="AE802" s="72">
        <v>0.986692015209126</v>
      </c>
      <c r="AF802" s="72">
        <v>0.991438356164384</v>
      </c>
      <c r="AG802" s="72">
        <v>0.982753900903367</v>
      </c>
      <c r="AH802" s="74">
        <v>0.92</v>
      </c>
      <c r="AI802" s="72">
        <v>0.918910045961917</v>
      </c>
      <c r="AJ802" s="72">
        <v>0.943560606060606</v>
      </c>
      <c r="AK802" s="72">
        <v>0.916396396396396</v>
      </c>
      <c r="AL802" s="72">
        <v>0.929258540833696</v>
      </c>
      <c r="AM802" s="71">
        <v>0.99</v>
      </c>
      <c r="AN802" s="76">
        <v>1</v>
      </c>
      <c r="AO802" s="76">
        <v>1</v>
      </c>
      <c r="AP802" s="76">
        <v>1</v>
      </c>
      <c r="AQ802" s="76">
        <v>1</v>
      </c>
      <c r="AR802" s="96">
        <v>0.0810595228934205</v>
      </c>
      <c r="AS802" s="80">
        <v>0</v>
      </c>
      <c r="AT802" s="80">
        <v>0</v>
      </c>
      <c r="AU802" s="80">
        <v>0</v>
      </c>
      <c r="AV802" s="80">
        <v>0.021505376344086</v>
      </c>
      <c r="AW802" s="36"/>
      <c r="AX802" s="34"/>
    </row>
    <row r="803" ht="14.5" spans="1:50">
      <c r="A803" s="32"/>
      <c r="B803" s="36"/>
      <c r="C803" s="91" t="s">
        <v>693</v>
      </c>
      <c r="D803" s="69" t="s">
        <v>21</v>
      </c>
      <c r="E803" s="114" t="s">
        <v>854</v>
      </c>
      <c r="F803" s="114" t="s">
        <v>854</v>
      </c>
      <c r="G803" s="114" t="s">
        <v>854</v>
      </c>
      <c r="H803" s="114" t="s">
        <v>854</v>
      </c>
      <c r="I803" s="71">
        <v>0.9</v>
      </c>
      <c r="J803" s="72">
        <v>1</v>
      </c>
      <c r="K803" s="72">
        <v>0.923076923076923</v>
      </c>
      <c r="L803" s="73">
        <v>0.962962962962963</v>
      </c>
      <c r="M803" s="72">
        <v>0.944206008583691</v>
      </c>
      <c r="N803" s="74">
        <v>0.9</v>
      </c>
      <c r="O803" s="72">
        <v>0.967514124293785</v>
      </c>
      <c r="P803" s="72">
        <v>0.956486704270749</v>
      </c>
      <c r="Q803" s="72">
        <v>0.924041297935103</v>
      </c>
      <c r="R803" s="72">
        <v>0.947451414933515</v>
      </c>
      <c r="S803" s="74">
        <v>0.9</v>
      </c>
      <c r="T803" s="72">
        <v>0.952683615819209</v>
      </c>
      <c r="U803" s="72">
        <v>0.930701047542305</v>
      </c>
      <c r="V803" s="72">
        <v>0.936209439528024</v>
      </c>
      <c r="W803" s="72">
        <v>0.937521309239686</v>
      </c>
      <c r="X803" s="74">
        <v>0.92</v>
      </c>
      <c r="Y803" s="74">
        <v>0.90295358649789</v>
      </c>
      <c r="Z803" s="74">
        <v>0.892857142857143</v>
      </c>
      <c r="AA803" s="74">
        <v>0.921465968586387</v>
      </c>
      <c r="AB803" s="74">
        <v>0.917842445620223</v>
      </c>
      <c r="AC803" s="74">
        <v>0.92</v>
      </c>
      <c r="AD803" s="72">
        <v>0.999651081646895</v>
      </c>
      <c r="AE803" s="72">
        <v>0.991190864600326</v>
      </c>
      <c r="AF803" s="72">
        <v>0.990306946688207</v>
      </c>
      <c r="AG803" s="72">
        <v>0.99143897996357</v>
      </c>
      <c r="AH803" s="74">
        <v>0.92</v>
      </c>
      <c r="AI803" s="72">
        <v>0.966422121896163</v>
      </c>
      <c r="AJ803" s="72">
        <v>0.957888120678818</v>
      </c>
      <c r="AK803" s="72">
        <v>0.967779056386651</v>
      </c>
      <c r="AL803" s="72">
        <v>0.964066318779312</v>
      </c>
      <c r="AM803" s="71">
        <v>0.99</v>
      </c>
      <c r="AN803" s="76">
        <v>1</v>
      </c>
      <c r="AO803" s="76">
        <v>1</v>
      </c>
      <c r="AP803" s="76">
        <v>1</v>
      </c>
      <c r="AQ803" s="76">
        <v>1</v>
      </c>
      <c r="AR803" s="96">
        <v>0.0810595228934205</v>
      </c>
      <c r="AS803" s="80">
        <v>0</v>
      </c>
      <c r="AT803" s="80">
        <v>0.1</v>
      </c>
      <c r="AU803" s="80">
        <v>0</v>
      </c>
      <c r="AV803" s="80">
        <v>0.0333333333333333</v>
      </c>
      <c r="AW803" s="36"/>
      <c r="AX803" s="34"/>
    </row>
    <row r="804" ht="14.5" spans="1:50">
      <c r="A804" s="32"/>
      <c r="B804" s="36"/>
      <c r="C804" s="91" t="s">
        <v>693</v>
      </c>
      <c r="D804" s="69" t="s">
        <v>21</v>
      </c>
      <c r="E804" s="114" t="s">
        <v>855</v>
      </c>
      <c r="F804" s="114" t="s">
        <v>855</v>
      </c>
      <c r="G804" s="114" t="s">
        <v>855</v>
      </c>
      <c r="H804" s="114" t="s">
        <v>855</v>
      </c>
      <c r="I804" s="71">
        <v>0.9</v>
      </c>
      <c r="J804" s="72">
        <v>0.6</v>
      </c>
      <c r="K804" s="72">
        <v>0.842105263157895</v>
      </c>
      <c r="L804" s="73">
        <v>0.772727272727273</v>
      </c>
      <c r="M804" s="72">
        <v>0.655737704918033</v>
      </c>
      <c r="N804" s="74">
        <v>0.9</v>
      </c>
      <c r="O804" s="72">
        <v>0.93525949705725</v>
      </c>
      <c r="P804" s="72">
        <v>0.919617762788083</v>
      </c>
      <c r="Q804" s="72">
        <v>0.827914798206278</v>
      </c>
      <c r="R804" s="72">
        <v>0.894460454691002</v>
      </c>
      <c r="S804" s="74">
        <v>0.9</v>
      </c>
      <c r="T804" s="72">
        <v>0.911717495987159</v>
      </c>
      <c r="U804" s="72">
        <v>0.892074198988196</v>
      </c>
      <c r="V804" s="72">
        <v>0.885089686098655</v>
      </c>
      <c r="W804" s="72">
        <v>0.889849503682357</v>
      </c>
      <c r="X804" s="74">
        <v>0.92</v>
      </c>
      <c r="Y804" s="74">
        <v>0.806</v>
      </c>
      <c r="Z804" s="74">
        <v>0.864970645792564</v>
      </c>
      <c r="AA804" s="74">
        <v>0.917307692307692</v>
      </c>
      <c r="AB804" s="74">
        <v>0.870899915895711</v>
      </c>
      <c r="AC804" s="74">
        <v>0.92</v>
      </c>
      <c r="AD804" s="72">
        <v>1</v>
      </c>
      <c r="AE804" s="72">
        <v>1</v>
      </c>
      <c r="AF804" s="72">
        <v>0.948275862068966</v>
      </c>
      <c r="AG804" s="72">
        <v>0.980427046263345</v>
      </c>
      <c r="AH804" s="74">
        <v>0.92</v>
      </c>
      <c r="AI804" s="72">
        <v>0.910548523206751</v>
      </c>
      <c r="AJ804" s="72">
        <v>0.908296943231441</v>
      </c>
      <c r="AK804" s="72">
        <v>0.940104166666667</v>
      </c>
      <c r="AL804" s="72">
        <v>0.923579071365466</v>
      </c>
      <c r="AM804" s="71">
        <v>0.99</v>
      </c>
      <c r="AN804" s="76">
        <v>1</v>
      </c>
      <c r="AO804" s="76">
        <v>1</v>
      </c>
      <c r="AP804" s="76">
        <v>1</v>
      </c>
      <c r="AQ804" s="76">
        <v>1</v>
      </c>
      <c r="AR804" s="96">
        <v>0.0810595228934205</v>
      </c>
      <c r="AS804" s="80">
        <v>0</v>
      </c>
      <c r="AT804" s="80">
        <v>0</v>
      </c>
      <c r="AU804" s="80">
        <v>0.142857142857143</v>
      </c>
      <c r="AV804" s="80">
        <v>0.08</v>
      </c>
      <c r="AW804" s="36"/>
      <c r="AX804" s="34"/>
    </row>
    <row r="805" ht="14.5" spans="1:50">
      <c r="A805" s="32"/>
      <c r="B805" s="36"/>
      <c r="C805" s="91" t="s">
        <v>693</v>
      </c>
      <c r="D805" s="69" t="s">
        <v>21</v>
      </c>
      <c r="E805" s="114" t="s">
        <v>856</v>
      </c>
      <c r="F805" s="114" t="s">
        <v>856</v>
      </c>
      <c r="G805" s="114" t="s">
        <v>856</v>
      </c>
      <c r="H805" s="114" t="s">
        <v>856</v>
      </c>
      <c r="I805" s="71">
        <v>0.9</v>
      </c>
      <c r="J805" s="72">
        <v>0.888888888888889</v>
      </c>
      <c r="K805" s="72">
        <v>0.888888888888889</v>
      </c>
      <c r="L805" s="73">
        <v>0.875</v>
      </c>
      <c r="M805" s="72">
        <v>0.839506172839506</v>
      </c>
      <c r="N805" s="74">
        <v>0.9</v>
      </c>
      <c r="O805" s="72">
        <v>0.955911823647295</v>
      </c>
      <c r="P805" s="72">
        <v>0.96547619047619</v>
      </c>
      <c r="Q805" s="72">
        <v>0.971769815418024</v>
      </c>
      <c r="R805" s="72">
        <v>0.967050465458109</v>
      </c>
      <c r="S805" s="74">
        <v>0.9</v>
      </c>
      <c r="T805" s="72">
        <v>0.905811623246493</v>
      </c>
      <c r="U805" s="72">
        <v>0.91547619047619</v>
      </c>
      <c r="V805" s="72">
        <v>0.928338762214984</v>
      </c>
      <c r="W805" s="72">
        <v>0.919647231749143</v>
      </c>
      <c r="X805" s="74">
        <v>0.92</v>
      </c>
      <c r="Y805" s="74">
        <v>0.927125506072874</v>
      </c>
      <c r="Z805" s="74">
        <v>0.939759036144578</v>
      </c>
      <c r="AA805" s="74">
        <v>0.911877394636015</v>
      </c>
      <c r="AB805" s="74">
        <v>0.936251593710157</v>
      </c>
      <c r="AC805" s="74">
        <v>0.92</v>
      </c>
      <c r="AD805" s="72">
        <v>1</v>
      </c>
      <c r="AE805" s="72">
        <v>0.990632318501171</v>
      </c>
      <c r="AF805" s="72">
        <v>0.991803278688525</v>
      </c>
      <c r="AG805" s="72">
        <v>0.989710610932476</v>
      </c>
      <c r="AH805" s="74">
        <v>0.92</v>
      </c>
      <c r="AI805" s="72">
        <v>0.951004016064257</v>
      </c>
      <c r="AJ805" s="72">
        <v>0.958677685950413</v>
      </c>
      <c r="AK805" s="72">
        <v>0.969543147208122</v>
      </c>
      <c r="AL805" s="72">
        <v>0.96425855513308</v>
      </c>
      <c r="AM805" s="71">
        <v>0.99</v>
      </c>
      <c r="AN805" s="76">
        <v>1</v>
      </c>
      <c r="AO805" s="76">
        <v>1</v>
      </c>
      <c r="AP805" s="76">
        <v>1</v>
      </c>
      <c r="AQ805" s="76">
        <v>1</v>
      </c>
      <c r="AR805" s="96">
        <v>0.0810595228934205</v>
      </c>
      <c r="AS805" s="80">
        <v>0</v>
      </c>
      <c r="AT805" s="80">
        <v>0.333333333333333</v>
      </c>
      <c r="AU805" s="80">
        <v>0</v>
      </c>
      <c r="AV805" s="80">
        <v>0.0454545454545455</v>
      </c>
      <c r="AW805" s="36"/>
      <c r="AX805" s="34"/>
    </row>
    <row r="806" ht="14.5" spans="1:50">
      <c r="A806" s="32"/>
      <c r="B806" s="36"/>
      <c r="C806" s="91" t="s">
        <v>693</v>
      </c>
      <c r="D806" s="69" t="s">
        <v>21</v>
      </c>
      <c r="E806" s="114" t="s">
        <v>857</v>
      </c>
      <c r="F806" s="114" t="s">
        <v>857</v>
      </c>
      <c r="G806" s="114" t="s">
        <v>857</v>
      </c>
      <c r="H806" s="114" t="s">
        <v>857</v>
      </c>
      <c r="I806" s="71">
        <v>0.9</v>
      </c>
      <c r="J806" s="72">
        <v>0.857142857142857</v>
      </c>
      <c r="K806" s="72">
        <v>0.727272727272727</v>
      </c>
      <c r="L806" s="73">
        <v>0.761904761904762</v>
      </c>
      <c r="M806" s="72">
        <v>0.790322580645161</v>
      </c>
      <c r="N806" s="74">
        <v>0.9</v>
      </c>
      <c r="O806" s="72">
        <v>0.95864262990456</v>
      </c>
      <c r="P806" s="72">
        <v>0.955598455598456</v>
      </c>
      <c r="Q806" s="72">
        <v>0.951132300357569</v>
      </c>
      <c r="R806" s="72">
        <v>0.955659121171771</v>
      </c>
      <c r="S806" s="74">
        <v>0.9</v>
      </c>
      <c r="T806" s="72">
        <v>0.901908801696713</v>
      </c>
      <c r="U806" s="72">
        <v>0.924066924066924</v>
      </c>
      <c r="V806" s="72">
        <v>0.911799761620977</v>
      </c>
      <c r="W806" s="72">
        <v>0.914447403462051</v>
      </c>
      <c r="X806" s="74">
        <v>0.92</v>
      </c>
      <c r="Y806" s="74">
        <v>0.894396551724138</v>
      </c>
      <c r="Z806" s="74">
        <v>0.857476635514019</v>
      </c>
      <c r="AA806" s="74">
        <v>0.92841163310962</v>
      </c>
      <c r="AB806" s="74">
        <v>0.897255613517804</v>
      </c>
      <c r="AC806" s="74">
        <v>0.92</v>
      </c>
      <c r="AD806" s="72">
        <v>0.977941176470588</v>
      </c>
      <c r="AE806" s="72">
        <v>1</v>
      </c>
      <c r="AF806" s="72">
        <v>0.95959595959596</v>
      </c>
      <c r="AG806" s="72">
        <v>0.975813953488372</v>
      </c>
      <c r="AH806" s="74">
        <v>0.92</v>
      </c>
      <c r="AI806" s="72">
        <v>0.925106382978723</v>
      </c>
      <c r="AJ806" s="72">
        <v>0.936964195663137</v>
      </c>
      <c r="AK806" s="72">
        <v>0.953882352941177</v>
      </c>
      <c r="AL806" s="72">
        <v>0.941969338409301</v>
      </c>
      <c r="AM806" s="71">
        <v>0.99</v>
      </c>
      <c r="AN806" s="76">
        <v>1</v>
      </c>
      <c r="AO806" s="76">
        <v>1</v>
      </c>
      <c r="AP806" s="76">
        <v>1</v>
      </c>
      <c r="AQ806" s="76">
        <v>1</v>
      </c>
      <c r="AR806" s="96">
        <v>0.0810595228934205</v>
      </c>
      <c r="AS806" s="80">
        <v>0</v>
      </c>
      <c r="AT806" s="80">
        <v>0</v>
      </c>
      <c r="AU806" s="80">
        <v>0</v>
      </c>
      <c r="AV806" s="80">
        <v>0.0144927536231884</v>
      </c>
      <c r="AW806" s="36"/>
      <c r="AX806" s="34"/>
    </row>
    <row r="807" ht="14.5" spans="1:50">
      <c r="A807" s="32"/>
      <c r="B807" s="36"/>
      <c r="C807" s="91" t="s">
        <v>693</v>
      </c>
      <c r="D807" s="69" t="s">
        <v>21</v>
      </c>
      <c r="E807" s="114" t="s">
        <v>858</v>
      </c>
      <c r="F807" s="114" t="s">
        <v>858</v>
      </c>
      <c r="G807" s="114" t="s">
        <v>858</v>
      </c>
      <c r="H807" s="114" t="s">
        <v>858</v>
      </c>
      <c r="I807" s="71">
        <v>0.9</v>
      </c>
      <c r="J807" s="72">
        <v>0.888888888888889</v>
      </c>
      <c r="K807" s="72">
        <v>0.888888888888889</v>
      </c>
      <c r="L807" s="73">
        <v>1</v>
      </c>
      <c r="M807" s="72">
        <v>0.964285714285714</v>
      </c>
      <c r="N807" s="74">
        <v>0.9</v>
      </c>
      <c r="O807" s="72">
        <v>0.963070942662779</v>
      </c>
      <c r="P807" s="72">
        <v>0.973432518597237</v>
      </c>
      <c r="Q807" s="72">
        <v>0.970432946145723</v>
      </c>
      <c r="R807" s="72">
        <v>0.960174451968323</v>
      </c>
      <c r="S807" s="74">
        <v>0.9</v>
      </c>
      <c r="T807" s="72">
        <v>0.950437317784257</v>
      </c>
      <c r="U807" s="72">
        <v>0.954303931987248</v>
      </c>
      <c r="V807" s="72">
        <v>0.966209081309398</v>
      </c>
      <c r="W807" s="72">
        <v>0.955009755537702</v>
      </c>
      <c r="X807" s="74">
        <v>0.92</v>
      </c>
      <c r="Y807" s="74">
        <v>0.988461538461539</v>
      </c>
      <c r="Z807" s="74">
        <v>0.952727272727273</v>
      </c>
      <c r="AA807" s="74">
        <v>0.974910394265233</v>
      </c>
      <c r="AB807" s="74">
        <v>0.972124067530428</v>
      </c>
      <c r="AC807" s="74">
        <v>0.92</v>
      </c>
      <c r="AD807" s="72">
        <v>1</v>
      </c>
      <c r="AE807" s="72">
        <v>1</v>
      </c>
      <c r="AF807" s="72">
        <v>1</v>
      </c>
      <c r="AG807" s="72">
        <v>0.982233502538071</v>
      </c>
      <c r="AH807" s="74">
        <v>0.92</v>
      </c>
      <c r="AI807" s="72">
        <v>0.977501939487975</v>
      </c>
      <c r="AJ807" s="72">
        <v>0.979457682826623</v>
      </c>
      <c r="AK807" s="72">
        <v>0.98531810766721</v>
      </c>
      <c r="AL807" s="72">
        <v>0.978872614292055</v>
      </c>
      <c r="AM807" s="71">
        <v>0.99</v>
      </c>
      <c r="AN807" s="76">
        <v>1</v>
      </c>
      <c r="AO807" s="76">
        <v>1</v>
      </c>
      <c r="AP807" s="76">
        <v>1</v>
      </c>
      <c r="AQ807" s="76">
        <v>1</v>
      </c>
      <c r="AR807" s="96">
        <v>0.0810595228934205</v>
      </c>
      <c r="AS807" s="80">
        <v>0</v>
      </c>
      <c r="AT807" s="80">
        <v>0</v>
      </c>
      <c r="AU807" s="80">
        <v>0</v>
      </c>
      <c r="AV807" s="80">
        <v>0.027027027027027</v>
      </c>
      <c r="AW807" s="36"/>
      <c r="AX807" s="34"/>
    </row>
    <row r="808" ht="14.5" spans="1:50">
      <c r="A808" s="32"/>
      <c r="B808" s="36"/>
      <c r="C808" s="91" t="s">
        <v>693</v>
      </c>
      <c r="D808" s="69" t="s">
        <v>21</v>
      </c>
      <c r="E808" s="114" t="s">
        <v>859</v>
      </c>
      <c r="F808" s="114" t="s">
        <v>859</v>
      </c>
      <c r="G808" s="114" t="s">
        <v>859</v>
      </c>
      <c r="H808" s="114" t="s">
        <v>859</v>
      </c>
      <c r="I808" s="71">
        <v>0.9</v>
      </c>
      <c r="J808" s="72">
        <v>0.963636363636364</v>
      </c>
      <c r="K808" s="72">
        <v>0.946428571428571</v>
      </c>
      <c r="L808" s="73">
        <v>0.933333333333333</v>
      </c>
      <c r="M808" s="72">
        <v>0.954990215264188</v>
      </c>
      <c r="N808" s="74">
        <v>0.9</v>
      </c>
      <c r="O808" s="72">
        <v>0.967285382830626</v>
      </c>
      <c r="P808" s="72">
        <v>0.977906555595799</v>
      </c>
      <c r="Q808" s="72">
        <v>0.973875181422351</v>
      </c>
      <c r="R808" s="72">
        <v>0.968875478704886</v>
      </c>
      <c r="S808" s="74">
        <v>0.9</v>
      </c>
      <c r="T808" s="72">
        <v>0.925522041763341</v>
      </c>
      <c r="U808" s="72">
        <v>0.959434987323434</v>
      </c>
      <c r="V808" s="72">
        <v>0.957080655193863</v>
      </c>
      <c r="W808" s="72">
        <v>0.945967273993269</v>
      </c>
      <c r="X808" s="74">
        <v>0.92</v>
      </c>
      <c r="Y808" s="74">
        <v>0.922509225092251</v>
      </c>
      <c r="Z808" s="74">
        <v>0.935876623376623</v>
      </c>
      <c r="AA808" s="74">
        <v>0.909090909090909</v>
      </c>
      <c r="AB808" s="74">
        <v>0.9478479421929</v>
      </c>
      <c r="AC808" s="74">
        <v>0.92</v>
      </c>
      <c r="AD808" s="72">
        <v>0.998958333333333</v>
      </c>
      <c r="AE808" s="72">
        <v>0.998929718159115</v>
      </c>
      <c r="AF808" s="72">
        <v>0.999548532731377</v>
      </c>
      <c r="AG808" s="72">
        <v>0.999324675324675</v>
      </c>
      <c r="AH808" s="74">
        <v>0.92</v>
      </c>
      <c r="AI808" s="72">
        <v>0.948993999294035</v>
      </c>
      <c r="AJ808" s="72">
        <v>0.969943737044714</v>
      </c>
      <c r="AK808" s="72">
        <v>0.980554406288788</v>
      </c>
      <c r="AL808" s="72">
        <v>0.973688210038375</v>
      </c>
      <c r="AM808" s="71">
        <v>0.99</v>
      </c>
      <c r="AN808" s="76">
        <v>1</v>
      </c>
      <c r="AO808" s="76">
        <v>1</v>
      </c>
      <c r="AP808" s="76">
        <v>1</v>
      </c>
      <c r="AQ808" s="76">
        <v>1</v>
      </c>
      <c r="AR808" s="96">
        <v>0.0810595228934205</v>
      </c>
      <c r="AS808" s="80">
        <v>0</v>
      </c>
      <c r="AT808" s="80">
        <v>0.0465116279069767</v>
      </c>
      <c r="AU808" s="80">
        <v>0</v>
      </c>
      <c r="AV808" s="80">
        <v>0.00634249471458774</v>
      </c>
      <c r="AW808" s="36"/>
      <c r="AX808" s="34"/>
    </row>
    <row r="809" ht="14.5" spans="1:50">
      <c r="A809" s="32"/>
      <c r="B809" s="36"/>
      <c r="C809" s="91" t="s">
        <v>693</v>
      </c>
      <c r="D809" s="69" t="s">
        <v>21</v>
      </c>
      <c r="E809" s="114" t="s">
        <v>20</v>
      </c>
      <c r="F809" s="114" t="s">
        <v>20</v>
      </c>
      <c r="G809" s="114" t="s">
        <v>20</v>
      </c>
      <c r="H809" s="114" t="s">
        <v>20</v>
      </c>
      <c r="I809" s="71">
        <v>0.9</v>
      </c>
      <c r="J809" s="72">
        <v>0.956521739130435</v>
      </c>
      <c r="K809" s="72">
        <v>0.958333333333333</v>
      </c>
      <c r="L809" s="73">
        <v>0.925925925925926</v>
      </c>
      <c r="M809" s="72">
        <v>0.96137339055794</v>
      </c>
      <c r="N809" s="74">
        <v>0.9</v>
      </c>
      <c r="O809" s="72">
        <v>0.983904465212876</v>
      </c>
      <c r="P809" s="72">
        <v>0.979178082191781</v>
      </c>
      <c r="Q809" s="72">
        <v>0.975397973950796</v>
      </c>
      <c r="R809" s="72">
        <v>0.978175038385611</v>
      </c>
      <c r="S809" s="74">
        <v>0.9</v>
      </c>
      <c r="T809" s="72">
        <v>0.876947040498442</v>
      </c>
      <c r="U809" s="72">
        <v>0.896986301369863</v>
      </c>
      <c r="V809" s="72">
        <v>0.951760733236855</v>
      </c>
      <c r="W809" s="72">
        <v>0.916209695108576</v>
      </c>
      <c r="X809" s="74">
        <v>0.92</v>
      </c>
      <c r="Y809" s="74">
        <v>0.905138339920949</v>
      </c>
      <c r="Z809" s="74">
        <v>0.915441176470588</v>
      </c>
      <c r="AA809" s="74">
        <v>0.943775100401606</v>
      </c>
      <c r="AB809" s="74">
        <v>0.935421166306695</v>
      </c>
      <c r="AC809" s="74">
        <v>0.92</v>
      </c>
      <c r="AD809" s="72">
        <v>0.996763754045307</v>
      </c>
      <c r="AE809" s="72">
        <v>1</v>
      </c>
      <c r="AF809" s="72">
        <v>1</v>
      </c>
      <c r="AG809" s="72">
        <v>0.999020293911826</v>
      </c>
      <c r="AH809" s="74">
        <v>0.92</v>
      </c>
      <c r="AI809" s="72">
        <v>0.923519736842105</v>
      </c>
      <c r="AJ809" s="72">
        <v>0.944303797468354</v>
      </c>
      <c r="AK809" s="72">
        <v>0.964605211979774</v>
      </c>
      <c r="AL809" s="72">
        <v>0.957145355955921</v>
      </c>
      <c r="AM809" s="71">
        <v>0.99</v>
      </c>
      <c r="AN809" s="76">
        <v>1</v>
      </c>
      <c r="AO809" s="76">
        <v>1</v>
      </c>
      <c r="AP809" s="76">
        <v>1</v>
      </c>
      <c r="AQ809" s="76">
        <v>1</v>
      </c>
      <c r="AR809" s="96">
        <v>0.0810595228934205</v>
      </c>
      <c r="AS809" s="80">
        <v>0.0384615384615385</v>
      </c>
      <c r="AT809" s="80">
        <v>0.0384615384615385</v>
      </c>
      <c r="AU809" s="80">
        <v>0.0333333333333333</v>
      </c>
      <c r="AV809" s="80">
        <v>0.0228310502283105</v>
      </c>
      <c r="AW809" s="36"/>
      <c r="AX809" s="34"/>
    </row>
    <row r="810" ht="14.5" spans="1:50">
      <c r="A810" s="32"/>
      <c r="B810" s="36"/>
      <c r="C810" s="91" t="s">
        <v>693</v>
      </c>
      <c r="D810" s="69" t="s">
        <v>21</v>
      </c>
      <c r="E810" s="114" t="s">
        <v>860</v>
      </c>
      <c r="F810" s="114" t="s">
        <v>860</v>
      </c>
      <c r="G810" s="114" t="s">
        <v>860</v>
      </c>
      <c r="H810" s="114" t="s">
        <v>860</v>
      </c>
      <c r="I810" s="71">
        <v>0.9</v>
      </c>
      <c r="J810" s="72">
        <v>0.956521739130435</v>
      </c>
      <c r="K810" s="72">
        <v>1</v>
      </c>
      <c r="L810" s="73">
        <v>0.966666666666667</v>
      </c>
      <c r="M810" s="72">
        <v>0.97165991902834</v>
      </c>
      <c r="N810" s="74">
        <v>0.9</v>
      </c>
      <c r="O810" s="72">
        <v>0.827052142488384</v>
      </c>
      <c r="P810" s="72">
        <v>0.970962812022415</v>
      </c>
      <c r="Q810" s="72">
        <v>0.967012252591894</v>
      </c>
      <c r="R810" s="72">
        <v>0.949779365412902</v>
      </c>
      <c r="S810" s="74">
        <v>0.9</v>
      </c>
      <c r="T810" s="72">
        <v>0.828084667010841</v>
      </c>
      <c r="U810" s="72">
        <v>0.913907284768212</v>
      </c>
      <c r="V810" s="72">
        <v>0.935438265786993</v>
      </c>
      <c r="W810" s="72">
        <v>0.916106324858163</v>
      </c>
      <c r="X810" s="74">
        <v>0.92</v>
      </c>
      <c r="Y810" s="74">
        <v>0.879417879417879</v>
      </c>
      <c r="Z810" s="74">
        <v>0.924295774647887</v>
      </c>
      <c r="AA810" s="74">
        <v>0.936344969199179</v>
      </c>
      <c r="AB810" s="74">
        <v>0.93045512547852</v>
      </c>
      <c r="AC810" s="74">
        <v>0.92</v>
      </c>
      <c r="AD810" s="72">
        <v>1</v>
      </c>
      <c r="AE810" s="72">
        <v>0.987012987012987</v>
      </c>
      <c r="AF810" s="72">
        <v>0.988304093567251</v>
      </c>
      <c r="AG810" s="72">
        <v>0.989240080699395</v>
      </c>
      <c r="AH810" s="74">
        <v>0.92</v>
      </c>
      <c r="AI810" s="72">
        <v>0.91645988420182</v>
      </c>
      <c r="AJ810" s="72">
        <v>0.95574871592256</v>
      </c>
      <c r="AK810" s="72">
        <v>0.965120735914143</v>
      </c>
      <c r="AL810" s="72">
        <v>0.960358918190243</v>
      </c>
      <c r="AM810" s="71">
        <v>0.99</v>
      </c>
      <c r="AN810" s="76">
        <v>1</v>
      </c>
      <c r="AO810" s="76">
        <v>1</v>
      </c>
      <c r="AP810" s="76">
        <v>1</v>
      </c>
      <c r="AQ810" s="76">
        <v>1</v>
      </c>
      <c r="AR810" s="96">
        <v>0.0810595228934205</v>
      </c>
      <c r="AS810" s="80">
        <v>0.0555555555555556</v>
      </c>
      <c r="AT810" s="80">
        <v>0</v>
      </c>
      <c r="AU810" s="80">
        <v>0</v>
      </c>
      <c r="AV810" s="80">
        <v>0.0434782608695652</v>
      </c>
      <c r="AW810" s="36"/>
      <c r="AX810" s="34"/>
    </row>
    <row r="811" ht="14.5" spans="1:50">
      <c r="A811" s="32"/>
      <c r="B811" s="36"/>
      <c r="C811" s="91" t="s">
        <v>693</v>
      </c>
      <c r="D811" s="69" t="s">
        <v>21</v>
      </c>
      <c r="E811" s="114" t="s">
        <v>861</v>
      </c>
      <c r="F811" s="114" t="s">
        <v>861</v>
      </c>
      <c r="G811" s="114" t="s">
        <v>861</v>
      </c>
      <c r="H811" s="114" t="s">
        <v>861</v>
      </c>
      <c r="I811" s="71">
        <v>0.9</v>
      </c>
      <c r="J811" s="72">
        <v>1</v>
      </c>
      <c r="K811" s="72">
        <v>1</v>
      </c>
      <c r="L811" s="73">
        <v>0.979591836734694</v>
      </c>
      <c r="M811" s="72">
        <v>0.981087470449173</v>
      </c>
      <c r="N811" s="74">
        <v>0.9</v>
      </c>
      <c r="O811" s="72">
        <v>0.971614583333333</v>
      </c>
      <c r="P811" s="72">
        <v>0.969567538707955</v>
      </c>
      <c r="Q811" s="72">
        <v>0.967252017085904</v>
      </c>
      <c r="R811" s="72">
        <v>0.970015160873716</v>
      </c>
      <c r="S811" s="74">
        <v>0.9</v>
      </c>
      <c r="T811" s="72">
        <v>0.93671875</v>
      </c>
      <c r="U811" s="72">
        <v>0.959957287773625</v>
      </c>
      <c r="V811" s="72">
        <v>0.959420977693403</v>
      </c>
      <c r="W811" s="72">
        <v>0.95249592902465</v>
      </c>
      <c r="X811" s="74">
        <v>0.92</v>
      </c>
      <c r="Y811" s="74">
        <v>0.942325581395349</v>
      </c>
      <c r="Z811" s="74">
        <v>0.971806167400881</v>
      </c>
      <c r="AA811" s="74">
        <v>0.968716289104639</v>
      </c>
      <c r="AB811" s="74">
        <v>0.963628199371352</v>
      </c>
      <c r="AC811" s="74">
        <v>0.92</v>
      </c>
      <c r="AD811" s="72">
        <v>0.999</v>
      </c>
      <c r="AE811" s="72">
        <v>1</v>
      </c>
      <c r="AF811" s="72">
        <v>1</v>
      </c>
      <c r="AG811" s="72">
        <v>0.99879190576865</v>
      </c>
      <c r="AH811" s="74">
        <v>0.92</v>
      </c>
      <c r="AI811" s="72">
        <v>0.964394710071211</v>
      </c>
      <c r="AJ811" s="72">
        <v>0.979926259729619</v>
      </c>
      <c r="AK811" s="72">
        <v>0.986775573706729</v>
      </c>
      <c r="AL811" s="72">
        <v>0.979833367019246</v>
      </c>
      <c r="AM811" s="71">
        <v>0.99</v>
      </c>
      <c r="AN811" s="76">
        <v>1</v>
      </c>
      <c r="AO811" s="76">
        <v>1</v>
      </c>
      <c r="AP811" s="76">
        <v>1</v>
      </c>
      <c r="AQ811" s="76">
        <v>1</v>
      </c>
      <c r="AR811" s="96">
        <v>0.0810595228934205</v>
      </c>
      <c r="AS811" s="80">
        <v>0.032258064516129</v>
      </c>
      <c r="AT811" s="80">
        <v>0</v>
      </c>
      <c r="AU811" s="80">
        <v>0.0294117647058824</v>
      </c>
      <c r="AV811" s="80">
        <v>-0.0118577075098814</v>
      </c>
      <c r="AW811" s="36"/>
      <c r="AX811" s="34"/>
    </row>
    <row r="812" ht="14.5" spans="1:50">
      <c r="A812" s="32"/>
      <c r="B812" s="36"/>
      <c r="C812" s="91" t="s">
        <v>693</v>
      </c>
      <c r="D812" s="69" t="s">
        <v>21</v>
      </c>
      <c r="E812" s="114" t="s">
        <v>862</v>
      </c>
      <c r="F812" s="114" t="s">
        <v>862</v>
      </c>
      <c r="G812" s="114" t="s">
        <v>862</v>
      </c>
      <c r="H812" s="114" t="s">
        <v>862</v>
      </c>
      <c r="I812" s="71">
        <v>0.9</v>
      </c>
      <c r="J812" s="72">
        <v>1</v>
      </c>
      <c r="K812" s="72">
        <v>1</v>
      </c>
      <c r="L812" s="73">
        <v>1</v>
      </c>
      <c r="M812" s="72">
        <v>1</v>
      </c>
      <c r="N812" s="74">
        <v>0.9</v>
      </c>
      <c r="O812" s="72">
        <v>0.951442646023927</v>
      </c>
      <c r="P812" s="72">
        <v>0.977667493796526</v>
      </c>
      <c r="Q812" s="72">
        <v>0.982371794871795</v>
      </c>
      <c r="R812" s="72">
        <v>0.978145261164129</v>
      </c>
      <c r="S812" s="74">
        <v>0.9</v>
      </c>
      <c r="T812" s="72">
        <v>0.91414496833216</v>
      </c>
      <c r="U812" s="72">
        <v>0.931939028713222</v>
      </c>
      <c r="V812" s="72">
        <v>0.943589743589744</v>
      </c>
      <c r="W812" s="72">
        <v>0.940445836672252</v>
      </c>
      <c r="X812" s="74">
        <v>0.92</v>
      </c>
      <c r="Y812" s="74">
        <v>0.930555555555556</v>
      </c>
      <c r="Z812" s="74">
        <v>0.927927927927928</v>
      </c>
      <c r="AA812" s="74">
        <v>0.926940639269406</v>
      </c>
      <c r="AB812" s="74">
        <v>0.936607142857143</v>
      </c>
      <c r="AC812" s="74">
        <v>0.92</v>
      </c>
      <c r="AD812" s="72">
        <v>0.975232198142415</v>
      </c>
      <c r="AE812" s="72">
        <v>0.993388429752066</v>
      </c>
      <c r="AF812" s="72">
        <v>0.995915032679739</v>
      </c>
      <c r="AG812" s="72">
        <v>0.995875666431948</v>
      </c>
      <c r="AH812" s="74">
        <v>0.92</v>
      </c>
      <c r="AI812" s="72">
        <v>0.938977460142936</v>
      </c>
      <c r="AJ812" s="72">
        <v>0.949180783115801</v>
      </c>
      <c r="AK812" s="72">
        <v>0.964257347100874</v>
      </c>
      <c r="AL812" s="72">
        <v>0.963146041124338</v>
      </c>
      <c r="AM812" s="71">
        <v>0.99</v>
      </c>
      <c r="AN812" s="76">
        <v>1</v>
      </c>
      <c r="AO812" s="76">
        <v>1</v>
      </c>
      <c r="AP812" s="76">
        <v>1</v>
      </c>
      <c r="AQ812" s="76">
        <v>1</v>
      </c>
      <c r="AR812" s="96">
        <v>0.0810595228934205</v>
      </c>
      <c r="AS812" s="80">
        <v>0.0357142857142857</v>
      </c>
      <c r="AT812" s="80">
        <v>0.161290322580645</v>
      </c>
      <c r="AU812" s="80">
        <v>0.0555555555555556</v>
      </c>
      <c r="AV812" s="80">
        <v>0.0342205323193916</v>
      </c>
      <c r="AW812" s="36"/>
      <c r="AX812" s="34"/>
    </row>
    <row r="813" ht="14.5" spans="1:50">
      <c r="A813" s="32"/>
      <c r="B813" s="36"/>
      <c r="C813" s="91" t="s">
        <v>693</v>
      </c>
      <c r="D813" s="69" t="s">
        <v>21</v>
      </c>
      <c r="E813" s="114" t="s">
        <v>863</v>
      </c>
      <c r="F813" s="114" t="s">
        <v>863</v>
      </c>
      <c r="G813" s="114" t="s">
        <v>863</v>
      </c>
      <c r="H813" s="114" t="s">
        <v>863</v>
      </c>
      <c r="I813" s="71">
        <v>0.9</v>
      </c>
      <c r="J813" s="72">
        <v>0.933333333333333</v>
      </c>
      <c r="K813" s="72">
        <v>0.815789473684211</v>
      </c>
      <c r="L813" s="73">
        <v>0.941176470588235</v>
      </c>
      <c r="M813" s="72">
        <v>0.896103896103896</v>
      </c>
      <c r="N813" s="74">
        <v>0.9</v>
      </c>
      <c r="O813" s="72">
        <v>0.864311654011225</v>
      </c>
      <c r="P813" s="72">
        <v>0.966377816291161</v>
      </c>
      <c r="Q813" s="72">
        <v>0.959895663514835</v>
      </c>
      <c r="R813" s="72">
        <v>0.943535811423391</v>
      </c>
      <c r="S813" s="74">
        <v>0.9</v>
      </c>
      <c r="T813" s="72">
        <v>0.783426873555629</v>
      </c>
      <c r="U813" s="72">
        <v>0.937608318890815</v>
      </c>
      <c r="V813" s="72">
        <v>0.907727420932507</v>
      </c>
      <c r="W813" s="72">
        <v>0.89856754306437</v>
      </c>
      <c r="X813" s="74">
        <v>0.92</v>
      </c>
      <c r="Y813" s="74">
        <v>0.857142857142857</v>
      </c>
      <c r="Z813" s="74">
        <v>0.950837988826816</v>
      </c>
      <c r="AA813" s="74">
        <v>0.948780487804878</v>
      </c>
      <c r="AB813" s="74">
        <v>0.934699453551913</v>
      </c>
      <c r="AC813" s="74">
        <v>0.92</v>
      </c>
      <c r="AD813" s="72">
        <v>0.998027082772845</v>
      </c>
      <c r="AE813" s="72">
        <v>0.996164663768857</v>
      </c>
      <c r="AF813" s="72">
        <v>0.98762487914921</v>
      </c>
      <c r="AG813" s="72">
        <v>0.995474270260574</v>
      </c>
      <c r="AH813" s="74">
        <v>0.92</v>
      </c>
      <c r="AI813" s="72">
        <v>0.863624776956411</v>
      </c>
      <c r="AJ813" s="72">
        <v>0.966446499339498</v>
      </c>
      <c r="AK813" s="72">
        <v>0.969416602415831</v>
      </c>
      <c r="AL813" s="72">
        <v>0.949237416659513</v>
      </c>
      <c r="AM813" s="71">
        <v>0.99</v>
      </c>
      <c r="AN813" s="76">
        <v>1</v>
      </c>
      <c r="AO813" s="76">
        <v>1</v>
      </c>
      <c r="AP813" s="76">
        <v>1</v>
      </c>
      <c r="AQ813" s="76">
        <v>1</v>
      </c>
      <c r="AR813" s="96">
        <v>0.0810595228934205</v>
      </c>
      <c r="AS813" s="80">
        <v>0.0434782608695652</v>
      </c>
      <c r="AT813" s="80">
        <v>0.125</v>
      </c>
      <c r="AU813" s="80">
        <v>0.08</v>
      </c>
      <c r="AV813" s="80">
        <v>0.0284552845528455</v>
      </c>
      <c r="AW813" s="36"/>
      <c r="AX813" s="34"/>
    </row>
    <row r="814" ht="14.5" spans="1:50">
      <c r="A814" s="32"/>
      <c r="B814" s="36"/>
      <c r="C814" s="91" t="s">
        <v>693</v>
      </c>
      <c r="D814" s="69" t="s">
        <v>21</v>
      </c>
      <c r="E814" s="114" t="s">
        <v>864</v>
      </c>
      <c r="F814" s="114" t="s">
        <v>864</v>
      </c>
      <c r="G814" s="114" t="s">
        <v>864</v>
      </c>
      <c r="H814" s="114" t="s">
        <v>864</v>
      </c>
      <c r="I814" s="71">
        <v>0.9</v>
      </c>
      <c r="J814" s="72">
        <v>0.954545454545455</v>
      </c>
      <c r="K814" s="72">
        <v>0.88</v>
      </c>
      <c r="L814" s="73">
        <v>0.884615384615385</v>
      </c>
      <c r="M814" s="72">
        <v>0.887387387387387</v>
      </c>
      <c r="N814" s="74">
        <v>0.9</v>
      </c>
      <c r="O814" s="72">
        <v>0.967859308671922</v>
      </c>
      <c r="P814" s="72">
        <v>0.97842448569995</v>
      </c>
      <c r="Q814" s="72">
        <v>0.966937669376694</v>
      </c>
      <c r="R814" s="72">
        <v>0.978191070454958</v>
      </c>
      <c r="S814" s="74">
        <v>0.9</v>
      </c>
      <c r="T814" s="72">
        <v>0.887810794420861</v>
      </c>
      <c r="U814" s="72">
        <v>0.943301555444054</v>
      </c>
      <c r="V814" s="72">
        <v>0.917073170731707</v>
      </c>
      <c r="W814" s="72">
        <v>0.934209729205791</v>
      </c>
      <c r="X814" s="74">
        <v>0.92</v>
      </c>
      <c r="Y814" s="74">
        <v>0.91196388261851</v>
      </c>
      <c r="Z814" s="74">
        <v>0.957746478873239</v>
      </c>
      <c r="AA814" s="74">
        <v>1</v>
      </c>
      <c r="AB814" s="74">
        <v>0.946308724832215</v>
      </c>
      <c r="AC814" s="74">
        <v>0.92</v>
      </c>
      <c r="AD814" s="72">
        <v>1</v>
      </c>
      <c r="AE814" s="72">
        <v>0.996316758747698</v>
      </c>
      <c r="AF814" s="72">
        <v>0.994642857142857</v>
      </c>
      <c r="AG814" s="72">
        <v>0.995889225443531</v>
      </c>
      <c r="AH814" s="74">
        <v>0.92</v>
      </c>
      <c r="AI814" s="72">
        <v>0.924952198852772</v>
      </c>
      <c r="AJ814" s="72">
        <v>0.962650602409639</v>
      </c>
      <c r="AK814" s="72">
        <v>0.964902807775378</v>
      </c>
      <c r="AL814" s="72">
        <v>0.963427893644361</v>
      </c>
      <c r="AM814" s="71">
        <v>0.99</v>
      </c>
      <c r="AN814" s="76">
        <v>1</v>
      </c>
      <c r="AO814" s="76">
        <v>1</v>
      </c>
      <c r="AP814" s="76">
        <v>1</v>
      </c>
      <c r="AQ814" s="76">
        <v>1</v>
      </c>
      <c r="AR814" s="96">
        <v>0.0810595228934205</v>
      </c>
      <c r="AS814" s="80">
        <v>0.0526315789473684</v>
      </c>
      <c r="AT814" s="80">
        <v>0.105263157894737</v>
      </c>
      <c r="AU814" s="80">
        <v>0.117647058823529</v>
      </c>
      <c r="AV814" s="80">
        <v>0.0355029585798817</v>
      </c>
      <c r="AW814" s="36"/>
      <c r="AX814" s="34"/>
    </row>
    <row r="815" ht="14.5" spans="1:50">
      <c r="A815" s="32"/>
      <c r="B815" s="36"/>
      <c r="C815" s="91" t="s">
        <v>693</v>
      </c>
      <c r="D815" s="69" t="s">
        <v>21</v>
      </c>
      <c r="E815" s="114" t="s">
        <v>865</v>
      </c>
      <c r="F815" s="114" t="s">
        <v>865</v>
      </c>
      <c r="G815" s="114" t="s">
        <v>865</v>
      </c>
      <c r="H815" s="114" t="s">
        <v>865</v>
      </c>
      <c r="I815" s="71">
        <v>0.9</v>
      </c>
      <c r="J815" s="72">
        <v>0.916666666666667</v>
      </c>
      <c r="K815" s="72">
        <v>0.833333333333333</v>
      </c>
      <c r="L815" s="73">
        <v>0.923076923076923</v>
      </c>
      <c r="M815" s="72">
        <v>0.918181818181818</v>
      </c>
      <c r="N815" s="74">
        <v>0.9</v>
      </c>
      <c r="O815" s="72">
        <v>0.958494208494209</v>
      </c>
      <c r="P815" s="72">
        <v>0.891556291390728</v>
      </c>
      <c r="Q815" s="72">
        <v>0.954713493530499</v>
      </c>
      <c r="R815" s="72">
        <v>0.936635475996745</v>
      </c>
      <c r="S815" s="74">
        <v>0.9</v>
      </c>
      <c r="T815" s="72">
        <v>0.909266409266409</v>
      </c>
      <c r="U815" s="72">
        <v>0.927152317880795</v>
      </c>
      <c r="V815" s="72">
        <v>0.926062846580407</v>
      </c>
      <c r="W815" s="72">
        <v>0.917107404393816</v>
      </c>
      <c r="X815" s="74">
        <v>0.92</v>
      </c>
      <c r="Y815" s="74">
        <v>0.872611464968153</v>
      </c>
      <c r="Z815" s="74">
        <v>0.95</v>
      </c>
      <c r="AA815" s="74">
        <v>1</v>
      </c>
      <c r="AB815" s="74">
        <v>0.92</v>
      </c>
      <c r="AC815" s="74">
        <v>0.92</v>
      </c>
      <c r="AD815" s="72">
        <v>1</v>
      </c>
      <c r="AE815" s="72">
        <v>0.998569384835479</v>
      </c>
      <c r="AF815" s="72">
        <v>1</v>
      </c>
      <c r="AG815" s="72">
        <v>0.997606510292006</v>
      </c>
      <c r="AH815" s="74">
        <v>0.92</v>
      </c>
      <c r="AI815" s="72">
        <v>0.923703703703704</v>
      </c>
      <c r="AJ815" s="72">
        <v>0.950527704485488</v>
      </c>
      <c r="AK815" s="72">
        <v>0.952952029520295</v>
      </c>
      <c r="AL815" s="72">
        <v>0.946902654867257</v>
      </c>
      <c r="AM815" s="71">
        <v>0.99</v>
      </c>
      <c r="AN815" s="76">
        <v>1</v>
      </c>
      <c r="AO815" s="76">
        <v>1</v>
      </c>
      <c r="AP815" s="76">
        <v>1</v>
      </c>
      <c r="AQ815" s="76">
        <v>1</v>
      </c>
      <c r="AR815" s="96">
        <v>0.0810595228934205</v>
      </c>
      <c r="AS815" s="80">
        <v>0.222222222222222</v>
      </c>
      <c r="AT815" s="80">
        <v>0</v>
      </c>
      <c r="AU815" s="80">
        <v>0.222222222222222</v>
      </c>
      <c r="AV815" s="80">
        <v>0.055045871559633</v>
      </c>
      <c r="AW815" s="36"/>
      <c r="AX815" s="34"/>
    </row>
    <row r="816" ht="14.5" spans="1:50">
      <c r="A816" s="32"/>
      <c r="B816" s="36"/>
      <c r="C816" s="91" t="s">
        <v>693</v>
      </c>
      <c r="D816" s="69" t="s">
        <v>21</v>
      </c>
      <c r="E816" s="114" t="s">
        <v>866</v>
      </c>
      <c r="F816" s="114" t="s">
        <v>866</v>
      </c>
      <c r="G816" s="114" t="s">
        <v>866</v>
      </c>
      <c r="H816" s="114" t="s">
        <v>866</v>
      </c>
      <c r="I816" s="71">
        <v>0.9</v>
      </c>
      <c r="J816" s="72">
        <v>0.931818181818182</v>
      </c>
      <c r="K816" s="72">
        <v>1</v>
      </c>
      <c r="L816" s="73">
        <v>0.924528301886792</v>
      </c>
      <c r="M816" s="72">
        <v>0.952586206896552</v>
      </c>
      <c r="N816" s="74">
        <v>0.9</v>
      </c>
      <c r="O816" s="72">
        <v>0.96042576419214</v>
      </c>
      <c r="P816" s="72">
        <v>0.981707317073171</v>
      </c>
      <c r="Q816" s="72">
        <v>0.985359477124183</v>
      </c>
      <c r="R816" s="72">
        <v>0.975471754006576</v>
      </c>
      <c r="S816" s="74">
        <v>0.9</v>
      </c>
      <c r="T816" s="72">
        <v>0.862991266375546</v>
      </c>
      <c r="U816" s="72">
        <v>0.938734030197445</v>
      </c>
      <c r="V816" s="72">
        <v>0.953986928104575</v>
      </c>
      <c r="W816" s="72">
        <v>0.923186302100305</v>
      </c>
      <c r="X816" s="74">
        <v>0.92</v>
      </c>
      <c r="Y816" s="74">
        <v>0.889199255121043</v>
      </c>
      <c r="Z816" s="74">
        <v>0.950207468879668</v>
      </c>
      <c r="AA816" s="74">
        <v>0.954157782515991</v>
      </c>
      <c r="AB816" s="74">
        <v>0.933683596030356</v>
      </c>
      <c r="AC816" s="74">
        <v>0.92</v>
      </c>
      <c r="AD816" s="72">
        <v>1</v>
      </c>
      <c r="AE816" s="72">
        <v>1</v>
      </c>
      <c r="AF816" s="72">
        <v>0.998713826366559</v>
      </c>
      <c r="AG816" s="72">
        <v>0.99835092348285</v>
      </c>
      <c r="AH816" s="74">
        <v>0.92</v>
      </c>
      <c r="AI816" s="72">
        <v>0.907344871253694</v>
      </c>
      <c r="AJ816" s="72">
        <v>0.965759637188209</v>
      </c>
      <c r="AK816" s="72">
        <v>0.97879932829555</v>
      </c>
      <c r="AL816" s="72">
        <v>0.960120017955442</v>
      </c>
      <c r="AM816" s="71">
        <v>0.99</v>
      </c>
      <c r="AN816" s="76">
        <v>1</v>
      </c>
      <c r="AO816" s="76">
        <v>1</v>
      </c>
      <c r="AP816" s="76">
        <v>1</v>
      </c>
      <c r="AQ816" s="76">
        <v>1</v>
      </c>
      <c r="AR816" s="96">
        <v>0.0810595228934205</v>
      </c>
      <c r="AS816" s="80">
        <v>0</v>
      </c>
      <c r="AT816" s="80">
        <v>0.0555555555555556</v>
      </c>
      <c r="AU816" s="80">
        <v>0.0540540540540541</v>
      </c>
      <c r="AV816" s="80">
        <v>0.0552147239263804</v>
      </c>
      <c r="AW816" s="36"/>
      <c r="AX816" s="34"/>
    </row>
    <row r="817" ht="14.5" spans="1:50">
      <c r="A817" s="32"/>
      <c r="B817" s="36"/>
      <c r="C817" s="91" t="s">
        <v>693</v>
      </c>
      <c r="D817" s="69" t="s">
        <v>21</v>
      </c>
      <c r="E817" s="114" t="s">
        <v>867</v>
      </c>
      <c r="F817" s="114" t="s">
        <v>867</v>
      </c>
      <c r="G817" s="114" t="s">
        <v>867</v>
      </c>
      <c r="H817" s="114" t="s">
        <v>867</v>
      </c>
      <c r="I817" s="71">
        <v>0.9</v>
      </c>
      <c r="J817" s="72">
        <v>0.962962962962963</v>
      </c>
      <c r="K817" s="72">
        <v>0.951612903225806</v>
      </c>
      <c r="L817" s="73">
        <v>0.952380952380952</v>
      </c>
      <c r="M817" s="72">
        <v>0.951263537906137</v>
      </c>
      <c r="N817" s="74">
        <v>0.9</v>
      </c>
      <c r="O817" s="72">
        <v>0.977065151207631</v>
      </c>
      <c r="P817" s="72">
        <v>0.972063037249284</v>
      </c>
      <c r="Q817" s="72">
        <v>0.979230927411063</v>
      </c>
      <c r="R817" s="72">
        <v>0.975553713135141</v>
      </c>
      <c r="S817" s="74">
        <v>0.9</v>
      </c>
      <c r="T817" s="72">
        <v>0.879642784655977</v>
      </c>
      <c r="U817" s="72">
        <v>0.939589302769819</v>
      </c>
      <c r="V817" s="72">
        <v>0.951059017067654</v>
      </c>
      <c r="W817" s="72">
        <v>0.937297169252635</v>
      </c>
      <c r="X817" s="74">
        <v>0.92</v>
      </c>
      <c r="Y817" s="74">
        <v>0.849636216653193</v>
      </c>
      <c r="Z817" s="74">
        <v>0.899403239556692</v>
      </c>
      <c r="AA817" s="74">
        <v>0.932153392330384</v>
      </c>
      <c r="AB817" s="74">
        <v>0.897428169580068</v>
      </c>
      <c r="AC817" s="74">
        <v>0.92</v>
      </c>
      <c r="AD817" s="72">
        <v>0.998363338788871</v>
      </c>
      <c r="AE817" s="72">
        <v>0.998467041389883</v>
      </c>
      <c r="AF817" s="72">
        <v>0.997433264887064</v>
      </c>
      <c r="AG817" s="72">
        <v>0.997639963288318</v>
      </c>
      <c r="AH817" s="74">
        <v>0.92</v>
      </c>
      <c r="AI817" s="72">
        <v>0.903309539260221</v>
      </c>
      <c r="AJ817" s="72">
        <v>0.94964565460649</v>
      </c>
      <c r="AK817" s="72">
        <v>0.964625850340136</v>
      </c>
      <c r="AL817" s="72">
        <v>0.950017248648856</v>
      </c>
      <c r="AM817" s="71">
        <v>0.99</v>
      </c>
      <c r="AN817" s="76">
        <v>1</v>
      </c>
      <c r="AO817" s="76">
        <v>1</v>
      </c>
      <c r="AP817" s="76">
        <v>1</v>
      </c>
      <c r="AQ817" s="76">
        <v>1</v>
      </c>
      <c r="AR817" s="96">
        <v>0.0810595228934205</v>
      </c>
      <c r="AS817" s="80">
        <v>0</v>
      </c>
      <c r="AT817" s="80">
        <v>0.0416666666666667</v>
      </c>
      <c r="AU817" s="80">
        <v>0.1</v>
      </c>
      <c r="AV817" s="80">
        <v>0.036101083032491</v>
      </c>
      <c r="AW817" s="36"/>
      <c r="AX817" s="34"/>
    </row>
    <row r="818" ht="14.5" spans="1:50">
      <c r="A818" s="32"/>
      <c r="B818" s="36"/>
      <c r="C818" s="91" t="s">
        <v>693</v>
      </c>
      <c r="D818" s="69" t="s">
        <v>21</v>
      </c>
      <c r="E818" s="114" t="s">
        <v>868</v>
      </c>
      <c r="F818" s="114" t="s">
        <v>868</v>
      </c>
      <c r="G818" s="114" t="s">
        <v>868</v>
      </c>
      <c r="H818" s="114" t="s">
        <v>868</v>
      </c>
      <c r="I818" s="71">
        <v>0.9</v>
      </c>
      <c r="J818" s="72">
        <v>0.846153846153846</v>
      </c>
      <c r="K818" s="72">
        <v>1</v>
      </c>
      <c r="L818" s="73">
        <v>0.884615384615385</v>
      </c>
      <c r="M818" s="72">
        <v>0.895652173913044</v>
      </c>
      <c r="N818" s="74">
        <v>0.9</v>
      </c>
      <c r="O818" s="72">
        <v>0.990776081424936</v>
      </c>
      <c r="P818" s="72">
        <v>0.990756590208833</v>
      </c>
      <c r="Q818" s="72">
        <v>0.987158908507223</v>
      </c>
      <c r="R818" s="72">
        <v>0.989596664327292</v>
      </c>
      <c r="S818" s="74">
        <v>0.9</v>
      </c>
      <c r="T818" s="72">
        <v>0.967557251908397</v>
      </c>
      <c r="U818" s="72">
        <v>0.973981513180418</v>
      </c>
      <c r="V818" s="72">
        <v>0.96669341894061</v>
      </c>
      <c r="W818" s="72">
        <v>0.966643272922429</v>
      </c>
      <c r="X818" s="74">
        <v>0.92</v>
      </c>
      <c r="Y818" s="74">
        <v>0.935452793834297</v>
      </c>
      <c r="Z818" s="74">
        <v>0.943488943488944</v>
      </c>
      <c r="AA818" s="74">
        <v>0.956043956043956</v>
      </c>
      <c r="AB818" s="74">
        <v>0.94929838496161</v>
      </c>
      <c r="AC818" s="74">
        <v>0.92</v>
      </c>
      <c r="AD818" s="72">
        <v>0.992998833138857</v>
      </c>
      <c r="AE818" s="72">
        <v>0.9929227525975</v>
      </c>
      <c r="AF818" s="72">
        <v>0.996031140283926</v>
      </c>
      <c r="AG818" s="72">
        <v>0.994282936315022</v>
      </c>
      <c r="AH818" s="74">
        <v>0.92</v>
      </c>
      <c r="AI818" s="72">
        <v>0.967726512072675</v>
      </c>
      <c r="AJ818" s="72">
        <v>0.978057265185978</v>
      </c>
      <c r="AK818" s="72">
        <v>0.980676328502415</v>
      </c>
      <c r="AL818" s="72">
        <v>0.978261553465253</v>
      </c>
      <c r="AM818" s="71">
        <v>0.99</v>
      </c>
      <c r="AN818" s="76">
        <v>1</v>
      </c>
      <c r="AO818" s="76">
        <v>1</v>
      </c>
      <c r="AP818" s="76">
        <v>1</v>
      </c>
      <c r="AQ818" s="76">
        <v>1</v>
      </c>
      <c r="AR818" s="96">
        <v>0.0810595228934205</v>
      </c>
      <c r="AS818" s="80">
        <v>0</v>
      </c>
      <c r="AT818" s="80">
        <v>0.1</v>
      </c>
      <c r="AU818" s="80">
        <v>0</v>
      </c>
      <c r="AV818" s="80">
        <v>0.0731707317073171</v>
      </c>
      <c r="AW818" s="36"/>
      <c r="AX818" s="34"/>
    </row>
    <row r="819" ht="14.5" spans="1:50">
      <c r="A819" s="32"/>
      <c r="B819" s="36"/>
      <c r="C819" s="91" t="s">
        <v>693</v>
      </c>
      <c r="D819" s="69" t="s">
        <v>21</v>
      </c>
      <c r="E819" s="114" t="s">
        <v>869</v>
      </c>
      <c r="F819" s="114" t="s">
        <v>869</v>
      </c>
      <c r="G819" s="114" t="s">
        <v>869</v>
      </c>
      <c r="H819" s="114" t="s">
        <v>869</v>
      </c>
      <c r="I819" s="71">
        <v>0.9</v>
      </c>
      <c r="J819" s="72">
        <v>0.961538461538462</v>
      </c>
      <c r="K819" s="72">
        <v>0.962962962962963</v>
      </c>
      <c r="L819" s="73">
        <v>0.962962962962963</v>
      </c>
      <c r="M819" s="72">
        <v>0.966942148760331</v>
      </c>
      <c r="N819" s="74">
        <v>0.9</v>
      </c>
      <c r="O819" s="72">
        <v>0.918918918918919</v>
      </c>
      <c r="P819" s="72">
        <v>0.958607095926413</v>
      </c>
      <c r="Q819" s="72">
        <v>0.950212507589557</v>
      </c>
      <c r="R819" s="72">
        <v>0.957610665286047</v>
      </c>
      <c r="S819" s="74">
        <v>0.9</v>
      </c>
      <c r="T819" s="72">
        <v>0.933607520564042</v>
      </c>
      <c r="U819" s="72">
        <v>0.941524310118265</v>
      </c>
      <c r="V819" s="72">
        <v>0.950819672131147</v>
      </c>
      <c r="W819" s="72">
        <v>0.947126585555268</v>
      </c>
      <c r="X819" s="74">
        <v>0.92</v>
      </c>
      <c r="Y819" s="74">
        <v>0.909810126582278</v>
      </c>
      <c r="Z819" s="74">
        <v>0.925632911392405</v>
      </c>
      <c r="AA819" s="74">
        <v>0.936475409836066</v>
      </c>
      <c r="AB819" s="74">
        <v>0.923645320197044</v>
      </c>
      <c r="AC819" s="74">
        <v>0.92</v>
      </c>
      <c r="AD819" s="72">
        <v>1</v>
      </c>
      <c r="AE819" s="72">
        <v>0.995740149094782</v>
      </c>
      <c r="AF819" s="72">
        <v>0.997222222222222</v>
      </c>
      <c r="AG819" s="72">
        <v>0.996105673087043</v>
      </c>
      <c r="AH819" s="74">
        <v>0.92</v>
      </c>
      <c r="AI819" s="72">
        <v>0.945563651950279</v>
      </c>
      <c r="AJ819" s="72">
        <v>0.954503249767874</v>
      </c>
      <c r="AK819" s="72">
        <v>0.966744730679157</v>
      </c>
      <c r="AL819" s="72">
        <v>0.95991123546722</v>
      </c>
      <c r="AM819" s="71">
        <v>0.99</v>
      </c>
      <c r="AN819" s="76">
        <v>1</v>
      </c>
      <c r="AO819" s="76">
        <v>1</v>
      </c>
      <c r="AP819" s="76">
        <v>1</v>
      </c>
      <c r="AQ819" s="76">
        <v>1</v>
      </c>
      <c r="AR819" s="96">
        <v>0.0810595228934205</v>
      </c>
      <c r="AS819" s="80">
        <v>0</v>
      </c>
      <c r="AT819" s="80">
        <v>0.272727272727273</v>
      </c>
      <c r="AU819" s="80">
        <v>0</v>
      </c>
      <c r="AV819" s="80">
        <v>0.0520833333333333</v>
      </c>
      <c r="AW819" s="36"/>
      <c r="AX819" s="34"/>
    </row>
    <row r="820" ht="14.5" spans="1:50">
      <c r="A820" s="32"/>
      <c r="B820" s="36"/>
      <c r="C820" s="91" t="s">
        <v>693</v>
      </c>
      <c r="D820" s="69" t="s">
        <v>21</v>
      </c>
      <c r="E820" s="114" t="s">
        <v>870</v>
      </c>
      <c r="F820" s="114" t="s">
        <v>870</v>
      </c>
      <c r="G820" s="114" t="s">
        <v>870</v>
      </c>
      <c r="H820" s="114" t="s">
        <v>870</v>
      </c>
      <c r="I820" s="71">
        <v>0.9</v>
      </c>
      <c r="J820" s="72">
        <v>1</v>
      </c>
      <c r="K820" s="72">
        <v>1</v>
      </c>
      <c r="L820" s="73">
        <v>0.974358974358974</v>
      </c>
      <c r="M820" s="72">
        <v>0.979351032448378</v>
      </c>
      <c r="N820" s="74">
        <v>0.9</v>
      </c>
      <c r="O820" s="72">
        <v>0.932432432432432</v>
      </c>
      <c r="P820" s="72">
        <v>0.967425569176883</v>
      </c>
      <c r="Q820" s="72">
        <v>0.960803689064559</v>
      </c>
      <c r="R820" s="72">
        <v>0.956702747710241</v>
      </c>
      <c r="S820" s="74">
        <v>0.9</v>
      </c>
      <c r="T820" s="72">
        <v>0.925518541797612</v>
      </c>
      <c r="U820" s="72">
        <v>0.94430823117338</v>
      </c>
      <c r="V820" s="72">
        <v>0.938735177865613</v>
      </c>
      <c r="W820" s="72">
        <v>0.931252941389422</v>
      </c>
      <c r="X820" s="74">
        <v>0.92</v>
      </c>
      <c r="Y820" s="74">
        <v>0.903645833333333</v>
      </c>
      <c r="Z820" s="74">
        <v>0.908653846153846</v>
      </c>
      <c r="AA820" s="74">
        <v>0.908341915550978</v>
      </c>
      <c r="AB820" s="74">
        <v>0.914211719002914</v>
      </c>
      <c r="AC820" s="74">
        <v>0.92</v>
      </c>
      <c r="AD820" s="72">
        <v>0.989473684210526</v>
      </c>
      <c r="AE820" s="72">
        <v>0.969526864474739</v>
      </c>
      <c r="AF820" s="72">
        <v>0.988885876931418</v>
      </c>
      <c r="AG820" s="72">
        <v>0.98453125</v>
      </c>
      <c r="AH820" s="74">
        <v>0.92</v>
      </c>
      <c r="AI820" s="72">
        <v>0.950622981079834</v>
      </c>
      <c r="AJ820" s="72">
        <v>0.953016688061617</v>
      </c>
      <c r="AK820" s="72">
        <v>0.962315947092588</v>
      </c>
      <c r="AL820" s="72">
        <v>0.961021359644367</v>
      </c>
      <c r="AM820" s="71">
        <v>0.99</v>
      </c>
      <c r="AN820" s="76">
        <v>1</v>
      </c>
      <c r="AO820" s="76">
        <v>1</v>
      </c>
      <c r="AP820" s="76">
        <v>1</v>
      </c>
      <c r="AQ820" s="76">
        <v>1</v>
      </c>
      <c r="AR820" s="96">
        <v>0.0810595228934205</v>
      </c>
      <c r="AS820" s="80">
        <v>0.333333333333333</v>
      </c>
      <c r="AT820" s="80">
        <v>0.0555555555555556</v>
      </c>
      <c r="AU820" s="80">
        <v>0</v>
      </c>
      <c r="AV820" s="80">
        <v>0.108333333333333</v>
      </c>
      <c r="AW820" s="36"/>
      <c r="AX820" s="34"/>
    </row>
    <row r="821" ht="14.5" spans="1:50">
      <c r="A821" s="32"/>
      <c r="B821" s="36"/>
      <c r="C821" s="91" t="s">
        <v>693</v>
      </c>
      <c r="D821" s="69" t="s">
        <v>21</v>
      </c>
      <c r="E821" s="114" t="s">
        <v>871</v>
      </c>
      <c r="F821" s="114" t="s">
        <v>871</v>
      </c>
      <c r="G821" s="114" t="s">
        <v>871</v>
      </c>
      <c r="H821" s="114" t="s">
        <v>871</v>
      </c>
      <c r="I821" s="71">
        <v>0.9</v>
      </c>
      <c r="J821" s="72">
        <v>1</v>
      </c>
      <c r="K821" s="72">
        <v>0.928571428571429</v>
      </c>
      <c r="L821" s="73">
        <v>0.866666666666667</v>
      </c>
      <c r="M821" s="72">
        <v>0.965779467680608</v>
      </c>
      <c r="N821" s="74">
        <v>0.9</v>
      </c>
      <c r="O821" s="72">
        <v>0.996092362344583</v>
      </c>
      <c r="P821" s="72">
        <v>0.992119779353822</v>
      </c>
      <c r="Q821" s="72">
        <v>0.989648798521257</v>
      </c>
      <c r="R821" s="72">
        <v>0.993292658289224</v>
      </c>
      <c r="S821" s="74">
        <v>0.9</v>
      </c>
      <c r="T821" s="72">
        <v>0.959502664298401</v>
      </c>
      <c r="U821" s="72">
        <v>0.970449172576832</v>
      </c>
      <c r="V821" s="72">
        <v>0.966358595194085</v>
      </c>
      <c r="W821" s="72">
        <v>0.967271404905249</v>
      </c>
      <c r="X821" s="74">
        <v>0.92</v>
      </c>
      <c r="Y821" s="74">
        <v>0.934763181411975</v>
      </c>
      <c r="Z821" s="74">
        <v>0.955401387512388</v>
      </c>
      <c r="AA821" s="74">
        <v>0.944254835039818</v>
      </c>
      <c r="AB821" s="74">
        <v>0.944273544723142</v>
      </c>
      <c r="AC821" s="74">
        <v>0.92</v>
      </c>
      <c r="AD821" s="72">
        <v>0.990407673860911</v>
      </c>
      <c r="AE821" s="72">
        <v>0.996708246708247</v>
      </c>
      <c r="AF821" s="72">
        <v>0.997991295614329</v>
      </c>
      <c r="AG821" s="72">
        <v>0.996918236282919</v>
      </c>
      <c r="AH821" s="74">
        <v>0.92</v>
      </c>
      <c r="AI821" s="72">
        <v>0.964167725540025</v>
      </c>
      <c r="AJ821" s="72">
        <v>0.974915445321308</v>
      </c>
      <c r="AK821" s="72">
        <v>0.975174337517434</v>
      </c>
      <c r="AL821" s="72">
        <v>0.974795230065045</v>
      </c>
      <c r="AM821" s="71">
        <v>0.99</v>
      </c>
      <c r="AN821" s="76">
        <v>1</v>
      </c>
      <c r="AO821" s="76">
        <v>1</v>
      </c>
      <c r="AP821" s="76">
        <v>1</v>
      </c>
      <c r="AQ821" s="76">
        <v>1</v>
      </c>
      <c r="AR821" s="96">
        <v>0.0810595228934205</v>
      </c>
      <c r="AS821" s="80">
        <v>0.1</v>
      </c>
      <c r="AT821" s="80">
        <v>0</v>
      </c>
      <c r="AU821" s="80">
        <v>0.0555555555555556</v>
      </c>
      <c r="AV821" s="80">
        <v>0.0359712230215827</v>
      </c>
      <c r="AW821" s="36"/>
      <c r="AX821" s="34"/>
    </row>
    <row r="822" ht="14.5" spans="1:50">
      <c r="A822" s="32"/>
      <c r="B822" s="36"/>
      <c r="C822" s="91" t="s">
        <v>693</v>
      </c>
      <c r="D822" s="69" t="s">
        <v>21</v>
      </c>
      <c r="E822" s="114" t="s">
        <v>872</v>
      </c>
      <c r="F822" s="114" t="s">
        <v>872</v>
      </c>
      <c r="G822" s="114" t="s">
        <v>872</v>
      </c>
      <c r="H822" s="114" t="s">
        <v>872</v>
      </c>
      <c r="I822" s="71">
        <v>0.9</v>
      </c>
      <c r="J822" s="72">
        <v>1</v>
      </c>
      <c r="K822" s="72">
        <v>1</v>
      </c>
      <c r="L822" s="73">
        <v>1</v>
      </c>
      <c r="M822" s="72">
        <v>1</v>
      </c>
      <c r="N822" s="74">
        <v>0.9</v>
      </c>
      <c r="O822" s="72">
        <v>0.994233378561737</v>
      </c>
      <c r="P822" s="72">
        <v>0.99580472921434</v>
      </c>
      <c r="Q822" s="72">
        <v>0.995059985885674</v>
      </c>
      <c r="R822" s="72">
        <v>0.994710605426386</v>
      </c>
      <c r="S822" s="74">
        <v>0.9</v>
      </c>
      <c r="T822" s="72">
        <v>0.977272727272727</v>
      </c>
      <c r="U822" s="72">
        <v>0.973302822273074</v>
      </c>
      <c r="V822" s="72">
        <v>0.983415666901905</v>
      </c>
      <c r="W822" s="72">
        <v>0.978804368507173</v>
      </c>
      <c r="X822" s="74">
        <v>0.92</v>
      </c>
      <c r="Y822" s="74">
        <v>0.944115156646909</v>
      </c>
      <c r="Z822" s="74">
        <v>0.944980694980695</v>
      </c>
      <c r="AA822" s="74">
        <v>0.938983050847458</v>
      </c>
      <c r="AB822" s="74">
        <v>0.941642162406695</v>
      </c>
      <c r="AC822" s="74">
        <v>0.92</v>
      </c>
      <c r="AD822" s="72">
        <v>0.99625468164794</v>
      </c>
      <c r="AE822" s="72">
        <v>0.996749024707412</v>
      </c>
      <c r="AF822" s="72">
        <v>0.997948016415869</v>
      </c>
      <c r="AG822" s="72">
        <v>0.996787922588934</v>
      </c>
      <c r="AH822" s="74">
        <v>0.92</v>
      </c>
      <c r="AI822" s="72">
        <v>0.976986434108527</v>
      </c>
      <c r="AJ822" s="72">
        <v>0.978130125751777</v>
      </c>
      <c r="AK822" s="72">
        <v>0.983059962355472</v>
      </c>
      <c r="AL822" s="72">
        <v>0.98078072947809</v>
      </c>
      <c r="AM822" s="71">
        <v>0.99</v>
      </c>
      <c r="AN822" s="76">
        <v>1</v>
      </c>
      <c r="AO822" s="76">
        <v>1</v>
      </c>
      <c r="AP822" s="76">
        <v>1</v>
      </c>
      <c r="AQ822" s="76">
        <v>1</v>
      </c>
      <c r="AR822" s="96">
        <v>0.0810595228934205</v>
      </c>
      <c r="AS822" s="80">
        <v>0</v>
      </c>
      <c r="AT822" s="80">
        <v>0</v>
      </c>
      <c r="AU822" s="80">
        <v>0</v>
      </c>
      <c r="AV822" s="80">
        <v>0.0123456790123457</v>
      </c>
      <c r="AW822" s="36"/>
      <c r="AX822" s="34"/>
    </row>
    <row r="823" ht="14.5" spans="1:50">
      <c r="A823" s="32"/>
      <c r="B823" s="36"/>
      <c r="C823" s="91" t="s">
        <v>693</v>
      </c>
      <c r="D823" s="69" t="s">
        <v>21</v>
      </c>
      <c r="E823" s="114" t="s">
        <v>873</v>
      </c>
      <c r="F823" s="114" t="s">
        <v>873</v>
      </c>
      <c r="G823" s="114" t="s">
        <v>873</v>
      </c>
      <c r="H823" s="114" t="s">
        <v>873</v>
      </c>
      <c r="I823" s="71">
        <v>0.9</v>
      </c>
      <c r="J823" s="72">
        <v>0.942857142857143</v>
      </c>
      <c r="K823" s="72">
        <v>0.973684210526316</v>
      </c>
      <c r="L823" s="73">
        <v>0.902439024390244</v>
      </c>
      <c r="M823" s="72">
        <v>0.929824561403509</v>
      </c>
      <c r="N823" s="74">
        <v>0.9</v>
      </c>
      <c r="O823" s="72">
        <v>0.977878787878788</v>
      </c>
      <c r="P823" s="72">
        <v>0.985858585858586</v>
      </c>
      <c r="Q823" s="72">
        <v>0.985758513931889</v>
      </c>
      <c r="R823" s="72">
        <v>0.975646514814181</v>
      </c>
      <c r="S823" s="74">
        <v>0.9</v>
      </c>
      <c r="T823" s="72">
        <v>0.901212121212121</v>
      </c>
      <c r="U823" s="72">
        <v>0.92962962962963</v>
      </c>
      <c r="V823" s="72">
        <v>0.943962848297214</v>
      </c>
      <c r="W823" s="72">
        <v>0.919198492892619</v>
      </c>
      <c r="X823" s="74">
        <v>0.92</v>
      </c>
      <c r="Y823" s="74">
        <v>0.92448132780083</v>
      </c>
      <c r="Z823" s="74">
        <v>0.94716618635927</v>
      </c>
      <c r="AA823" s="74">
        <v>0.946053946053946</v>
      </c>
      <c r="AB823" s="74">
        <v>0.943071398394592</v>
      </c>
      <c r="AC823" s="74">
        <v>0.92</v>
      </c>
      <c r="AD823" s="72">
        <v>0.998921251348436</v>
      </c>
      <c r="AE823" s="72">
        <v>0.997660514686769</v>
      </c>
      <c r="AF823" s="72">
        <v>0.997677793904209</v>
      </c>
      <c r="AG823" s="72">
        <v>0.995009121261143</v>
      </c>
      <c r="AH823" s="74">
        <v>0.92</v>
      </c>
      <c r="AI823" s="72">
        <v>0.945184198845983</v>
      </c>
      <c r="AJ823" s="72">
        <v>0.963600099725754</v>
      </c>
      <c r="AK823" s="72">
        <v>0.973056015126448</v>
      </c>
      <c r="AL823" s="72">
        <v>0.965759801386159</v>
      </c>
      <c r="AM823" s="71">
        <v>0.99</v>
      </c>
      <c r="AN823" s="76">
        <v>1</v>
      </c>
      <c r="AO823" s="76">
        <v>1</v>
      </c>
      <c r="AP823" s="76">
        <v>1</v>
      </c>
      <c r="AQ823" s="76">
        <v>1</v>
      </c>
      <c r="AR823" s="96">
        <v>0.0810595228934205</v>
      </c>
      <c r="AS823" s="80">
        <v>0</v>
      </c>
      <c r="AT823" s="80">
        <v>0</v>
      </c>
      <c r="AU823" s="80">
        <v>0.0333333333333333</v>
      </c>
      <c r="AV823" s="80">
        <v>0.0310880829015544</v>
      </c>
      <c r="AW823" s="36"/>
      <c r="AX823" s="34"/>
    </row>
    <row r="824" ht="14.5" spans="1:50">
      <c r="A824" s="32"/>
      <c r="B824" s="36"/>
      <c r="C824" s="91" t="s">
        <v>693</v>
      </c>
      <c r="D824" s="69" t="s">
        <v>21</v>
      </c>
      <c r="E824" s="114" t="s">
        <v>874</v>
      </c>
      <c r="F824" s="114" t="s">
        <v>874</v>
      </c>
      <c r="G824" s="114" t="s">
        <v>874</v>
      </c>
      <c r="H824" s="114" t="s">
        <v>874</v>
      </c>
      <c r="I824" s="71">
        <v>0.9</v>
      </c>
      <c r="J824" s="72">
        <v>1</v>
      </c>
      <c r="K824" s="72">
        <v>1</v>
      </c>
      <c r="L824" s="73">
        <v>1</v>
      </c>
      <c r="M824" s="72">
        <v>0.981684981684982</v>
      </c>
      <c r="N824" s="74">
        <v>0.9</v>
      </c>
      <c r="O824" s="72">
        <v>0.939218523878437</v>
      </c>
      <c r="P824" s="72">
        <v>0.942695722356739</v>
      </c>
      <c r="Q824" s="72">
        <v>0.942416258938653</v>
      </c>
      <c r="R824" s="72">
        <v>0.936752888497981</v>
      </c>
      <c r="S824" s="74">
        <v>0.9</v>
      </c>
      <c r="T824" s="72">
        <v>0.918958031837916</v>
      </c>
      <c r="U824" s="72">
        <v>0.944309927360775</v>
      </c>
      <c r="V824" s="72">
        <v>0.942416258938653</v>
      </c>
      <c r="W824" s="72">
        <v>0.936033262703394</v>
      </c>
      <c r="X824" s="74">
        <v>0.92</v>
      </c>
      <c r="Y824" s="74">
        <v>0.775658492279746</v>
      </c>
      <c r="Z824" s="74">
        <v>0.876971608832808</v>
      </c>
      <c r="AA824" s="74">
        <v>0.890173410404624</v>
      </c>
      <c r="AB824" s="74">
        <v>0.877356210729821</v>
      </c>
      <c r="AC824" s="74">
        <v>0.92</v>
      </c>
      <c r="AD824" s="72">
        <v>0.994219653179191</v>
      </c>
      <c r="AE824" s="72">
        <v>0.995019920318725</v>
      </c>
      <c r="AF824" s="72">
        <v>0.991506228765572</v>
      </c>
      <c r="AG824" s="72">
        <v>0.99184404217227</v>
      </c>
      <c r="AH824" s="74">
        <v>0.92</v>
      </c>
      <c r="AI824" s="72">
        <v>0.906104500775996</v>
      </c>
      <c r="AJ824" s="72">
        <v>0.94634004082823</v>
      </c>
      <c r="AK824" s="72">
        <v>0.956274843838728</v>
      </c>
      <c r="AL824" s="72">
        <v>0.949294082306999</v>
      </c>
      <c r="AM824" s="71">
        <v>0.99</v>
      </c>
      <c r="AN824" s="76">
        <v>1</v>
      </c>
      <c r="AO824" s="76">
        <v>1</v>
      </c>
      <c r="AP824" s="76">
        <v>1</v>
      </c>
      <c r="AQ824" s="76">
        <v>1</v>
      </c>
      <c r="AR824" s="96">
        <v>0.0810595228934205</v>
      </c>
      <c r="AS824" s="80">
        <v>0</v>
      </c>
      <c r="AT824" s="80">
        <v>0.0714285714285714</v>
      </c>
      <c r="AU824" s="80">
        <v>0.0588235294117647</v>
      </c>
      <c r="AV824" s="80">
        <v>0.0503597122302158</v>
      </c>
      <c r="AW824" s="36"/>
      <c r="AX824" s="34"/>
    </row>
    <row r="825" ht="14.5" spans="1:50">
      <c r="A825" s="32"/>
      <c r="B825" s="36"/>
      <c r="C825" s="91" t="s">
        <v>693</v>
      </c>
      <c r="D825" s="69" t="s">
        <v>21</v>
      </c>
      <c r="E825" s="114" t="s">
        <v>875</v>
      </c>
      <c r="F825" s="114" t="s">
        <v>875</v>
      </c>
      <c r="G825" s="114" t="s">
        <v>875</v>
      </c>
      <c r="H825" s="114" t="s">
        <v>875</v>
      </c>
      <c r="I825" s="71">
        <v>0.9</v>
      </c>
      <c r="J825" s="72">
        <v>0.904761904761905</v>
      </c>
      <c r="K825" s="72">
        <v>0.904761904761905</v>
      </c>
      <c r="L825" s="73">
        <v>0.869565217391304</v>
      </c>
      <c r="M825" s="72">
        <v>0.840425531914894</v>
      </c>
      <c r="N825" s="74">
        <v>0.9</v>
      </c>
      <c r="O825" s="72">
        <v>0.97628927089508</v>
      </c>
      <c r="P825" s="72">
        <v>0.919547872340426</v>
      </c>
      <c r="Q825" s="72">
        <v>0.975033738191633</v>
      </c>
      <c r="R825" s="72">
        <v>0.93538142906455</v>
      </c>
      <c r="S825" s="74">
        <v>0.9</v>
      </c>
      <c r="T825" s="72">
        <v>0.943687018375815</v>
      </c>
      <c r="U825" s="72">
        <v>0.926196808510638</v>
      </c>
      <c r="V825" s="72">
        <v>0.93387314439946</v>
      </c>
      <c r="W825" s="72">
        <v>0.938142906454953</v>
      </c>
      <c r="X825" s="74">
        <v>0.92</v>
      </c>
      <c r="Y825" s="74">
        <v>0.909090909090909</v>
      </c>
      <c r="Z825" s="74">
        <v>0.936426116838488</v>
      </c>
      <c r="AA825" s="74">
        <v>0.937163375224417</v>
      </c>
      <c r="AB825" s="74">
        <v>0.924524442626304</v>
      </c>
      <c r="AC825" s="74">
        <v>0.92</v>
      </c>
      <c r="AD825" s="72">
        <v>0.990654205607477</v>
      </c>
      <c r="AE825" s="72">
        <v>0.995454545454545</v>
      </c>
      <c r="AF825" s="72">
        <v>0.966244725738397</v>
      </c>
      <c r="AG825" s="72">
        <v>0.988940628637951</v>
      </c>
      <c r="AH825" s="74">
        <v>0.92</v>
      </c>
      <c r="AI825" s="72">
        <v>0.954841511072514</v>
      </c>
      <c r="AJ825" s="72">
        <v>0.957813998082454</v>
      </c>
      <c r="AK825" s="72">
        <v>0.964688572829819</v>
      </c>
      <c r="AL825" s="72">
        <v>0.962114173634768</v>
      </c>
      <c r="AM825" s="71">
        <v>0.99</v>
      </c>
      <c r="AN825" s="76">
        <v>1</v>
      </c>
      <c r="AO825" s="76">
        <v>1</v>
      </c>
      <c r="AP825" s="76">
        <v>1</v>
      </c>
      <c r="AQ825" s="76">
        <v>1</v>
      </c>
      <c r="AR825" s="96">
        <v>0.0810595228934205</v>
      </c>
      <c r="AS825" s="80">
        <v>0</v>
      </c>
      <c r="AT825" s="80">
        <v>0.285714285714286</v>
      </c>
      <c r="AU825" s="80">
        <v>0</v>
      </c>
      <c r="AV825" s="80">
        <v>0.0666666666666667</v>
      </c>
      <c r="AW825" s="36"/>
      <c r="AX825" s="34"/>
    </row>
    <row r="826" ht="14.5" spans="1:50">
      <c r="A826" s="32"/>
      <c r="B826" s="36"/>
      <c r="C826" s="91" t="s">
        <v>693</v>
      </c>
      <c r="D826" s="69" t="s">
        <v>21</v>
      </c>
      <c r="E826" s="114" t="s">
        <v>876</v>
      </c>
      <c r="F826" s="114" t="s">
        <v>876</v>
      </c>
      <c r="G826" s="114" t="s">
        <v>876</v>
      </c>
      <c r="H826" s="114" t="s">
        <v>876</v>
      </c>
      <c r="I826" s="71">
        <v>0.9</v>
      </c>
      <c r="J826" s="72">
        <v>0.892857142857143</v>
      </c>
      <c r="K826" s="72">
        <v>0.888888888888889</v>
      </c>
      <c r="L826" s="73">
        <v>0.931034482758621</v>
      </c>
      <c r="M826" s="72">
        <v>0.937254901960784</v>
      </c>
      <c r="N826" s="74">
        <v>0.9</v>
      </c>
      <c r="O826" s="72">
        <v>0.872866894197952</v>
      </c>
      <c r="P826" s="72">
        <v>0.940645773979107</v>
      </c>
      <c r="Q826" s="72">
        <v>0.931551804969526</v>
      </c>
      <c r="R826" s="72">
        <v>0.91013958898798</v>
      </c>
      <c r="S826" s="74">
        <v>0.9</v>
      </c>
      <c r="T826" s="72">
        <v>0.911262798634812</v>
      </c>
      <c r="U826" s="72">
        <v>0.915954415954416</v>
      </c>
      <c r="V826" s="72">
        <v>0.936708860759494</v>
      </c>
      <c r="W826" s="72">
        <v>0.918088406359054</v>
      </c>
      <c r="X826" s="74">
        <v>0.92</v>
      </c>
      <c r="Y826" s="74">
        <v>0.923922231614539</v>
      </c>
      <c r="Z826" s="74">
        <v>0.905622489959839</v>
      </c>
      <c r="AA826" s="74">
        <v>0.913089005235602</v>
      </c>
      <c r="AB826" s="74">
        <v>0.91042345276873</v>
      </c>
      <c r="AC826" s="74">
        <v>0.92</v>
      </c>
      <c r="AD826" s="72">
        <v>0.987053020961776</v>
      </c>
      <c r="AE826" s="72">
        <v>0.990153846153846</v>
      </c>
      <c r="AF826" s="72">
        <v>0.989937106918239</v>
      </c>
      <c r="AG826" s="72">
        <v>0.985554490252477</v>
      </c>
      <c r="AH826" s="74">
        <v>0.92</v>
      </c>
      <c r="AI826" s="72">
        <v>0.95225988700565</v>
      </c>
      <c r="AJ826" s="72">
        <v>0.949790794979079</v>
      </c>
      <c r="AK826" s="72">
        <v>0.959533829718355</v>
      </c>
      <c r="AL826" s="72">
        <v>0.955695355374113</v>
      </c>
      <c r="AM826" s="71">
        <v>0.99</v>
      </c>
      <c r="AN826" s="76">
        <v>1</v>
      </c>
      <c r="AO826" s="76">
        <v>1</v>
      </c>
      <c r="AP826" s="76">
        <v>1</v>
      </c>
      <c r="AQ826" s="76">
        <v>1</v>
      </c>
      <c r="AR826" s="96">
        <v>0.0810595228934205</v>
      </c>
      <c r="AS826" s="80">
        <v>0</v>
      </c>
      <c r="AT826" s="80">
        <v>0.0714285714285714</v>
      </c>
      <c r="AU826" s="80">
        <v>0.0526315789473684</v>
      </c>
      <c r="AV826" s="80">
        <v>0.0377358490566038</v>
      </c>
      <c r="AW826" s="36"/>
      <c r="AX826" s="34"/>
    </row>
    <row r="827" ht="14.5" spans="1:50">
      <c r="A827" s="32"/>
      <c r="B827" s="36"/>
      <c r="C827" s="91" t="s">
        <v>693</v>
      </c>
      <c r="D827" s="69" t="s">
        <v>21</v>
      </c>
      <c r="E827" s="114" t="s">
        <v>877</v>
      </c>
      <c r="F827" s="114" t="s">
        <v>877</v>
      </c>
      <c r="G827" s="114" t="s">
        <v>877</v>
      </c>
      <c r="H827" s="114" t="s">
        <v>877</v>
      </c>
      <c r="I827" s="71">
        <v>0.9</v>
      </c>
      <c r="J827" s="72">
        <v>0.875</v>
      </c>
      <c r="K827" s="72">
        <v>0.851851851851852</v>
      </c>
      <c r="L827" s="73">
        <v>0.888888888888889</v>
      </c>
      <c r="M827" s="72">
        <v>0.866666666666667</v>
      </c>
      <c r="N827" s="74">
        <v>0.9</v>
      </c>
      <c r="O827" s="72">
        <v>0.955715140634351</v>
      </c>
      <c r="P827" s="72">
        <v>0.938320209973753</v>
      </c>
      <c r="Q827" s="72">
        <v>0.963624338624339</v>
      </c>
      <c r="R827" s="72">
        <v>0.89056915039868</v>
      </c>
      <c r="S827" s="74">
        <v>0.9</v>
      </c>
      <c r="T827" s="72">
        <v>0.921005385996409</v>
      </c>
      <c r="U827" s="72">
        <v>0.918635170603674</v>
      </c>
      <c r="V827" s="72">
        <v>0.931878306878307</v>
      </c>
      <c r="W827" s="72">
        <v>0.924113280175969</v>
      </c>
      <c r="X827" s="74">
        <v>0.92</v>
      </c>
      <c r="Y827" s="74">
        <v>0.869463869463869</v>
      </c>
      <c r="Z827" s="74">
        <v>0.910144927536232</v>
      </c>
      <c r="AA827" s="74">
        <v>0.902679830747532</v>
      </c>
      <c r="AB827" s="74">
        <v>0.91160727940052</v>
      </c>
      <c r="AC827" s="74">
        <v>0.92</v>
      </c>
      <c r="AD827" s="72">
        <v>0.984527687296417</v>
      </c>
      <c r="AE827" s="72">
        <v>0.984259259259259</v>
      </c>
      <c r="AF827" s="72">
        <v>0.987654320987654</v>
      </c>
      <c r="AG827" s="72">
        <v>0.981153242091093</v>
      </c>
      <c r="AH827" s="74">
        <v>0.92</v>
      </c>
      <c r="AI827" s="72">
        <v>0.928486764124852</v>
      </c>
      <c r="AJ827" s="72">
        <v>0.946251129177958</v>
      </c>
      <c r="AK827" s="72">
        <v>0.955875731652409</v>
      </c>
      <c r="AL827" s="72">
        <v>0.954347207736797</v>
      </c>
      <c r="AM827" s="71">
        <v>0.99</v>
      </c>
      <c r="AN827" s="76">
        <v>1</v>
      </c>
      <c r="AO827" s="76">
        <v>1</v>
      </c>
      <c r="AP827" s="76">
        <v>1</v>
      </c>
      <c r="AQ827" s="76">
        <v>1</v>
      </c>
      <c r="AR827" s="96">
        <v>0.0810595228934205</v>
      </c>
      <c r="AS827" s="80">
        <v>0.0909090909090909</v>
      </c>
      <c r="AT827" s="80">
        <v>0.0625</v>
      </c>
      <c r="AU827" s="80">
        <v>0.1</v>
      </c>
      <c r="AV827" s="80">
        <v>0.0654205607476635</v>
      </c>
      <c r="AW827" s="36"/>
      <c r="AX827" s="34"/>
    </row>
    <row r="828" ht="14.5" spans="1:50">
      <c r="A828" s="32"/>
      <c r="B828" s="36"/>
      <c r="C828" s="91" t="s">
        <v>693</v>
      </c>
      <c r="D828" s="69" t="s">
        <v>21</v>
      </c>
      <c r="E828" s="114" t="s">
        <v>878</v>
      </c>
      <c r="F828" s="114" t="s">
        <v>878</v>
      </c>
      <c r="G828" s="114" t="s">
        <v>878</v>
      </c>
      <c r="H828" s="114" t="s">
        <v>878</v>
      </c>
      <c r="I828" s="71">
        <v>0.9</v>
      </c>
      <c r="J828" s="72">
        <v>0.96551724137931</v>
      </c>
      <c r="K828" s="72">
        <v>0.964285714285714</v>
      </c>
      <c r="L828" s="73">
        <v>1</v>
      </c>
      <c r="M828" s="72">
        <v>0.973584905660377</v>
      </c>
      <c r="N828" s="74">
        <v>0.9</v>
      </c>
      <c r="O828" s="72">
        <v>0.906576200417537</v>
      </c>
      <c r="P828" s="72">
        <v>0.936298076923077</v>
      </c>
      <c r="Q828" s="72">
        <v>0.927015891701001</v>
      </c>
      <c r="R828" s="72">
        <v>0.930881618381618</v>
      </c>
      <c r="S828" s="74">
        <v>0.9</v>
      </c>
      <c r="T828" s="72">
        <v>0.894572025052192</v>
      </c>
      <c r="U828" s="72">
        <v>0.920072115384615</v>
      </c>
      <c r="V828" s="72">
        <v>0.919364331959976</v>
      </c>
      <c r="W828" s="72">
        <v>0.912837162837163</v>
      </c>
      <c r="X828" s="74">
        <v>0.92</v>
      </c>
      <c r="Y828" s="74">
        <v>0.837158469945355</v>
      </c>
      <c r="Z828" s="74">
        <v>0.780612244897959</v>
      </c>
      <c r="AA828" s="74">
        <v>0.869297163995068</v>
      </c>
      <c r="AB828" s="74">
        <v>0.824117067679752</v>
      </c>
      <c r="AC828" s="74">
        <v>0.92</v>
      </c>
      <c r="AD828" s="72">
        <v>0.993630573248408</v>
      </c>
      <c r="AE828" s="72">
        <v>0.970443349753695</v>
      </c>
      <c r="AF828" s="72">
        <v>0.980769230769231</v>
      </c>
      <c r="AG828" s="72">
        <v>0.974793388429752</v>
      </c>
      <c r="AH828" s="74">
        <v>0.92</v>
      </c>
      <c r="AI828" s="72">
        <v>0.915522703273495</v>
      </c>
      <c r="AJ828" s="72">
        <v>0.899142507145774</v>
      </c>
      <c r="AK828" s="72">
        <v>0.935214626391097</v>
      </c>
      <c r="AL828" s="72">
        <v>0.918325059356788</v>
      </c>
      <c r="AM828" s="71">
        <v>0.99</v>
      </c>
      <c r="AN828" s="76">
        <v>1</v>
      </c>
      <c r="AO828" s="76">
        <v>1</v>
      </c>
      <c r="AP828" s="76">
        <v>1</v>
      </c>
      <c r="AQ828" s="76">
        <v>1</v>
      </c>
      <c r="AR828" s="96">
        <v>0.0810595228934205</v>
      </c>
      <c r="AS828" s="80">
        <v>0.0909090909090909</v>
      </c>
      <c r="AT828" s="80">
        <v>0</v>
      </c>
      <c r="AU828" s="80">
        <v>0.166666666666667</v>
      </c>
      <c r="AV828" s="80">
        <v>0.051948051948052</v>
      </c>
      <c r="AW828" s="36"/>
      <c r="AX828" s="34"/>
    </row>
    <row r="829" ht="14.5" spans="1:50">
      <c r="A829" s="32"/>
      <c r="B829" s="36"/>
      <c r="C829" s="91" t="s">
        <v>693</v>
      </c>
      <c r="D829" s="69" t="s">
        <v>21</v>
      </c>
      <c r="E829" s="114" t="s">
        <v>879</v>
      </c>
      <c r="F829" s="114" t="s">
        <v>879</v>
      </c>
      <c r="G829" s="114" t="s">
        <v>879</v>
      </c>
      <c r="H829" s="114" t="s">
        <v>879</v>
      </c>
      <c r="I829" s="71">
        <v>0.9</v>
      </c>
      <c r="J829" s="72">
        <v>0.926829268292683</v>
      </c>
      <c r="K829" s="72">
        <v>0.909090909090909</v>
      </c>
      <c r="L829" s="73">
        <v>0.9375</v>
      </c>
      <c r="M829" s="72">
        <v>0.92713567839196</v>
      </c>
      <c r="N829" s="74">
        <v>0.9</v>
      </c>
      <c r="O829" s="72">
        <v>0.756366139022712</v>
      </c>
      <c r="P829" s="72">
        <v>0.910208643815201</v>
      </c>
      <c r="Q829" s="72">
        <v>0.878170637970792</v>
      </c>
      <c r="R829" s="72">
        <v>0.821107213664786</v>
      </c>
      <c r="S829" s="74">
        <v>0.9</v>
      </c>
      <c r="T829" s="72">
        <v>0.847212663454921</v>
      </c>
      <c r="U829" s="72">
        <v>0.918777943368107</v>
      </c>
      <c r="V829" s="72">
        <v>0.922751729438893</v>
      </c>
      <c r="W829" s="72">
        <v>0.897285343907275</v>
      </c>
      <c r="X829" s="74">
        <v>0.92</v>
      </c>
      <c r="Y829" s="74">
        <v>0.813718411552347</v>
      </c>
      <c r="Z829" s="74">
        <v>0.795493934142114</v>
      </c>
      <c r="AA829" s="74">
        <v>0.859076433121019</v>
      </c>
      <c r="AB829" s="74">
        <v>0.825985453892431</v>
      </c>
      <c r="AC829" s="74">
        <v>0.92</v>
      </c>
      <c r="AD829" s="72">
        <v>0.984943777396608</v>
      </c>
      <c r="AE829" s="72">
        <v>0.972498090145149</v>
      </c>
      <c r="AF829" s="72">
        <v>0.978850574712644</v>
      </c>
      <c r="AG829" s="72">
        <v>0.968518799765681</v>
      </c>
      <c r="AH829" s="74">
        <v>0.92</v>
      </c>
      <c r="AI829" s="72">
        <v>0.880708294501398</v>
      </c>
      <c r="AJ829" s="72">
        <v>0.908404892011449</v>
      </c>
      <c r="AK829" s="72">
        <v>0.93210676341021</v>
      </c>
      <c r="AL829" s="72">
        <v>0.912401732712979</v>
      </c>
      <c r="AM829" s="71">
        <v>0.99</v>
      </c>
      <c r="AN829" s="76">
        <v>1</v>
      </c>
      <c r="AO829" s="76">
        <v>1</v>
      </c>
      <c r="AP829" s="76">
        <v>1</v>
      </c>
      <c r="AQ829" s="76">
        <v>1</v>
      </c>
      <c r="AR829" s="96">
        <v>0.0810595228934205</v>
      </c>
      <c r="AS829" s="80">
        <v>0.2</v>
      </c>
      <c r="AT829" s="80">
        <v>0</v>
      </c>
      <c r="AU829" s="80">
        <v>0.0740740740740741</v>
      </c>
      <c r="AV829" s="80">
        <v>0.0909090909090909</v>
      </c>
      <c r="AW829" s="36"/>
      <c r="AX829" s="34"/>
    </row>
    <row r="830" ht="14.5" spans="1:50">
      <c r="A830" s="32"/>
      <c r="B830" s="36"/>
      <c r="C830" s="91" t="s">
        <v>693</v>
      </c>
      <c r="D830" s="69" t="s">
        <v>21</v>
      </c>
      <c r="E830" s="114" t="s">
        <v>880</v>
      </c>
      <c r="F830" s="114" t="s">
        <v>880</v>
      </c>
      <c r="G830" s="114" t="s">
        <v>880</v>
      </c>
      <c r="H830" s="114" t="s">
        <v>880</v>
      </c>
      <c r="I830" s="71">
        <v>0.9</v>
      </c>
      <c r="J830" s="72">
        <v>1</v>
      </c>
      <c r="K830" s="72">
        <v>1</v>
      </c>
      <c r="L830" s="73">
        <v>1</v>
      </c>
      <c r="M830" s="72">
        <v>0.980237154150198</v>
      </c>
      <c r="N830" s="74">
        <v>0.9</v>
      </c>
      <c r="O830" s="72">
        <v>0.951113262342691</v>
      </c>
      <c r="P830" s="72">
        <v>0.960134755755194</v>
      </c>
      <c r="Q830" s="72">
        <v>0.961975028376844</v>
      </c>
      <c r="R830" s="72">
        <v>0.953059188649967</v>
      </c>
      <c r="S830" s="74">
        <v>0.9</v>
      </c>
      <c r="T830" s="72">
        <v>0.927395934172314</v>
      </c>
      <c r="U830" s="72">
        <v>0.934868051656373</v>
      </c>
      <c r="V830" s="72">
        <v>0.952894438138479</v>
      </c>
      <c r="W830" s="72">
        <v>0.931001995123033</v>
      </c>
      <c r="X830" s="74">
        <v>0.92</v>
      </c>
      <c r="Y830" s="74">
        <v>0.847930702598653</v>
      </c>
      <c r="Z830" s="74">
        <v>0.89281210592686</v>
      </c>
      <c r="AA830" s="74">
        <v>0.91657010428737</v>
      </c>
      <c r="AB830" s="74">
        <v>0.884934302844751</v>
      </c>
      <c r="AC830" s="74">
        <v>0.92</v>
      </c>
      <c r="AD830" s="72">
        <v>0.984778292521509</v>
      </c>
      <c r="AE830" s="72">
        <v>0.987927565392354</v>
      </c>
      <c r="AF830" s="72">
        <v>0.941605839416058</v>
      </c>
      <c r="AG830" s="72">
        <v>0.952810141423023</v>
      </c>
      <c r="AH830" s="74">
        <v>0.92</v>
      </c>
      <c r="AI830" s="72">
        <v>0.926640926640927</v>
      </c>
      <c r="AJ830" s="72">
        <v>0.946428571428571</v>
      </c>
      <c r="AK830" s="72">
        <v>0.960030452988199</v>
      </c>
      <c r="AL830" s="72">
        <v>0.944002778635381</v>
      </c>
      <c r="AM830" s="71">
        <v>0.99</v>
      </c>
      <c r="AN830" s="76">
        <v>1</v>
      </c>
      <c r="AO830" s="76">
        <v>1</v>
      </c>
      <c r="AP830" s="76">
        <v>1</v>
      </c>
      <c r="AQ830" s="76">
        <v>1</v>
      </c>
      <c r="AR830" s="96">
        <v>0.0810595228934205</v>
      </c>
      <c r="AS830" s="80">
        <v>0.307692307692308</v>
      </c>
      <c r="AT830" s="80">
        <v>0</v>
      </c>
      <c r="AU830" s="80">
        <v>0.0588235294117647</v>
      </c>
      <c r="AV830" s="80">
        <v>0.0645161290322581</v>
      </c>
      <c r="AW830" s="36"/>
      <c r="AX830" s="34"/>
    </row>
    <row r="831" ht="14.5" spans="1:50">
      <c r="A831" s="32"/>
      <c r="B831" s="36"/>
      <c r="C831" s="91" t="s">
        <v>693</v>
      </c>
      <c r="D831" s="69" t="s">
        <v>21</v>
      </c>
      <c r="E831" s="114" t="s">
        <v>881</v>
      </c>
      <c r="F831" s="114" t="s">
        <v>881</v>
      </c>
      <c r="G831" s="114" t="s">
        <v>881</v>
      </c>
      <c r="H831" s="114" t="s">
        <v>881</v>
      </c>
      <c r="I831" s="71">
        <v>0.9</v>
      </c>
      <c r="J831" s="72">
        <v>0.871794871794872</v>
      </c>
      <c r="K831" s="72">
        <v>0.976190476190476</v>
      </c>
      <c r="L831" s="73">
        <v>0.880952380952381</v>
      </c>
      <c r="M831" s="72">
        <v>0.962365591397849</v>
      </c>
      <c r="N831" s="74">
        <v>0.9</v>
      </c>
      <c r="O831" s="72">
        <v>0.952549889135255</v>
      </c>
      <c r="P831" s="72">
        <v>0.971296770886725</v>
      </c>
      <c r="Q831" s="72">
        <v>0.967430025445293</v>
      </c>
      <c r="R831" s="72">
        <v>0.901829845409612</v>
      </c>
      <c r="S831" s="74">
        <v>0.9</v>
      </c>
      <c r="T831" s="72">
        <v>0.914412416851441</v>
      </c>
      <c r="U831" s="72">
        <v>0.940543311122501</v>
      </c>
      <c r="V831" s="72">
        <v>0.934860050890585</v>
      </c>
      <c r="W831" s="72">
        <v>0.928909454201283</v>
      </c>
      <c r="X831" s="74">
        <v>0.92</v>
      </c>
      <c r="Y831" s="74">
        <v>0.888240200166806</v>
      </c>
      <c r="Z831" s="74">
        <v>0.918367346938776</v>
      </c>
      <c r="AA831" s="74">
        <v>0.914225941422594</v>
      </c>
      <c r="AB831" s="74">
        <v>0.906322371468272</v>
      </c>
      <c r="AC831" s="74">
        <v>0.92</v>
      </c>
      <c r="AD831" s="72">
        <v>0.968562874251497</v>
      </c>
      <c r="AE831" s="72">
        <v>0.986024844720497</v>
      </c>
      <c r="AF831" s="72">
        <v>0.983739837398374</v>
      </c>
      <c r="AG831" s="72">
        <v>0.973992642655488</v>
      </c>
      <c r="AH831" s="74">
        <v>0.92</v>
      </c>
      <c r="AI831" s="72">
        <v>0.931483087597572</v>
      </c>
      <c r="AJ831" s="72">
        <v>0.955239417071478</v>
      </c>
      <c r="AK831" s="72">
        <v>0.95242984257358</v>
      </c>
      <c r="AL831" s="72">
        <v>0.950054210336104</v>
      </c>
      <c r="AM831" s="71">
        <v>0.99</v>
      </c>
      <c r="AN831" s="76">
        <v>1</v>
      </c>
      <c r="AO831" s="76">
        <v>1</v>
      </c>
      <c r="AP831" s="76">
        <v>1</v>
      </c>
      <c r="AQ831" s="76">
        <v>1</v>
      </c>
      <c r="AR831" s="96">
        <v>0.0810595228934205</v>
      </c>
      <c r="AS831" s="80">
        <v>0</v>
      </c>
      <c r="AT831" s="80">
        <v>0.230769230769231</v>
      </c>
      <c r="AU831" s="80">
        <v>0</v>
      </c>
      <c r="AV831" s="80">
        <v>0.0833333333333333</v>
      </c>
      <c r="AW831" s="36"/>
      <c r="AX831" s="34"/>
    </row>
    <row r="832" ht="14.5" spans="1:50">
      <c r="A832" s="32"/>
      <c r="B832" s="36"/>
      <c r="C832" s="91" t="s">
        <v>693</v>
      </c>
      <c r="D832" s="69" t="s">
        <v>21</v>
      </c>
      <c r="E832" s="114" t="s">
        <v>882</v>
      </c>
      <c r="F832" s="114" t="s">
        <v>882</v>
      </c>
      <c r="G832" s="114" t="s">
        <v>882</v>
      </c>
      <c r="H832" s="114" t="s">
        <v>882</v>
      </c>
      <c r="I832" s="71">
        <v>0.9</v>
      </c>
      <c r="J832" s="72">
        <v>0.925</v>
      </c>
      <c r="K832" s="72">
        <v>0.930232558139535</v>
      </c>
      <c r="L832" s="73">
        <v>0.930232558139535</v>
      </c>
      <c r="M832" s="72">
        <v>0.931758530183727</v>
      </c>
      <c r="N832" s="74">
        <v>0.9</v>
      </c>
      <c r="O832" s="72">
        <v>0.936914936914937</v>
      </c>
      <c r="P832" s="72">
        <v>0.942016057091882</v>
      </c>
      <c r="Q832" s="72">
        <v>0.953211009174312</v>
      </c>
      <c r="R832" s="72">
        <v>0.895496670237042</v>
      </c>
      <c r="S832" s="74">
        <v>0.9</v>
      </c>
      <c r="T832" s="72">
        <v>0.898656898656899</v>
      </c>
      <c r="U832" s="72">
        <v>0.914362176628011</v>
      </c>
      <c r="V832" s="72">
        <v>0.925229357798165</v>
      </c>
      <c r="W832" s="72">
        <v>0.904810692497555</v>
      </c>
      <c r="X832" s="74">
        <v>0.92</v>
      </c>
      <c r="Y832" s="74">
        <v>0.891304347826087</v>
      </c>
      <c r="Z832" s="74">
        <v>0.869822485207101</v>
      </c>
      <c r="AA832" s="74">
        <v>0.901581722319859</v>
      </c>
      <c r="AB832" s="74">
        <v>0.871908949818934</v>
      </c>
      <c r="AC832" s="74">
        <v>0.92</v>
      </c>
      <c r="AD832" s="72">
        <v>0.986486486486487</v>
      </c>
      <c r="AE832" s="72">
        <v>0.956657963446475</v>
      </c>
      <c r="AF832" s="72">
        <v>0.987005316007088</v>
      </c>
      <c r="AG832" s="72">
        <v>0.976471245738557</v>
      </c>
      <c r="AH832" s="74">
        <v>0.92</v>
      </c>
      <c r="AI832" s="72">
        <v>0.93517017828201</v>
      </c>
      <c r="AJ832" s="72">
        <v>0.933782955242183</v>
      </c>
      <c r="AK832" s="72">
        <v>0.946686746987952</v>
      </c>
      <c r="AL832" s="72">
        <v>0.933669050902909</v>
      </c>
      <c r="AM832" s="71">
        <v>0.99</v>
      </c>
      <c r="AN832" s="76">
        <v>1</v>
      </c>
      <c r="AO832" s="76">
        <v>1</v>
      </c>
      <c r="AP832" s="76">
        <v>1</v>
      </c>
      <c r="AQ832" s="76">
        <v>1</v>
      </c>
      <c r="AR832" s="96">
        <v>0.0810595228934205</v>
      </c>
      <c r="AS832" s="80">
        <v>0</v>
      </c>
      <c r="AT832" s="80">
        <v>0</v>
      </c>
      <c r="AU832" s="80">
        <v>0</v>
      </c>
      <c r="AV832" s="80">
        <v>0.0220588235294118</v>
      </c>
      <c r="AW832" s="36"/>
      <c r="AX832" s="34"/>
    </row>
    <row r="833" ht="14.5" spans="1:50">
      <c r="A833" s="32"/>
      <c r="B833" s="36"/>
      <c r="C833" s="91" t="s">
        <v>693</v>
      </c>
      <c r="D833" s="69" t="s">
        <v>21</v>
      </c>
      <c r="E833" s="114" t="s">
        <v>883</v>
      </c>
      <c r="F833" s="114" t="s">
        <v>883</v>
      </c>
      <c r="G833" s="114" t="s">
        <v>883</v>
      </c>
      <c r="H833" s="114" t="s">
        <v>883</v>
      </c>
      <c r="I833" s="71">
        <v>0.9</v>
      </c>
      <c r="J833" s="72">
        <v>0.9</v>
      </c>
      <c r="K833" s="72">
        <v>0.956989247311828</v>
      </c>
      <c r="L833" s="73">
        <v>0.947916666666667</v>
      </c>
      <c r="M833" s="72">
        <v>0.943396226415094</v>
      </c>
      <c r="N833" s="74">
        <v>0.9</v>
      </c>
      <c r="O833" s="72">
        <v>0.869250490122153</v>
      </c>
      <c r="P833" s="72">
        <v>0.909062053642279</v>
      </c>
      <c r="Q833" s="72">
        <v>0.959297086212076</v>
      </c>
      <c r="R833" s="72">
        <v>0.903985013623978</v>
      </c>
      <c r="S833" s="74">
        <v>0.9</v>
      </c>
      <c r="T833" s="72">
        <v>0.884180364952496</v>
      </c>
      <c r="U833" s="72">
        <v>0.934137438501825</v>
      </c>
      <c r="V833" s="72">
        <v>0.941423851006308</v>
      </c>
      <c r="W833" s="72">
        <v>0.916893732970027</v>
      </c>
      <c r="X833" s="74">
        <v>0.92</v>
      </c>
      <c r="Y833" s="74">
        <v>0.900241351568785</v>
      </c>
      <c r="Z833" s="74">
        <v>0.927565392354125</v>
      </c>
      <c r="AA833" s="74">
        <v>0.931891891891892</v>
      </c>
      <c r="AB833" s="74">
        <v>0.922431456727486</v>
      </c>
      <c r="AC833" s="74">
        <v>0.92</v>
      </c>
      <c r="AD833" s="72">
        <v>0.99305918706917</v>
      </c>
      <c r="AE833" s="72">
        <v>0.992957052797478</v>
      </c>
      <c r="AF833" s="72">
        <v>0.984873565842799</v>
      </c>
      <c r="AG833" s="72">
        <v>0.988179187217218</v>
      </c>
      <c r="AH833" s="74">
        <v>0.92</v>
      </c>
      <c r="AI833" s="72">
        <v>0.936499872999746</v>
      </c>
      <c r="AJ833" s="72">
        <v>0.96860863605209</v>
      </c>
      <c r="AK833" s="72">
        <v>0.974822040601107</v>
      </c>
      <c r="AL833" s="72">
        <v>0.964118474274033</v>
      </c>
      <c r="AM833" s="71">
        <v>0.99</v>
      </c>
      <c r="AN833" s="76">
        <v>1</v>
      </c>
      <c r="AO833" s="76">
        <v>1</v>
      </c>
      <c r="AP833" s="76">
        <v>1</v>
      </c>
      <c r="AQ833" s="76">
        <v>1</v>
      </c>
      <c r="AR833" s="96">
        <v>0.0810595228934205</v>
      </c>
      <c r="AS833" s="80">
        <v>0</v>
      </c>
      <c r="AT833" s="80">
        <v>0.0571428571428571</v>
      </c>
      <c r="AU833" s="80">
        <v>0.166666666666667</v>
      </c>
      <c r="AV833" s="80">
        <v>0.0576923076923077</v>
      </c>
      <c r="AW833" s="36"/>
      <c r="AX833" s="34"/>
    </row>
    <row r="834" ht="14.5" spans="1:50">
      <c r="A834" s="32"/>
      <c r="B834" s="36"/>
      <c r="C834" s="91" t="s">
        <v>693</v>
      </c>
      <c r="D834" s="69" t="s">
        <v>21</v>
      </c>
      <c r="E834" s="114" t="s">
        <v>884</v>
      </c>
      <c r="F834" s="114" t="s">
        <v>884</v>
      </c>
      <c r="G834" s="114" t="s">
        <v>884</v>
      </c>
      <c r="H834" s="114" t="s">
        <v>884</v>
      </c>
      <c r="I834" s="71">
        <v>0.9</v>
      </c>
      <c r="J834" s="72">
        <v>0.959183673469388</v>
      </c>
      <c r="K834" s="72">
        <v>0.979166666666667</v>
      </c>
      <c r="L834" s="73">
        <v>0.981481481481482</v>
      </c>
      <c r="M834" s="72">
        <v>0.972850678733032</v>
      </c>
      <c r="N834" s="74">
        <v>0.9</v>
      </c>
      <c r="O834" s="72">
        <v>0.923367625446147</v>
      </c>
      <c r="P834" s="72">
        <v>0.925313164736469</v>
      </c>
      <c r="Q834" s="72">
        <v>0.934086629001883</v>
      </c>
      <c r="R834" s="72">
        <v>0.914860021554425</v>
      </c>
      <c r="S834" s="74">
        <v>0.9</v>
      </c>
      <c r="T834" s="72">
        <v>0.870459794247323</v>
      </c>
      <c r="U834" s="72">
        <v>0.881351926258568</v>
      </c>
      <c r="V834" s="72">
        <v>0.92725988700565</v>
      </c>
      <c r="W834" s="72">
        <v>0.876663575528209</v>
      </c>
      <c r="X834" s="74">
        <v>0.92</v>
      </c>
      <c r="Y834" s="74">
        <v>0.900497512437811</v>
      </c>
      <c r="Z834" s="74">
        <v>0.935</v>
      </c>
      <c r="AA834" s="74">
        <v>0.911522633744856</v>
      </c>
      <c r="AB834" s="74">
        <v>0.92113614725484</v>
      </c>
      <c r="AC834" s="74">
        <v>0.92</v>
      </c>
      <c r="AD834" s="72">
        <v>0.995584988962472</v>
      </c>
      <c r="AE834" s="72">
        <v>1</v>
      </c>
      <c r="AF834" s="72">
        <v>0.993939393939394</v>
      </c>
      <c r="AG834" s="72">
        <v>0.993114528345192</v>
      </c>
      <c r="AH834" s="74">
        <v>0.92</v>
      </c>
      <c r="AI834" s="72">
        <v>0.955108637098222</v>
      </c>
      <c r="AJ834" s="72">
        <v>0.971848478575864</v>
      </c>
      <c r="AK834" s="72">
        <v>0.9740232312566</v>
      </c>
      <c r="AL834" s="72">
        <v>0.967016556649713</v>
      </c>
      <c r="AM834" s="71">
        <v>0.99</v>
      </c>
      <c r="AN834" s="76">
        <v>1</v>
      </c>
      <c r="AO834" s="76">
        <v>1</v>
      </c>
      <c r="AP834" s="76">
        <v>1</v>
      </c>
      <c r="AQ834" s="76">
        <v>1</v>
      </c>
      <c r="AR834" s="96">
        <v>0.0810595228934205</v>
      </c>
      <c r="AS834" s="80">
        <v>0.2</v>
      </c>
      <c r="AT834" s="80">
        <v>0.0833333333333333</v>
      </c>
      <c r="AU834" s="80">
        <v>0.0666666666666667</v>
      </c>
      <c r="AV834" s="80">
        <v>0.104166666666667</v>
      </c>
      <c r="AW834" s="36"/>
      <c r="AX834" s="34"/>
    </row>
    <row r="835" ht="14.5" spans="1:50">
      <c r="A835" s="32"/>
      <c r="B835" s="36"/>
      <c r="C835" s="91" t="s">
        <v>693</v>
      </c>
      <c r="D835" s="69" t="s">
        <v>21</v>
      </c>
      <c r="E835" s="114" t="s">
        <v>885</v>
      </c>
      <c r="F835" s="114" t="s">
        <v>885</v>
      </c>
      <c r="G835" s="114" t="s">
        <v>885</v>
      </c>
      <c r="H835" s="114" t="s">
        <v>885</v>
      </c>
      <c r="I835" s="71">
        <v>0.9</v>
      </c>
      <c r="J835" s="72">
        <v>1</v>
      </c>
      <c r="K835" s="72">
        <v>1</v>
      </c>
      <c r="L835" s="73">
        <v>0.958333333333333</v>
      </c>
      <c r="M835" s="72">
        <v>0.955223880597015</v>
      </c>
      <c r="N835" s="74">
        <v>0.9</v>
      </c>
      <c r="O835" s="72">
        <v>0.990860990860991</v>
      </c>
      <c r="P835" s="72">
        <v>0.994459833795014</v>
      </c>
      <c r="Q835" s="72">
        <v>0.991366175723718</v>
      </c>
      <c r="R835" s="72">
        <v>0.992144152062847</v>
      </c>
      <c r="S835" s="74">
        <v>0.9</v>
      </c>
      <c r="T835" s="72">
        <v>0.945165945165945</v>
      </c>
      <c r="U835" s="72">
        <v>0.957340720221607</v>
      </c>
      <c r="V835" s="72">
        <v>0.968511934992382</v>
      </c>
      <c r="W835" s="72">
        <v>0.957479536340164</v>
      </c>
      <c r="X835" s="74">
        <v>0.92</v>
      </c>
      <c r="Y835" s="74">
        <v>0.944272445820433</v>
      </c>
      <c r="Z835" s="74">
        <v>0.953917050691244</v>
      </c>
      <c r="AA835" s="74">
        <v>0.936507936507937</v>
      </c>
      <c r="AB835" s="74">
        <v>0.958966565349544</v>
      </c>
      <c r="AC835" s="74">
        <v>0.92</v>
      </c>
      <c r="AD835" s="72">
        <v>1</v>
      </c>
      <c r="AE835" s="72">
        <v>0.993006993006993</v>
      </c>
      <c r="AF835" s="72">
        <v>0.985074626865672</v>
      </c>
      <c r="AG835" s="72">
        <v>0.991518889745567</v>
      </c>
      <c r="AH835" s="74">
        <v>0.92</v>
      </c>
      <c r="AI835" s="72">
        <v>0.971273938384679</v>
      </c>
      <c r="AJ835" s="72">
        <v>0.981206726013848</v>
      </c>
      <c r="AK835" s="72">
        <v>0.988415199258573</v>
      </c>
      <c r="AL835" s="72">
        <v>0.983393328533717</v>
      </c>
      <c r="AM835" s="71">
        <v>0.99</v>
      </c>
      <c r="AN835" s="76">
        <v>1</v>
      </c>
      <c r="AO835" s="76">
        <v>1</v>
      </c>
      <c r="AP835" s="76">
        <v>1</v>
      </c>
      <c r="AQ835" s="76">
        <v>1</v>
      </c>
      <c r="AR835" s="96">
        <v>0.0810595228934205</v>
      </c>
      <c r="AS835" s="80">
        <v>0</v>
      </c>
      <c r="AT835" s="80">
        <v>0</v>
      </c>
      <c r="AU835" s="80">
        <v>0.142857142857143</v>
      </c>
      <c r="AV835" s="80">
        <v>0.0816326530612245</v>
      </c>
      <c r="AW835" s="36"/>
      <c r="AX835" s="34"/>
    </row>
    <row r="836" ht="14.5" spans="1:50">
      <c r="A836" s="32"/>
      <c r="B836" s="36"/>
      <c r="C836" s="91" t="s">
        <v>693</v>
      </c>
      <c r="D836" s="69" t="s">
        <v>21</v>
      </c>
      <c r="E836" s="114" t="s">
        <v>886</v>
      </c>
      <c r="F836" s="114" t="s">
        <v>886</v>
      </c>
      <c r="G836" s="114" t="s">
        <v>886</v>
      </c>
      <c r="H836" s="114" t="s">
        <v>886</v>
      </c>
      <c r="I836" s="71">
        <v>0.9</v>
      </c>
      <c r="J836" s="72">
        <v>0.837209302325581</v>
      </c>
      <c r="K836" s="72">
        <v>0.906976744186046</v>
      </c>
      <c r="L836" s="73">
        <v>0.956521739130435</v>
      </c>
      <c r="M836" s="72">
        <v>0.935323383084577</v>
      </c>
      <c r="N836" s="74">
        <v>0.9</v>
      </c>
      <c r="O836" s="72">
        <v>0.965381589299764</v>
      </c>
      <c r="P836" s="72">
        <v>0.974522292993631</v>
      </c>
      <c r="Q836" s="72">
        <v>0.975997686524002</v>
      </c>
      <c r="R836" s="72">
        <v>0.972836367019132</v>
      </c>
      <c r="S836" s="74">
        <v>0.9</v>
      </c>
      <c r="T836" s="72">
        <v>0.921846315237346</v>
      </c>
      <c r="U836" s="72">
        <v>0.93370005790388</v>
      </c>
      <c r="V836" s="72">
        <v>0.926257952573742</v>
      </c>
      <c r="W836" s="72">
        <v>0.932059908834382</v>
      </c>
      <c r="X836" s="74">
        <v>0.92</v>
      </c>
      <c r="Y836" s="74">
        <v>0.911671924290221</v>
      </c>
      <c r="Z836" s="74">
        <v>0.928286852589641</v>
      </c>
      <c r="AA836" s="74">
        <v>0.928388746803069</v>
      </c>
      <c r="AB836" s="74">
        <v>0.938120702826585</v>
      </c>
      <c r="AC836" s="74">
        <v>0.92</v>
      </c>
      <c r="AD836" s="72">
        <v>0.989557953358858</v>
      </c>
      <c r="AE836" s="72">
        <v>0.995208256542573</v>
      </c>
      <c r="AF836" s="72">
        <v>0.99798630688683</v>
      </c>
      <c r="AG836" s="72">
        <v>0.995262407432961</v>
      </c>
      <c r="AH836" s="74">
        <v>0.92</v>
      </c>
      <c r="AI836" s="72">
        <v>0.959982014388489</v>
      </c>
      <c r="AJ836" s="72">
        <v>0.977755308392316</v>
      </c>
      <c r="AK836" s="72">
        <v>0.980514419329696</v>
      </c>
      <c r="AL836" s="72">
        <v>0.976871982287193</v>
      </c>
      <c r="AM836" s="71">
        <v>0.99</v>
      </c>
      <c r="AN836" s="76">
        <v>1</v>
      </c>
      <c r="AO836" s="76">
        <v>1</v>
      </c>
      <c r="AP836" s="76">
        <v>1</v>
      </c>
      <c r="AQ836" s="76">
        <v>1</v>
      </c>
      <c r="AR836" s="96">
        <v>0.0810595228934205</v>
      </c>
      <c r="AS836" s="80">
        <v>0.1</v>
      </c>
      <c r="AT836" s="80">
        <v>0</v>
      </c>
      <c r="AU836" s="80">
        <v>0.142857142857143</v>
      </c>
      <c r="AV836" s="80">
        <v>0.0534351145038168</v>
      </c>
      <c r="AW836" s="36"/>
      <c r="AX836" s="34"/>
    </row>
    <row r="837" ht="14.5" spans="1:50">
      <c r="A837" s="32"/>
      <c r="B837" s="36"/>
      <c r="C837" s="91" t="s">
        <v>693</v>
      </c>
      <c r="D837" s="69" t="s">
        <v>21</v>
      </c>
      <c r="E837" s="114" t="s">
        <v>887</v>
      </c>
      <c r="F837" s="114" t="s">
        <v>887</v>
      </c>
      <c r="G837" s="114" t="s">
        <v>887</v>
      </c>
      <c r="H837" s="114" t="s">
        <v>887</v>
      </c>
      <c r="I837" s="71">
        <v>0.9</v>
      </c>
      <c r="J837" s="72">
        <v>0.816326530612245</v>
      </c>
      <c r="K837" s="72">
        <v>0.903846153846154</v>
      </c>
      <c r="L837" s="73">
        <v>0.854545454545454</v>
      </c>
      <c r="M837" s="72">
        <v>0.856837606837607</v>
      </c>
      <c r="N837" s="74">
        <v>0.9</v>
      </c>
      <c r="O837" s="72">
        <v>0.870817450232952</v>
      </c>
      <c r="P837" s="72">
        <v>0.924934257709778</v>
      </c>
      <c r="Q837" s="72">
        <v>0.913297613248904</v>
      </c>
      <c r="R837" s="72">
        <v>0.896462757037075</v>
      </c>
      <c r="S837" s="74">
        <v>0.9</v>
      </c>
      <c r="T837" s="72">
        <v>0.81702668360864</v>
      </c>
      <c r="U837" s="72">
        <v>0.905809227826919</v>
      </c>
      <c r="V837" s="72">
        <v>0.870677057963955</v>
      </c>
      <c r="W837" s="72">
        <v>0.874738770350112</v>
      </c>
      <c r="X837" s="74">
        <v>0.92</v>
      </c>
      <c r="Y837" s="74">
        <v>0.82896379525593</v>
      </c>
      <c r="Z837" s="74">
        <v>0.904682274247492</v>
      </c>
      <c r="AA837" s="74">
        <v>0.895390070921986</v>
      </c>
      <c r="AB837" s="74">
        <v>0.883614571834096</v>
      </c>
      <c r="AC837" s="74">
        <v>0.92</v>
      </c>
      <c r="AD837" s="72">
        <v>0.984424574560138</v>
      </c>
      <c r="AE837" s="72">
        <v>0.978847047884705</v>
      </c>
      <c r="AF837" s="72">
        <v>0.996342857142857</v>
      </c>
      <c r="AG837" s="72">
        <v>0.987670384138786</v>
      </c>
      <c r="AH837" s="74">
        <v>0.92</v>
      </c>
      <c r="AI837" s="72">
        <v>0.939717595944967</v>
      </c>
      <c r="AJ837" s="72">
        <v>0.964860907759883</v>
      </c>
      <c r="AK837" s="72">
        <v>0.968950749464668</v>
      </c>
      <c r="AL837" s="72">
        <v>0.962906301272671</v>
      </c>
      <c r="AM837" s="71">
        <v>0.99</v>
      </c>
      <c r="AN837" s="76">
        <v>1</v>
      </c>
      <c r="AO837" s="76">
        <v>1</v>
      </c>
      <c r="AP837" s="76">
        <v>1</v>
      </c>
      <c r="AQ837" s="76">
        <v>1</v>
      </c>
      <c r="AR837" s="96">
        <v>0.0810595228934205</v>
      </c>
      <c r="AS837" s="80">
        <v>0</v>
      </c>
      <c r="AT837" s="80">
        <v>0.111111111111111</v>
      </c>
      <c r="AU837" s="80">
        <v>0</v>
      </c>
      <c r="AV837" s="80">
        <v>0.0721649484536082</v>
      </c>
      <c r="AW837" s="36"/>
      <c r="AX837" s="34"/>
    </row>
    <row r="838" ht="14.5" spans="1:50">
      <c r="A838" s="32"/>
      <c r="B838" s="36"/>
      <c r="C838" s="91" t="s">
        <v>693</v>
      </c>
      <c r="D838" s="69" t="s">
        <v>21</v>
      </c>
      <c r="E838" s="114" t="s">
        <v>888</v>
      </c>
      <c r="F838" s="114" t="s">
        <v>888</v>
      </c>
      <c r="G838" s="114" t="s">
        <v>888</v>
      </c>
      <c r="H838" s="114" t="s">
        <v>888</v>
      </c>
      <c r="I838" s="71">
        <v>0.9</v>
      </c>
      <c r="J838" s="72">
        <v>0.84</v>
      </c>
      <c r="K838" s="72">
        <v>0.76</v>
      </c>
      <c r="L838" s="73">
        <v>0.78</v>
      </c>
      <c r="M838" s="72">
        <v>0.817777777777778</v>
      </c>
      <c r="N838" s="74">
        <v>0.9</v>
      </c>
      <c r="O838" s="72">
        <v>0.960208432022738</v>
      </c>
      <c r="P838" s="72">
        <v>0.967352537722908</v>
      </c>
      <c r="Q838" s="72">
        <v>0.941081517352704</v>
      </c>
      <c r="R838" s="72">
        <v>0.956557775300809</v>
      </c>
      <c r="S838" s="74">
        <v>0.9</v>
      </c>
      <c r="T838" s="72">
        <v>0.922311700615822</v>
      </c>
      <c r="U838" s="72">
        <v>0.919067215363512</v>
      </c>
      <c r="V838" s="72">
        <v>0.91713747645951</v>
      </c>
      <c r="W838" s="72">
        <v>0.917516933893509</v>
      </c>
      <c r="X838" s="74">
        <v>0.92</v>
      </c>
      <c r="Y838" s="74">
        <v>0.905901116427432</v>
      </c>
      <c r="Z838" s="74">
        <v>0.88411214953271</v>
      </c>
      <c r="AA838" s="74">
        <v>0.886666666666667</v>
      </c>
      <c r="AB838" s="74">
        <v>0.912529550827423</v>
      </c>
      <c r="AC838" s="74">
        <v>0.92</v>
      </c>
      <c r="AD838" s="72">
        <v>0.998211091234347</v>
      </c>
      <c r="AE838" s="72">
        <v>0.994495412844037</v>
      </c>
      <c r="AF838" s="72">
        <v>1</v>
      </c>
      <c r="AG838" s="72">
        <v>0.996498735654542</v>
      </c>
      <c r="AH838" s="74">
        <v>0.92</v>
      </c>
      <c r="AI838" s="72">
        <v>0.956073417199423</v>
      </c>
      <c r="AJ838" s="72">
        <v>0.947859363788567</v>
      </c>
      <c r="AK838" s="72">
        <v>0.955363570914327</v>
      </c>
      <c r="AL838" s="72">
        <v>0.961177516546478</v>
      </c>
      <c r="AM838" s="71">
        <v>0.99</v>
      </c>
      <c r="AN838" s="76">
        <v>1</v>
      </c>
      <c r="AO838" s="76">
        <v>1</v>
      </c>
      <c r="AP838" s="76">
        <v>1</v>
      </c>
      <c r="AQ838" s="76">
        <v>1</v>
      </c>
      <c r="AR838" s="96">
        <v>0.0810595228934205</v>
      </c>
      <c r="AS838" s="80">
        <v>0</v>
      </c>
      <c r="AT838" s="80">
        <v>0</v>
      </c>
      <c r="AU838" s="80">
        <v>0.125</v>
      </c>
      <c r="AV838" s="80">
        <v>0.0344827586206897</v>
      </c>
      <c r="AW838" s="36"/>
      <c r="AX838" s="34"/>
    </row>
    <row r="839" ht="14.5" spans="1:50">
      <c r="A839" s="32"/>
      <c r="B839" s="36"/>
      <c r="C839" s="91" t="s">
        <v>693</v>
      </c>
      <c r="D839" s="69" t="s">
        <v>21</v>
      </c>
      <c r="E839" s="114" t="s">
        <v>889</v>
      </c>
      <c r="F839" s="114" t="s">
        <v>889</v>
      </c>
      <c r="G839" s="114" t="s">
        <v>889</v>
      </c>
      <c r="H839" s="114" t="s">
        <v>889</v>
      </c>
      <c r="I839" s="71">
        <v>0.9</v>
      </c>
      <c r="J839" s="72">
        <v>0.979591836734694</v>
      </c>
      <c r="K839" s="72">
        <v>0.982142857142857</v>
      </c>
      <c r="L839" s="73">
        <v>0.962962962962963</v>
      </c>
      <c r="M839" s="72">
        <v>0.979123173277662</v>
      </c>
      <c r="N839" s="74">
        <v>0.9</v>
      </c>
      <c r="O839" s="72">
        <v>0.965179790623578</v>
      </c>
      <c r="P839" s="72">
        <v>0.9812119608362</v>
      </c>
      <c r="Q839" s="72">
        <v>0.98498727735369</v>
      </c>
      <c r="R839" s="72">
        <v>0.976794357626884</v>
      </c>
      <c r="S839" s="74">
        <v>0.9</v>
      </c>
      <c r="T839" s="72">
        <v>0.850250341374602</v>
      </c>
      <c r="U839" s="72">
        <v>0.933844932521831</v>
      </c>
      <c r="V839" s="72">
        <v>0.925699745547074</v>
      </c>
      <c r="W839" s="72">
        <v>0.913649564375605</v>
      </c>
      <c r="X839" s="74">
        <v>0.92</v>
      </c>
      <c r="Y839" s="74">
        <v>0.798890429958391</v>
      </c>
      <c r="Z839" s="74">
        <v>0.945841392649903</v>
      </c>
      <c r="AA839" s="74">
        <v>0.912359550561798</v>
      </c>
      <c r="AB839" s="74">
        <v>0.905458928878939</v>
      </c>
      <c r="AC839" s="74">
        <v>0.92</v>
      </c>
      <c r="AD839" s="72">
        <v>0.994520547945206</v>
      </c>
      <c r="AE839" s="72">
        <v>0.997237569060773</v>
      </c>
      <c r="AF839" s="72">
        <v>0.987951807228916</v>
      </c>
      <c r="AG839" s="72">
        <v>0.990716180371353</v>
      </c>
      <c r="AH839" s="74">
        <v>0.92</v>
      </c>
      <c r="AI839" s="72">
        <v>0.928836754643206</v>
      </c>
      <c r="AJ839" s="72">
        <v>0.972299813780261</v>
      </c>
      <c r="AK839" s="72">
        <v>0.973028571428571</v>
      </c>
      <c r="AL839" s="72">
        <v>0.965923172242875</v>
      </c>
      <c r="AM839" s="71">
        <v>0.99</v>
      </c>
      <c r="AN839" s="76">
        <v>1</v>
      </c>
      <c r="AO839" s="76">
        <v>1</v>
      </c>
      <c r="AP839" s="76">
        <v>1</v>
      </c>
      <c r="AQ839" s="76">
        <v>1</v>
      </c>
      <c r="AR839" s="96">
        <v>0.0810595228934205</v>
      </c>
      <c r="AS839" s="80">
        <v>0</v>
      </c>
      <c r="AT839" s="80">
        <v>0</v>
      </c>
      <c r="AU839" s="80">
        <v>0</v>
      </c>
      <c r="AV839" s="80">
        <v>0.0169491525423729</v>
      </c>
      <c r="AW839" s="36"/>
      <c r="AX839" s="34"/>
    </row>
    <row r="840" ht="14.5" spans="1:50">
      <c r="A840" s="32"/>
      <c r="B840" s="36"/>
      <c r="C840" s="91" t="s">
        <v>693</v>
      </c>
      <c r="D840" s="69" t="s">
        <v>21</v>
      </c>
      <c r="E840" s="114" t="s">
        <v>890</v>
      </c>
      <c r="F840" s="114" t="s">
        <v>890</v>
      </c>
      <c r="G840" s="114" t="s">
        <v>890</v>
      </c>
      <c r="H840" s="114" t="s">
        <v>890</v>
      </c>
      <c r="I840" s="71">
        <v>0.9</v>
      </c>
      <c r="J840" s="72">
        <v>0.848484848484849</v>
      </c>
      <c r="K840" s="72">
        <v>0.870967741935484</v>
      </c>
      <c r="L840" s="73">
        <v>0.939393939393939</v>
      </c>
      <c r="M840" s="72">
        <v>0.936842105263158</v>
      </c>
      <c r="N840" s="74">
        <v>0.9</v>
      </c>
      <c r="O840" s="72">
        <v>0.95911638641609</v>
      </c>
      <c r="P840" s="72">
        <v>0.973674973674974</v>
      </c>
      <c r="Q840" s="72">
        <v>0.973385379701916</v>
      </c>
      <c r="R840" s="72">
        <v>0.957384891369344</v>
      </c>
      <c r="S840" s="74">
        <v>0.9</v>
      </c>
      <c r="T840" s="72">
        <v>0.94197164523574</v>
      </c>
      <c r="U840" s="72">
        <v>0.950859950859951</v>
      </c>
      <c r="V840" s="72">
        <v>0.966643009226402</v>
      </c>
      <c r="W840" s="72">
        <v>0.956747059996014</v>
      </c>
      <c r="X840" s="74">
        <v>0.92</v>
      </c>
      <c r="Y840" s="74">
        <v>0.899006622516556</v>
      </c>
      <c r="Z840" s="74">
        <v>0.915113871635611</v>
      </c>
      <c r="AA840" s="74">
        <v>0.952173913043478</v>
      </c>
      <c r="AB840" s="74">
        <v>0.932831263993487</v>
      </c>
      <c r="AC840" s="74">
        <v>0.92</v>
      </c>
      <c r="AD840" s="72">
        <v>0.994829866538415</v>
      </c>
      <c r="AE840" s="72">
        <v>0.998995479658463</v>
      </c>
      <c r="AF840" s="72">
        <v>0.994088050314465</v>
      </c>
      <c r="AG840" s="72">
        <v>0.991808999565429</v>
      </c>
      <c r="AH840" s="74">
        <v>0.92</v>
      </c>
      <c r="AI840" s="72">
        <v>0.960681880670883</v>
      </c>
      <c r="AJ840" s="72">
        <v>0.968796879687969</v>
      </c>
      <c r="AK840" s="72">
        <v>0.985051860890787</v>
      </c>
      <c r="AL840" s="72">
        <v>0.976303159578723</v>
      </c>
      <c r="AM840" s="71">
        <v>0.99</v>
      </c>
      <c r="AN840" s="76">
        <v>1</v>
      </c>
      <c r="AO840" s="76">
        <v>1</v>
      </c>
      <c r="AP840" s="76">
        <v>1</v>
      </c>
      <c r="AQ840" s="76">
        <v>1</v>
      </c>
      <c r="AR840" s="96">
        <v>0.0810595228934205</v>
      </c>
      <c r="AS840" s="80">
        <v>0</v>
      </c>
      <c r="AT840" s="80">
        <v>0</v>
      </c>
      <c r="AU840" s="80">
        <v>0.222222222222222</v>
      </c>
      <c r="AV840" s="80">
        <v>0.0520833333333333</v>
      </c>
      <c r="AW840" s="36"/>
      <c r="AX840" s="34"/>
    </row>
    <row r="841" ht="14.5" spans="1:50">
      <c r="A841" s="32"/>
      <c r="B841" s="36"/>
      <c r="C841" s="91" t="s">
        <v>693</v>
      </c>
      <c r="D841" s="69" t="s">
        <v>21</v>
      </c>
      <c r="E841" s="114" t="s">
        <v>891</v>
      </c>
      <c r="F841" s="114" t="s">
        <v>891</v>
      </c>
      <c r="G841" s="114" t="s">
        <v>891</v>
      </c>
      <c r="H841" s="114" t="s">
        <v>891</v>
      </c>
      <c r="I841" s="71">
        <v>0.9</v>
      </c>
      <c r="J841" s="72">
        <v>0.846153846153846</v>
      </c>
      <c r="K841" s="72">
        <v>0.826086956521739</v>
      </c>
      <c r="L841" s="73">
        <v>0.92</v>
      </c>
      <c r="M841" s="72">
        <v>0.940092165898618</v>
      </c>
      <c r="N841" s="74">
        <v>0.9</v>
      </c>
      <c r="O841" s="72">
        <v>0.978062157221207</v>
      </c>
      <c r="P841" s="72">
        <v>0.969151670951157</v>
      </c>
      <c r="Q841" s="72">
        <v>0.979690005344735</v>
      </c>
      <c r="R841" s="72">
        <v>0.960550612724526</v>
      </c>
      <c r="S841" s="74">
        <v>0.9</v>
      </c>
      <c r="T841" s="72">
        <v>0.938299817184644</v>
      </c>
      <c r="U841" s="72">
        <v>0.914652956298201</v>
      </c>
      <c r="V841" s="72">
        <v>0.966862640299305</v>
      </c>
      <c r="W841" s="72">
        <v>0.932012758099715</v>
      </c>
      <c r="X841" s="74">
        <v>0.92</v>
      </c>
      <c r="Y841" s="74">
        <v>0.924242424242424</v>
      </c>
      <c r="Z841" s="74">
        <v>0.947019867549669</v>
      </c>
      <c r="AA841" s="74">
        <v>0.954225352112676</v>
      </c>
      <c r="AB841" s="74">
        <v>0.946632782719187</v>
      </c>
      <c r="AC841" s="74">
        <v>0.92</v>
      </c>
      <c r="AD841" s="72">
        <v>0.981333333333333</v>
      </c>
      <c r="AE841" s="72">
        <v>0.995670995670996</v>
      </c>
      <c r="AF841" s="72">
        <v>0.996683250414594</v>
      </c>
      <c r="AG841" s="72">
        <v>0.994022503516174</v>
      </c>
      <c r="AH841" s="74">
        <v>0.92</v>
      </c>
      <c r="AI841" s="72">
        <v>0.973684210526316</v>
      </c>
      <c r="AJ841" s="72">
        <v>0.979973297730307</v>
      </c>
      <c r="AK841" s="72">
        <v>0.986542923433875</v>
      </c>
      <c r="AL841" s="72">
        <v>0.982350142721218</v>
      </c>
      <c r="AM841" s="71">
        <v>0.99</v>
      </c>
      <c r="AN841" s="76">
        <v>1</v>
      </c>
      <c r="AO841" s="76">
        <v>1</v>
      </c>
      <c r="AP841" s="76">
        <v>1</v>
      </c>
      <c r="AQ841" s="76">
        <v>1</v>
      </c>
      <c r="AR841" s="96">
        <v>0.0810595228934205</v>
      </c>
      <c r="AS841" s="80">
        <v>0.111111111111111</v>
      </c>
      <c r="AT841" s="80">
        <v>0</v>
      </c>
      <c r="AU841" s="80">
        <v>0</v>
      </c>
      <c r="AV841" s="80">
        <v>-0.0161290322580645</v>
      </c>
      <c r="AW841" s="36"/>
      <c r="AX841" s="34"/>
    </row>
    <row r="842" ht="14.5" spans="1:50">
      <c r="A842" s="32"/>
      <c r="B842" s="36"/>
      <c r="C842" s="91" t="s">
        <v>693</v>
      </c>
      <c r="D842" s="69" t="s">
        <v>21</v>
      </c>
      <c r="E842" s="114" t="s">
        <v>892</v>
      </c>
      <c r="F842" s="114" t="s">
        <v>892</v>
      </c>
      <c r="G842" s="114" t="s">
        <v>892</v>
      </c>
      <c r="H842" s="114" t="s">
        <v>892</v>
      </c>
      <c r="I842" s="71">
        <v>0.9</v>
      </c>
      <c r="J842" s="72">
        <v>1</v>
      </c>
      <c r="K842" s="72">
        <v>0.947368421052632</v>
      </c>
      <c r="L842" s="73">
        <v>1</v>
      </c>
      <c r="M842" s="72">
        <v>0.978021978021978</v>
      </c>
      <c r="N842" s="74">
        <v>0.9</v>
      </c>
      <c r="O842" s="72">
        <v>0.919175911251981</v>
      </c>
      <c r="P842" s="72">
        <v>0.965929468021518</v>
      </c>
      <c r="Q842" s="72">
        <v>0.964458804523425</v>
      </c>
      <c r="R842" s="72">
        <v>0.95932589964521</v>
      </c>
      <c r="S842" s="74">
        <v>0.9</v>
      </c>
      <c r="T842" s="72">
        <v>0.864764923402007</v>
      </c>
      <c r="U842" s="72">
        <v>0.924088463837418</v>
      </c>
      <c r="V842" s="72">
        <v>0.945072697899838</v>
      </c>
      <c r="W842" s="72">
        <v>0.923973644196655</v>
      </c>
      <c r="X842" s="74">
        <v>0.92</v>
      </c>
      <c r="Y842" s="74">
        <v>0.903448275862069</v>
      </c>
      <c r="Z842" s="74">
        <v>0.94017094017094</v>
      </c>
      <c r="AA842" s="74">
        <v>0.953846153846154</v>
      </c>
      <c r="AB842" s="74">
        <v>0.937004754358162</v>
      </c>
      <c r="AC842" s="74">
        <v>0.92</v>
      </c>
      <c r="AD842" s="72">
        <v>0.996732026143791</v>
      </c>
      <c r="AE842" s="72">
        <v>0.996363636363636</v>
      </c>
      <c r="AF842" s="72">
        <v>1</v>
      </c>
      <c r="AG842" s="72">
        <v>0.997461343180245</v>
      </c>
      <c r="AH842" s="74">
        <v>0.92</v>
      </c>
      <c r="AI842" s="72">
        <v>0.951442968392121</v>
      </c>
      <c r="AJ842" s="72">
        <v>0.966963817514421</v>
      </c>
      <c r="AK842" s="72">
        <v>0.975633528265107</v>
      </c>
      <c r="AL842" s="72">
        <v>0.968920690408565</v>
      </c>
      <c r="AM842" s="71">
        <v>0.99</v>
      </c>
      <c r="AN842" s="76">
        <v>1</v>
      </c>
      <c r="AO842" s="76">
        <v>1</v>
      </c>
      <c r="AP842" s="76">
        <v>1</v>
      </c>
      <c r="AQ842" s="76">
        <v>1</v>
      </c>
      <c r="AR842" s="96">
        <v>0.0810595228934205</v>
      </c>
      <c r="AS842" s="80">
        <v>0</v>
      </c>
      <c r="AT842" s="80">
        <v>0</v>
      </c>
      <c r="AU842" s="80">
        <v>0</v>
      </c>
      <c r="AV842" s="80">
        <v>0.037037037037037</v>
      </c>
      <c r="AW842" s="36"/>
      <c r="AX842" s="34"/>
    </row>
    <row r="843" ht="14.5" spans="1:50">
      <c r="A843" s="32"/>
      <c r="B843" s="36"/>
      <c r="C843" s="91" t="s">
        <v>693</v>
      </c>
      <c r="D843" s="69" t="s">
        <v>21</v>
      </c>
      <c r="E843" s="114" t="s">
        <v>893</v>
      </c>
      <c r="F843" s="114" t="s">
        <v>893</v>
      </c>
      <c r="G843" s="114" t="s">
        <v>893</v>
      </c>
      <c r="H843" s="114" t="s">
        <v>893</v>
      </c>
      <c r="I843" s="71">
        <v>0.9</v>
      </c>
      <c r="J843" s="72">
        <v>0.923076923076923</v>
      </c>
      <c r="K843" s="72">
        <v>0.933333333333333</v>
      </c>
      <c r="L843" s="73">
        <v>0.823529411764706</v>
      </c>
      <c r="M843" s="72">
        <v>0.838028169014085</v>
      </c>
      <c r="N843" s="74">
        <v>0.9</v>
      </c>
      <c r="O843" s="72">
        <v>0.796524257784214</v>
      </c>
      <c r="P843" s="72">
        <v>0.864217252396166</v>
      </c>
      <c r="Q843" s="72">
        <v>0.884858044164038</v>
      </c>
      <c r="R843" s="72">
        <v>0.921194705677464</v>
      </c>
      <c r="S843" s="74">
        <v>0.9</v>
      </c>
      <c r="T843" s="72">
        <v>0.501810282404055</v>
      </c>
      <c r="U843" s="72">
        <v>0.691693290734824</v>
      </c>
      <c r="V843" s="72">
        <v>0.739747634069401</v>
      </c>
      <c r="W843" s="72">
        <v>0.693486590038314</v>
      </c>
      <c r="X843" s="74">
        <v>0.92</v>
      </c>
      <c r="Y843" s="74">
        <v>0.351648351648352</v>
      </c>
      <c r="Z843" s="74">
        <v>0.729885057471264</v>
      </c>
      <c r="AA843" s="74">
        <v>0.772727272727273</v>
      </c>
      <c r="AB843" s="74">
        <v>0.681395348837209</v>
      </c>
      <c r="AC843" s="74">
        <v>0.92</v>
      </c>
      <c r="AD843" s="72">
        <v>1</v>
      </c>
      <c r="AE843" s="72">
        <v>0.941176470588235</v>
      </c>
      <c r="AF843" s="72">
        <v>0.976744186046512</v>
      </c>
      <c r="AG843" s="72">
        <v>0.968152866242038</v>
      </c>
      <c r="AH843" s="74">
        <v>0.92</v>
      </c>
      <c r="AI843" s="72">
        <v>0.879718490083173</v>
      </c>
      <c r="AJ843" s="72">
        <v>0.931977559607293</v>
      </c>
      <c r="AK843" s="72">
        <v>0.945</v>
      </c>
      <c r="AL843" s="72">
        <v>0.931081490457437</v>
      </c>
      <c r="AM843" s="71">
        <v>0.99</v>
      </c>
      <c r="AN843" s="76">
        <v>1</v>
      </c>
      <c r="AO843" s="76">
        <v>1</v>
      </c>
      <c r="AP843" s="76">
        <v>1</v>
      </c>
      <c r="AQ843" s="76">
        <v>1</v>
      </c>
      <c r="AR843" s="96">
        <v>0.0810595228934205</v>
      </c>
      <c r="AS843" s="80">
        <v>0.5</v>
      </c>
      <c r="AT843" s="80">
        <v>0</v>
      </c>
      <c r="AU843" s="80">
        <v>0</v>
      </c>
      <c r="AV843" s="80">
        <v>0.0819672131147541</v>
      </c>
      <c r="AW843" s="36"/>
      <c r="AX843" s="34"/>
    </row>
    <row r="844" ht="14.5" spans="1:50">
      <c r="A844" s="32"/>
      <c r="B844" s="36"/>
      <c r="C844" s="91" t="s">
        <v>693</v>
      </c>
      <c r="D844" s="69" t="s">
        <v>21</v>
      </c>
      <c r="E844" s="114" t="s">
        <v>894</v>
      </c>
      <c r="F844" s="114" t="s">
        <v>894</v>
      </c>
      <c r="G844" s="114" t="s">
        <v>894</v>
      </c>
      <c r="H844" s="114" t="s">
        <v>894</v>
      </c>
      <c r="I844" s="71">
        <v>0.9</v>
      </c>
      <c r="J844" s="72">
        <v>0.892857142857143</v>
      </c>
      <c r="K844" s="72">
        <v>0.966666666666667</v>
      </c>
      <c r="L844" s="73">
        <v>1</v>
      </c>
      <c r="M844" s="72">
        <v>0.91304347826087</v>
      </c>
      <c r="N844" s="74">
        <v>0.9</v>
      </c>
      <c r="O844" s="72">
        <v>0.908050674295055</v>
      </c>
      <c r="P844" s="72">
        <v>0.957939508506616</v>
      </c>
      <c r="Q844" s="72">
        <v>0.963294538943599</v>
      </c>
      <c r="R844" s="72">
        <v>0.950622083981338</v>
      </c>
      <c r="S844" s="74">
        <v>0.9</v>
      </c>
      <c r="T844" s="72">
        <v>0.914589293011851</v>
      </c>
      <c r="U844" s="72">
        <v>0.947069943289225</v>
      </c>
      <c r="V844" s="72">
        <v>0.930170098478066</v>
      </c>
      <c r="W844" s="72">
        <v>0.920295489891135</v>
      </c>
      <c r="X844" s="74">
        <v>0.92</v>
      </c>
      <c r="Y844" s="74">
        <v>0.774725274725275</v>
      </c>
      <c r="Z844" s="74">
        <v>0.797507788161994</v>
      </c>
      <c r="AA844" s="74">
        <v>0.782101167315175</v>
      </c>
      <c r="AB844" s="74">
        <v>0.814980602805133</v>
      </c>
      <c r="AC844" s="74">
        <v>0.92</v>
      </c>
      <c r="AD844" s="72">
        <v>0.995169082125604</v>
      </c>
      <c r="AE844" s="72">
        <v>0.993303571428571</v>
      </c>
      <c r="AF844" s="72">
        <v>0.987179487179487</v>
      </c>
      <c r="AG844" s="72">
        <v>0.989904219518509</v>
      </c>
      <c r="AH844" s="74">
        <v>0.92</v>
      </c>
      <c r="AI844" s="72">
        <v>0.938811810743508</v>
      </c>
      <c r="AJ844" s="72">
        <v>0.949938448912597</v>
      </c>
      <c r="AK844" s="72">
        <v>0.95262946607788</v>
      </c>
      <c r="AL844" s="72">
        <v>0.951310235299035</v>
      </c>
      <c r="AM844" s="71">
        <v>0.99</v>
      </c>
      <c r="AN844" s="76">
        <v>1</v>
      </c>
      <c r="AO844" s="76">
        <v>1</v>
      </c>
      <c r="AP844" s="76">
        <v>1</v>
      </c>
      <c r="AQ844" s="76">
        <v>1</v>
      </c>
      <c r="AR844" s="96">
        <v>0.0810595228934205</v>
      </c>
      <c r="AS844" s="80">
        <v>0.125</v>
      </c>
      <c r="AT844" s="80">
        <v>0.142857142857143</v>
      </c>
      <c r="AU844" s="80">
        <v>0.1</v>
      </c>
      <c r="AV844" s="80">
        <v>0.0958904109589041</v>
      </c>
      <c r="AW844" s="36"/>
      <c r="AX844" s="34"/>
    </row>
    <row r="845" ht="14.5" spans="1:50">
      <c r="A845" s="32"/>
      <c r="B845" s="36"/>
      <c r="C845" s="91" t="s">
        <v>693</v>
      </c>
      <c r="D845" s="69" t="s">
        <v>21</v>
      </c>
      <c r="E845" s="114" t="s">
        <v>895</v>
      </c>
      <c r="F845" s="114" t="s">
        <v>895</v>
      </c>
      <c r="G845" s="114" t="s">
        <v>895</v>
      </c>
      <c r="H845" s="114" t="s">
        <v>895</v>
      </c>
      <c r="I845" s="71">
        <v>0.9</v>
      </c>
      <c r="J845" s="72">
        <v>0.928571428571429</v>
      </c>
      <c r="K845" s="72">
        <v>0.91304347826087</v>
      </c>
      <c r="L845" s="73">
        <v>0.933333333333333</v>
      </c>
      <c r="M845" s="72">
        <v>0.881481481481482</v>
      </c>
      <c r="N845" s="74">
        <v>0.9</v>
      </c>
      <c r="O845" s="72">
        <v>0.938089622641509</v>
      </c>
      <c r="P845" s="72">
        <v>0.951815405497116</v>
      </c>
      <c r="Q845" s="72">
        <v>0.937598487236054</v>
      </c>
      <c r="R845" s="72">
        <v>0.948885930493274</v>
      </c>
      <c r="S845" s="74">
        <v>0.9</v>
      </c>
      <c r="T845" s="72">
        <v>0.889150943396226</v>
      </c>
      <c r="U845" s="72">
        <v>0.880895826263997</v>
      </c>
      <c r="V845" s="72">
        <v>0.890009454774661</v>
      </c>
      <c r="W845" s="72">
        <v>0.91511350896861</v>
      </c>
      <c r="X845" s="74">
        <v>0.92</v>
      </c>
      <c r="Y845" s="74">
        <v>0.841284403669725</v>
      </c>
      <c r="Z845" s="74">
        <v>0.895022624434389</v>
      </c>
      <c r="AA845" s="74">
        <v>0.901001112347052</v>
      </c>
      <c r="AB845" s="74">
        <v>0.898533724340176</v>
      </c>
      <c r="AC845" s="74">
        <v>0.92</v>
      </c>
      <c r="AD845" s="72">
        <v>0.99676724137931</v>
      </c>
      <c r="AE845" s="72">
        <v>0.994791666666667</v>
      </c>
      <c r="AF845" s="72">
        <v>0.986049461001902</v>
      </c>
      <c r="AG845" s="72">
        <v>0.993324692158133</v>
      </c>
      <c r="AH845" s="74">
        <v>0.92</v>
      </c>
      <c r="AI845" s="72">
        <v>0.919045495093666</v>
      </c>
      <c r="AJ845" s="72">
        <v>0.934139121854958</v>
      </c>
      <c r="AK845" s="72">
        <v>0.945985759882151</v>
      </c>
      <c r="AL845" s="72">
        <v>0.946811953824577</v>
      </c>
      <c r="AM845" s="71">
        <v>0.99</v>
      </c>
      <c r="AN845" s="76">
        <v>1</v>
      </c>
      <c r="AO845" s="76">
        <v>1</v>
      </c>
      <c r="AP845" s="76">
        <v>1</v>
      </c>
      <c r="AQ845" s="76">
        <v>1</v>
      </c>
      <c r="AR845" s="96">
        <v>0.0810595228934205</v>
      </c>
      <c r="AS845" s="80">
        <v>0.0294117647058824</v>
      </c>
      <c r="AT845" s="80">
        <v>0</v>
      </c>
      <c r="AU845" s="80">
        <v>0.05</v>
      </c>
      <c r="AV845" s="80">
        <v>0.0378151260504202</v>
      </c>
      <c r="AW845" s="36"/>
      <c r="AX845" s="34"/>
    </row>
    <row r="846" ht="14.5" spans="1:50">
      <c r="A846" s="32"/>
      <c r="B846" s="36"/>
      <c r="C846" s="91" t="s">
        <v>693</v>
      </c>
      <c r="D846" s="69" t="s">
        <v>21</v>
      </c>
      <c r="E846" s="114" t="s">
        <v>896</v>
      </c>
      <c r="F846" s="114" t="s">
        <v>896</v>
      </c>
      <c r="G846" s="114" t="s">
        <v>896</v>
      </c>
      <c r="H846" s="114" t="s">
        <v>896</v>
      </c>
      <c r="I846" s="71">
        <v>0.9</v>
      </c>
      <c r="J846" s="72">
        <v>0.705882352941177</v>
      </c>
      <c r="K846" s="72">
        <v>0.871794871794872</v>
      </c>
      <c r="L846" s="73">
        <v>0.846153846153846</v>
      </c>
      <c r="M846" s="72">
        <v>0.856716417910448</v>
      </c>
      <c r="N846" s="74">
        <v>0.9</v>
      </c>
      <c r="O846" s="72">
        <v>0.907871514295799</v>
      </c>
      <c r="P846" s="72">
        <v>0.930936995153473</v>
      </c>
      <c r="Q846" s="72">
        <v>0.93335647344672</v>
      </c>
      <c r="R846" s="72">
        <v>0.929373931449971</v>
      </c>
      <c r="S846" s="74">
        <v>0.9</v>
      </c>
      <c r="T846" s="72">
        <v>0.845746558418637</v>
      </c>
      <c r="U846" s="72">
        <v>0.866720516962843</v>
      </c>
      <c r="V846" s="72">
        <v>0.913918778202013</v>
      </c>
      <c r="W846" s="72">
        <v>0.883660343564276</v>
      </c>
      <c r="X846" s="74">
        <v>0.92</v>
      </c>
      <c r="Y846" s="74">
        <v>0.892523364485981</v>
      </c>
      <c r="Z846" s="74">
        <v>0.915254237288136</v>
      </c>
      <c r="AA846" s="74">
        <v>0.928843710292249</v>
      </c>
      <c r="AB846" s="74">
        <v>0.913640263082642</v>
      </c>
      <c r="AC846" s="74">
        <v>0.92</v>
      </c>
      <c r="AD846" s="72">
        <v>0.994727592267135</v>
      </c>
      <c r="AE846" s="72">
        <v>0.989988558352403</v>
      </c>
      <c r="AF846" s="72">
        <v>0.991031390134529</v>
      </c>
      <c r="AG846" s="72">
        <v>0.990152279387039</v>
      </c>
      <c r="AH846" s="74">
        <v>0.92</v>
      </c>
      <c r="AI846" s="72">
        <v>0.920032529140689</v>
      </c>
      <c r="AJ846" s="72">
        <v>0.941123996431757</v>
      </c>
      <c r="AK846" s="72">
        <v>0.956106870229008</v>
      </c>
      <c r="AL846" s="72">
        <v>0.941489530205594</v>
      </c>
      <c r="AM846" s="71">
        <v>0.99</v>
      </c>
      <c r="AN846" s="76">
        <v>1</v>
      </c>
      <c r="AO846" s="76">
        <v>1</v>
      </c>
      <c r="AP846" s="76">
        <v>1</v>
      </c>
      <c r="AQ846" s="76">
        <v>1</v>
      </c>
      <c r="AR846" s="96">
        <v>0.0810595228934205</v>
      </c>
      <c r="AS846" s="80">
        <v>0</v>
      </c>
      <c r="AT846" s="80">
        <v>0.0344827586206897</v>
      </c>
      <c r="AU846" s="80">
        <v>0.130434782608696</v>
      </c>
      <c r="AV846" s="80">
        <v>0.0269058295964126</v>
      </c>
      <c r="AW846" s="36"/>
      <c r="AX846" s="34"/>
    </row>
    <row r="847" ht="14.5" spans="1:50">
      <c r="A847" s="32"/>
      <c r="B847" s="36"/>
      <c r="C847" s="91" t="s">
        <v>693</v>
      </c>
      <c r="D847" s="69" t="s">
        <v>21</v>
      </c>
      <c r="E847" s="114" t="s">
        <v>897</v>
      </c>
      <c r="F847" s="114" t="s">
        <v>897</v>
      </c>
      <c r="G847" s="114" t="s">
        <v>897</v>
      </c>
      <c r="H847" s="114" t="s">
        <v>897</v>
      </c>
      <c r="I847" s="71">
        <v>0.9</v>
      </c>
      <c r="J847" s="72">
        <v>0.85</v>
      </c>
      <c r="K847" s="72">
        <v>0.902439024390244</v>
      </c>
      <c r="L847" s="73">
        <v>0.904761904761905</v>
      </c>
      <c r="M847" s="72">
        <v>0.863387978142076</v>
      </c>
      <c r="N847" s="74">
        <v>0.9</v>
      </c>
      <c r="O847" s="72">
        <v>0.814334832055012</v>
      </c>
      <c r="P847" s="72">
        <v>0.894657410202234</v>
      </c>
      <c r="Q847" s="72">
        <v>0.942569406641263</v>
      </c>
      <c r="R847" s="72">
        <v>0.898914637723673</v>
      </c>
      <c r="S847" s="74">
        <v>0.9</v>
      </c>
      <c r="T847" s="72">
        <v>0.878074583443534</v>
      </c>
      <c r="U847" s="72">
        <v>0.902203440990039</v>
      </c>
      <c r="V847" s="72">
        <v>0.908274360370169</v>
      </c>
      <c r="W847" s="72">
        <v>0.901202698738633</v>
      </c>
      <c r="X847" s="74">
        <v>0.92</v>
      </c>
      <c r="Y847" s="74">
        <v>0.937790157845868</v>
      </c>
      <c r="Z847" s="74">
        <v>0.94912559618442</v>
      </c>
      <c r="AA847" s="74">
        <v>0.946308724832215</v>
      </c>
      <c r="AB847" s="74">
        <v>0.94854797979798</v>
      </c>
      <c r="AC847" s="74">
        <v>0.92</v>
      </c>
      <c r="AD847" s="72">
        <v>0.989384288747346</v>
      </c>
      <c r="AE847" s="72">
        <v>0.990366088631985</v>
      </c>
      <c r="AF847" s="72">
        <v>0.996617812852311</v>
      </c>
      <c r="AG847" s="72">
        <v>0.988032220943613</v>
      </c>
      <c r="AH847" s="74">
        <v>0.92</v>
      </c>
      <c r="AI847" s="72">
        <v>0.939300411522634</v>
      </c>
      <c r="AJ847" s="72">
        <v>0.95254756177564</v>
      </c>
      <c r="AK847" s="72">
        <v>0.960356158575366</v>
      </c>
      <c r="AL847" s="72">
        <v>0.957110091743119</v>
      </c>
      <c r="AM847" s="71">
        <v>0.99</v>
      </c>
      <c r="AN847" s="76">
        <v>1</v>
      </c>
      <c r="AO847" s="76">
        <v>1</v>
      </c>
      <c r="AP847" s="76">
        <v>1</v>
      </c>
      <c r="AQ847" s="76">
        <v>1</v>
      </c>
      <c r="AR847" s="96">
        <v>0.0810595228934205</v>
      </c>
      <c r="AS847" s="80">
        <v>0</v>
      </c>
      <c r="AT847" s="80">
        <v>0.0238095238095238</v>
      </c>
      <c r="AU847" s="80">
        <v>0.0566037735849057</v>
      </c>
      <c r="AV847" s="80">
        <v>0.034324942791762</v>
      </c>
      <c r="AW847" s="36"/>
      <c r="AX847" s="34"/>
    </row>
    <row r="848" ht="14.5" spans="1:50">
      <c r="A848" s="32"/>
      <c r="B848" s="36"/>
      <c r="C848" s="91" t="s">
        <v>693</v>
      </c>
      <c r="D848" s="69" t="s">
        <v>21</v>
      </c>
      <c r="E848" s="114" t="s">
        <v>898</v>
      </c>
      <c r="F848" s="114" t="s">
        <v>898</v>
      </c>
      <c r="G848" s="114" t="s">
        <v>898</v>
      </c>
      <c r="H848" s="114" t="s">
        <v>898</v>
      </c>
      <c r="I848" s="71">
        <v>0.9</v>
      </c>
      <c r="J848" s="72">
        <v>0.966666666666667</v>
      </c>
      <c r="K848" s="72">
        <v>0.96969696969697</v>
      </c>
      <c r="L848" s="73">
        <v>0.970588235294118</v>
      </c>
      <c r="M848" s="72">
        <v>0.9375</v>
      </c>
      <c r="N848" s="74">
        <v>0.9</v>
      </c>
      <c r="O848" s="72">
        <v>0.974491443332257</v>
      </c>
      <c r="P848" s="72">
        <v>0.971327433628319</v>
      </c>
      <c r="Q848" s="72">
        <v>0.970211291998614</v>
      </c>
      <c r="R848" s="72">
        <v>0.971865101546488</v>
      </c>
      <c r="S848" s="74">
        <v>0.9</v>
      </c>
      <c r="T848" s="72">
        <v>0.946722634807879</v>
      </c>
      <c r="U848" s="72">
        <v>0.937699115044248</v>
      </c>
      <c r="V848" s="72">
        <v>0.939729823346034</v>
      </c>
      <c r="W848" s="72">
        <v>0.939780137879635</v>
      </c>
      <c r="X848" s="74">
        <v>0.92</v>
      </c>
      <c r="Y848" s="74">
        <v>0.969569779643232</v>
      </c>
      <c r="Z848" s="74">
        <v>0.982182628062361</v>
      </c>
      <c r="AA848" s="74">
        <v>0.981770833333333</v>
      </c>
      <c r="AB848" s="74">
        <v>0.97715845424508</v>
      </c>
      <c r="AC848" s="74">
        <v>0.92</v>
      </c>
      <c r="AD848" s="72">
        <v>0.998988877654196</v>
      </c>
      <c r="AE848" s="72">
        <v>0.998217998217998</v>
      </c>
      <c r="AF848" s="72">
        <v>1</v>
      </c>
      <c r="AG848" s="72">
        <v>0.984621721817932</v>
      </c>
      <c r="AH848" s="74">
        <v>0.92</v>
      </c>
      <c r="AI848" s="72">
        <v>0.978276968649716</v>
      </c>
      <c r="AJ848" s="72">
        <v>0.983082706766917</v>
      </c>
      <c r="AK848" s="72">
        <v>0.985499316005472</v>
      </c>
      <c r="AL848" s="72">
        <v>0.983668155862599</v>
      </c>
      <c r="AM848" s="71">
        <v>0.99</v>
      </c>
      <c r="AN848" s="76">
        <v>1</v>
      </c>
      <c r="AO848" s="76">
        <v>1</v>
      </c>
      <c r="AP848" s="76">
        <v>1</v>
      </c>
      <c r="AQ848" s="76">
        <v>1</v>
      </c>
      <c r="AR848" s="96">
        <v>0.0810595228934205</v>
      </c>
      <c r="AS848" s="80">
        <v>0.0666666666666667</v>
      </c>
      <c r="AT848" s="80">
        <v>0</v>
      </c>
      <c r="AU848" s="80">
        <v>0.166666666666667</v>
      </c>
      <c r="AV848" s="80">
        <v>0.0636363636363636</v>
      </c>
      <c r="AW848" s="36"/>
      <c r="AX848" s="34"/>
    </row>
    <row r="849" ht="14.5" spans="1:50">
      <c r="A849" s="32"/>
      <c r="B849" s="36"/>
      <c r="C849" s="91" t="s">
        <v>693</v>
      </c>
      <c r="D849" s="69" t="s">
        <v>21</v>
      </c>
      <c r="E849" s="114" t="s">
        <v>899</v>
      </c>
      <c r="F849" s="114" t="s">
        <v>899</v>
      </c>
      <c r="G849" s="114" t="s">
        <v>899</v>
      </c>
      <c r="H849" s="114" t="s">
        <v>899</v>
      </c>
      <c r="I849" s="71">
        <v>0.9</v>
      </c>
      <c r="J849" s="72">
        <v>0.666666666666667</v>
      </c>
      <c r="K849" s="72">
        <v>0.714285714285714</v>
      </c>
      <c r="L849" s="73">
        <v>0.739130434782609</v>
      </c>
      <c r="M849" s="72">
        <v>0.743589743589744</v>
      </c>
      <c r="N849" s="74">
        <v>0.9</v>
      </c>
      <c r="O849" s="72">
        <v>0.944321940463065</v>
      </c>
      <c r="P849" s="72">
        <v>0.95434369055168</v>
      </c>
      <c r="Q849" s="72">
        <v>0.983283582089552</v>
      </c>
      <c r="R849" s="72">
        <v>0.956402199528672</v>
      </c>
      <c r="S849" s="74">
        <v>0.9</v>
      </c>
      <c r="T849" s="72">
        <v>0.899669239250276</v>
      </c>
      <c r="U849" s="72">
        <v>0.897273303741281</v>
      </c>
      <c r="V849" s="72">
        <v>0.891940298507463</v>
      </c>
      <c r="W849" s="72">
        <v>0.902134066509558</v>
      </c>
      <c r="X849" s="74">
        <v>0.92</v>
      </c>
      <c r="Y849" s="74">
        <v>0.922242314647378</v>
      </c>
      <c r="Z849" s="74">
        <v>0.934615384615385</v>
      </c>
      <c r="AA849" s="74">
        <v>0.951434878587196</v>
      </c>
      <c r="AB849" s="74">
        <v>0.930786977698026</v>
      </c>
      <c r="AC849" s="74">
        <v>0.92</v>
      </c>
      <c r="AD849" s="72">
        <v>0.993827160493827</v>
      </c>
      <c r="AE849" s="72">
        <v>0.940217391304348</v>
      </c>
      <c r="AF849" s="72">
        <v>0.976331360946746</v>
      </c>
      <c r="AG849" s="72">
        <v>0.973859695918912</v>
      </c>
      <c r="AH849" s="74">
        <v>0.92</v>
      </c>
      <c r="AI849" s="72">
        <v>0.94972539079003</v>
      </c>
      <c r="AJ849" s="72">
        <v>0.957578646329838</v>
      </c>
      <c r="AK849" s="72">
        <v>0.968984962406015</v>
      </c>
      <c r="AL849" s="72">
        <v>0.962099885309144</v>
      </c>
      <c r="AM849" s="71">
        <v>0.99</v>
      </c>
      <c r="AN849" s="76">
        <v>1</v>
      </c>
      <c r="AO849" s="76">
        <v>1</v>
      </c>
      <c r="AP849" s="76">
        <v>1</v>
      </c>
      <c r="AQ849" s="76">
        <v>1</v>
      </c>
      <c r="AR849" s="96">
        <v>0.0810595228934205</v>
      </c>
      <c r="AS849" s="80">
        <v>0</v>
      </c>
      <c r="AT849" s="80">
        <v>0.111111111111111</v>
      </c>
      <c r="AU849" s="80">
        <v>0.25</v>
      </c>
      <c r="AV849" s="80">
        <v>0.0465116279069767</v>
      </c>
      <c r="AW849" s="36"/>
      <c r="AX849" s="34"/>
    </row>
    <row r="850" ht="14.5" spans="1:50">
      <c r="A850" s="32"/>
      <c r="B850" s="36"/>
      <c r="C850" s="91" t="s">
        <v>693</v>
      </c>
      <c r="D850" s="69" t="s">
        <v>21</v>
      </c>
      <c r="E850" s="114" t="s">
        <v>900</v>
      </c>
      <c r="F850" s="114" t="s">
        <v>900</v>
      </c>
      <c r="G850" s="114" t="s">
        <v>900</v>
      </c>
      <c r="H850" s="114" t="s">
        <v>900</v>
      </c>
      <c r="I850" s="71">
        <v>0.9</v>
      </c>
      <c r="J850" s="72">
        <v>0.96551724137931</v>
      </c>
      <c r="K850" s="72">
        <v>0.96551724137931</v>
      </c>
      <c r="L850" s="73">
        <v>0.967741935483871</v>
      </c>
      <c r="M850" s="72">
        <v>0.974074074074074</v>
      </c>
      <c r="N850" s="74">
        <v>0.9</v>
      </c>
      <c r="O850" s="72">
        <v>0.94572864321608</v>
      </c>
      <c r="P850" s="72">
        <v>0.978473581213307</v>
      </c>
      <c r="Q850" s="72">
        <v>0.957777777777778</v>
      </c>
      <c r="R850" s="72">
        <v>0.963590144700821</v>
      </c>
      <c r="S850" s="74">
        <v>0.9</v>
      </c>
      <c r="T850" s="72">
        <v>0.941708542713568</v>
      </c>
      <c r="U850" s="72">
        <v>0.902544031311155</v>
      </c>
      <c r="V850" s="72">
        <v>0.932962962962963</v>
      </c>
      <c r="W850" s="72">
        <v>0.928197105983575</v>
      </c>
      <c r="X850" s="74">
        <v>0.92</v>
      </c>
      <c r="Y850" s="74">
        <v>0.908594815825375</v>
      </c>
      <c r="Z850" s="74">
        <v>0.939285714285714</v>
      </c>
      <c r="AA850" s="74">
        <v>0.937238493723849</v>
      </c>
      <c r="AB850" s="74">
        <v>0.929652996845426</v>
      </c>
      <c r="AC850" s="74">
        <v>0.92</v>
      </c>
      <c r="AD850" s="72">
        <v>1</v>
      </c>
      <c r="AE850" s="72">
        <v>0.987360594795539</v>
      </c>
      <c r="AF850" s="72">
        <v>0.990593342981187</v>
      </c>
      <c r="AG850" s="72">
        <v>0.992918104230979</v>
      </c>
      <c r="AH850" s="74">
        <v>0.92</v>
      </c>
      <c r="AI850" s="72">
        <v>0.965303926842388</v>
      </c>
      <c r="AJ850" s="72">
        <v>0.965537555228277</v>
      </c>
      <c r="AK850" s="72">
        <v>0.975124378109453</v>
      </c>
      <c r="AL850" s="72">
        <v>0.969447229882176</v>
      </c>
      <c r="AM850" s="71">
        <v>0.99</v>
      </c>
      <c r="AN850" s="76">
        <v>1</v>
      </c>
      <c r="AO850" s="76">
        <v>1</v>
      </c>
      <c r="AP850" s="76">
        <v>1</v>
      </c>
      <c r="AQ850" s="76">
        <v>1</v>
      </c>
      <c r="AR850" s="96">
        <v>0.0810595228934205</v>
      </c>
      <c r="AS850" s="80">
        <v>0</v>
      </c>
      <c r="AT850" s="80">
        <v>0</v>
      </c>
      <c r="AU850" s="80">
        <v>0</v>
      </c>
      <c r="AV850" s="80">
        <v>0.0485436893203883</v>
      </c>
      <c r="AW850" s="36"/>
      <c r="AX850" s="34"/>
    </row>
    <row r="851" ht="14.5" spans="1:50">
      <c r="A851" s="32"/>
      <c r="B851" s="36"/>
      <c r="C851" s="91" t="s">
        <v>693</v>
      </c>
      <c r="D851" s="69" t="s">
        <v>21</v>
      </c>
      <c r="E851" s="114" t="s">
        <v>901</v>
      </c>
      <c r="F851" s="114" t="s">
        <v>901</v>
      </c>
      <c r="G851" s="114" t="s">
        <v>901</v>
      </c>
      <c r="H851" s="114" t="s">
        <v>901</v>
      </c>
      <c r="I851" s="71">
        <v>0.9</v>
      </c>
      <c r="J851" s="72">
        <v>0.605263157894737</v>
      </c>
      <c r="K851" s="72">
        <v>0.609756097560976</v>
      </c>
      <c r="L851" s="73">
        <v>0.604651162790698</v>
      </c>
      <c r="M851" s="72">
        <v>0.643059490084986</v>
      </c>
      <c r="N851" s="74">
        <v>0.9</v>
      </c>
      <c r="O851" s="72">
        <v>0.687650683096705</v>
      </c>
      <c r="P851" s="72">
        <v>0.71390194761585</v>
      </c>
      <c r="Q851" s="72">
        <v>0.820914214151534</v>
      </c>
      <c r="R851" s="72">
        <v>0.754119008714597</v>
      </c>
      <c r="S851" s="74">
        <v>0.9</v>
      </c>
      <c r="T851" s="72">
        <v>0.405839807125636</v>
      </c>
      <c r="U851" s="72">
        <v>0.548354600402955</v>
      </c>
      <c r="V851" s="72">
        <v>0.534439574201628</v>
      </c>
      <c r="W851" s="72">
        <v>0.479983660130719</v>
      </c>
      <c r="X851" s="74">
        <v>0.92</v>
      </c>
      <c r="Y851" s="74">
        <v>0.0500490677134446</v>
      </c>
      <c r="Z851" s="74">
        <v>0.447507953340403</v>
      </c>
      <c r="AA851" s="74">
        <v>0.614427860696517</v>
      </c>
      <c r="AB851" s="74">
        <v>0.433651584336516</v>
      </c>
      <c r="AC851" s="74">
        <v>0.92</v>
      </c>
      <c r="AD851" s="72">
        <v>1</v>
      </c>
      <c r="AE851" s="72">
        <v>0.984520123839009</v>
      </c>
      <c r="AF851" s="72">
        <v>0.987341772151899</v>
      </c>
      <c r="AG851" s="72">
        <v>0.975908706677937</v>
      </c>
      <c r="AH851" s="74">
        <v>0.92</v>
      </c>
      <c r="AI851" s="72">
        <v>0.607616242373238</v>
      </c>
      <c r="AJ851" s="72">
        <v>0.734761540423361</v>
      </c>
      <c r="AK851" s="72">
        <v>0.812953238309577</v>
      </c>
      <c r="AL851" s="72">
        <v>0.747875973227701</v>
      </c>
      <c r="AM851" s="71">
        <v>0.99</v>
      </c>
      <c r="AN851" s="76">
        <v>1</v>
      </c>
      <c r="AO851" s="76">
        <v>1</v>
      </c>
      <c r="AP851" s="76">
        <v>1</v>
      </c>
      <c r="AQ851" s="76">
        <v>1</v>
      </c>
      <c r="AR851" s="96">
        <v>0.0810595228934205</v>
      </c>
      <c r="AS851" s="80">
        <v>0.0384615384615385</v>
      </c>
      <c r="AT851" s="80">
        <v>0.0357142857142857</v>
      </c>
      <c r="AU851" s="80">
        <v>0</v>
      </c>
      <c r="AV851" s="80">
        <v>0.0364372469635627</v>
      </c>
      <c r="AW851" s="36"/>
      <c r="AX851" s="34"/>
    </row>
    <row r="852" ht="14.5" spans="1:50">
      <c r="A852" s="32"/>
      <c r="B852" s="36"/>
      <c r="C852" s="91" t="s">
        <v>693</v>
      </c>
      <c r="D852" s="69" t="s">
        <v>21</v>
      </c>
      <c r="E852" s="114" t="s">
        <v>902</v>
      </c>
      <c r="F852" s="114" t="s">
        <v>902</v>
      </c>
      <c r="G852" s="114" t="s">
        <v>902</v>
      </c>
      <c r="H852" s="114" t="s">
        <v>902</v>
      </c>
      <c r="I852" s="71">
        <v>0.9</v>
      </c>
      <c r="J852" s="72">
        <v>0</v>
      </c>
      <c r="K852" s="72">
        <v>0</v>
      </c>
      <c r="L852" s="73">
        <v>0</v>
      </c>
      <c r="M852" s="72">
        <v>0</v>
      </c>
      <c r="N852" s="74">
        <v>0.9</v>
      </c>
      <c r="O852" s="72">
        <v>0</v>
      </c>
      <c r="P852" s="72">
        <v>0</v>
      </c>
      <c r="Q852" s="72">
        <v>0</v>
      </c>
      <c r="R852" s="72">
        <v>0.0072992700729927</v>
      </c>
      <c r="S852" s="74">
        <v>0.9</v>
      </c>
      <c r="T852" s="72">
        <v>1</v>
      </c>
      <c r="U852" s="72">
        <v>1</v>
      </c>
      <c r="V852" s="72">
        <v>1</v>
      </c>
      <c r="W852" s="72">
        <v>0.759124087591241</v>
      </c>
      <c r="X852" s="74">
        <v>0.92</v>
      </c>
      <c r="Y852" s="74">
        <v>1</v>
      </c>
      <c r="Z852" s="74">
        <v>1</v>
      </c>
      <c r="AA852" s="74">
        <v>1</v>
      </c>
      <c r="AB852" s="74">
        <v>1</v>
      </c>
      <c r="AC852" s="74">
        <v>0.92</v>
      </c>
      <c r="AD852" s="72">
        <v>0</v>
      </c>
      <c r="AE852" s="72">
        <v>0</v>
      </c>
      <c r="AF852" s="72">
        <v>0</v>
      </c>
      <c r="AG852" s="72">
        <v>0.666666666666667</v>
      </c>
      <c r="AH852" s="74">
        <v>0.92</v>
      </c>
      <c r="AI852" s="72">
        <v>1</v>
      </c>
      <c r="AJ852" s="72">
        <v>1</v>
      </c>
      <c r="AK852" s="72">
        <v>1</v>
      </c>
      <c r="AL852" s="72">
        <v>1</v>
      </c>
      <c r="AM852" s="71">
        <v>0.99</v>
      </c>
      <c r="AN852" s="76">
        <v>0</v>
      </c>
      <c r="AO852" s="76">
        <v>0</v>
      </c>
      <c r="AP852" s="76">
        <v>0</v>
      </c>
      <c r="AQ852" s="76">
        <v>1</v>
      </c>
      <c r="AR852" s="96">
        <v>0.0810595228934205</v>
      </c>
      <c r="AS852" s="80">
        <v>0</v>
      </c>
      <c r="AT852" s="80">
        <v>0</v>
      </c>
      <c r="AU852" s="80">
        <v>0</v>
      </c>
      <c r="AV852" s="80">
        <v>0</v>
      </c>
      <c r="AW852" s="36"/>
      <c r="AX852" s="34"/>
    </row>
    <row r="853" ht="14.5" spans="1:50">
      <c r="A853" s="32"/>
      <c r="B853" s="36"/>
      <c r="C853" s="91" t="s">
        <v>693</v>
      </c>
      <c r="D853" s="69" t="s">
        <v>21</v>
      </c>
      <c r="E853" s="114" t="s">
        <v>903</v>
      </c>
      <c r="F853" s="114" t="s">
        <v>903</v>
      </c>
      <c r="G853" s="114" t="s">
        <v>903</v>
      </c>
      <c r="H853" s="114" t="s">
        <v>903</v>
      </c>
      <c r="I853" s="71">
        <v>0.9</v>
      </c>
      <c r="J853" s="72">
        <v>0.959183673469388</v>
      </c>
      <c r="K853" s="72">
        <v>0.934782608695652</v>
      </c>
      <c r="L853" s="73">
        <v>0.857142857142857</v>
      </c>
      <c r="M853" s="72">
        <v>0.910798122065728</v>
      </c>
      <c r="N853" s="74">
        <v>0.9</v>
      </c>
      <c r="O853" s="72">
        <v>0.969966048576652</v>
      </c>
      <c r="P853" s="72">
        <v>0.933415158023934</v>
      </c>
      <c r="Q853" s="72">
        <v>0.955244755244755</v>
      </c>
      <c r="R853" s="72">
        <v>0.956330103157237</v>
      </c>
      <c r="S853" s="74">
        <v>0.9</v>
      </c>
      <c r="T853" s="72">
        <v>0.920867067119352</v>
      </c>
      <c r="U853" s="72">
        <v>0.884934028843203</v>
      </c>
      <c r="V853" s="72">
        <v>0.920559440559441</v>
      </c>
      <c r="W853" s="72">
        <v>0.914379493591747</v>
      </c>
      <c r="X853" s="74">
        <v>0.92</v>
      </c>
      <c r="Y853" s="74">
        <v>0.908035714285714</v>
      </c>
      <c r="Z853" s="74">
        <v>0.926790024135157</v>
      </c>
      <c r="AA853" s="74">
        <v>0.912784935579782</v>
      </c>
      <c r="AB853" s="74">
        <v>0.91596912707903</v>
      </c>
      <c r="AC853" s="74">
        <v>0.92</v>
      </c>
      <c r="AD853" s="72">
        <v>1</v>
      </c>
      <c r="AE853" s="72">
        <v>0.990049751243781</v>
      </c>
      <c r="AF853" s="72">
        <v>0.980049875311721</v>
      </c>
      <c r="AG853" s="72">
        <v>0.983918999404407</v>
      </c>
      <c r="AH853" s="74">
        <v>0.92</v>
      </c>
      <c r="AI853" s="72">
        <v>0.959587795514245</v>
      </c>
      <c r="AJ853" s="72">
        <v>0.956029313790806</v>
      </c>
      <c r="AK853" s="72">
        <v>0.958987783595113</v>
      </c>
      <c r="AL853" s="72">
        <v>0.95902116915906</v>
      </c>
      <c r="AM853" s="71">
        <v>0.99</v>
      </c>
      <c r="AN853" s="76">
        <v>1</v>
      </c>
      <c r="AO853" s="76">
        <v>1</v>
      </c>
      <c r="AP853" s="76">
        <v>1</v>
      </c>
      <c r="AQ853" s="76">
        <v>1</v>
      </c>
      <c r="AR853" s="96">
        <v>0.0810595228934205</v>
      </c>
      <c r="AS853" s="80">
        <v>0.0294117647058824</v>
      </c>
      <c r="AT853" s="80">
        <v>0.130434782608696</v>
      </c>
      <c r="AU853" s="80">
        <v>0</v>
      </c>
      <c r="AV853" s="80">
        <v>0.0506756756756757</v>
      </c>
      <c r="AW853" s="36"/>
      <c r="AX853" s="34"/>
    </row>
    <row r="854" ht="14.5" spans="1:50">
      <c r="A854" s="32"/>
      <c r="B854" s="36"/>
      <c r="C854" s="91" t="s">
        <v>693</v>
      </c>
      <c r="D854" s="69" t="s">
        <v>21</v>
      </c>
      <c r="E854" s="114" t="s">
        <v>904</v>
      </c>
      <c r="F854" s="114" t="s">
        <v>904</v>
      </c>
      <c r="G854" s="114" t="s">
        <v>904</v>
      </c>
      <c r="H854" s="114" t="s">
        <v>904</v>
      </c>
      <c r="I854" s="71">
        <v>0.9</v>
      </c>
      <c r="J854" s="72">
        <v>0.96969696969697</v>
      </c>
      <c r="K854" s="72">
        <v>1</v>
      </c>
      <c r="L854" s="73">
        <v>0.96969696969697</v>
      </c>
      <c r="M854" s="72">
        <v>0.962962962962963</v>
      </c>
      <c r="N854" s="74">
        <v>0.9</v>
      </c>
      <c r="O854" s="72">
        <v>0.942091929062613</v>
      </c>
      <c r="P854" s="72">
        <v>0.958700696055684</v>
      </c>
      <c r="Q854" s="72">
        <v>0.952507767421216</v>
      </c>
      <c r="R854" s="72">
        <v>0.959215354219588</v>
      </c>
      <c r="S854" s="74">
        <v>0.9</v>
      </c>
      <c r="T854" s="72">
        <v>0.903003981179877</v>
      </c>
      <c r="U854" s="72">
        <v>0.934106728538283</v>
      </c>
      <c r="V854" s="72">
        <v>0.940967598757213</v>
      </c>
      <c r="W854" s="72">
        <v>0.920171229654718</v>
      </c>
      <c r="X854" s="74">
        <v>0.92</v>
      </c>
      <c r="Y854" s="74">
        <v>0.899676375404531</v>
      </c>
      <c r="Z854" s="74">
        <v>0.905500705218618</v>
      </c>
      <c r="AA854" s="74">
        <v>0.922428330522766</v>
      </c>
      <c r="AB854" s="74">
        <v>0.910508083140878</v>
      </c>
      <c r="AC854" s="74">
        <v>0.92</v>
      </c>
      <c r="AD854" s="72">
        <v>1</v>
      </c>
      <c r="AE854" s="72">
        <v>0.994117647058824</v>
      </c>
      <c r="AF854" s="72">
        <v>0.987341772151899</v>
      </c>
      <c r="AG854" s="72">
        <v>0.995260663507109</v>
      </c>
      <c r="AH854" s="74">
        <v>0.92</v>
      </c>
      <c r="AI854" s="72">
        <v>0.955338657202011</v>
      </c>
      <c r="AJ854" s="72">
        <v>0.96369982547993</v>
      </c>
      <c r="AK854" s="72">
        <v>0.963808854532677</v>
      </c>
      <c r="AL854" s="72">
        <v>0.963749763749764</v>
      </c>
      <c r="AM854" s="71">
        <v>0.99</v>
      </c>
      <c r="AN854" s="76">
        <v>1</v>
      </c>
      <c r="AO854" s="76">
        <v>1</v>
      </c>
      <c r="AP854" s="76">
        <v>1</v>
      </c>
      <c r="AQ854" s="76">
        <v>1</v>
      </c>
      <c r="AR854" s="96">
        <v>0.0810595228934205</v>
      </c>
      <c r="AS854" s="80">
        <v>0.153846153846154</v>
      </c>
      <c r="AT854" s="80">
        <v>0</v>
      </c>
      <c r="AU854" s="80">
        <v>0.0833333333333333</v>
      </c>
      <c r="AV854" s="80">
        <v>0.0849056603773585</v>
      </c>
      <c r="AW854" s="36"/>
      <c r="AX854" s="34"/>
    </row>
    <row r="855" ht="14.5" spans="1:50">
      <c r="A855" s="32"/>
      <c r="B855" s="36"/>
      <c r="C855" s="91" t="s">
        <v>693</v>
      </c>
      <c r="D855" s="69" t="s">
        <v>21</v>
      </c>
      <c r="E855" s="114" t="s">
        <v>905</v>
      </c>
      <c r="F855" s="114" t="s">
        <v>905</v>
      </c>
      <c r="G855" s="114" t="s">
        <v>905</v>
      </c>
      <c r="H855" s="114" t="s">
        <v>905</v>
      </c>
      <c r="I855" s="71">
        <v>0.9</v>
      </c>
      <c r="J855" s="72">
        <v>1</v>
      </c>
      <c r="K855" s="72">
        <v>0.962962962962963</v>
      </c>
      <c r="L855" s="73">
        <v>0.925925925925926</v>
      </c>
      <c r="M855" s="72">
        <v>0.935483870967742</v>
      </c>
      <c r="N855" s="74">
        <v>0.9</v>
      </c>
      <c r="O855" s="72">
        <v>0.968823070927514</v>
      </c>
      <c r="P855" s="72">
        <v>0.968406593406593</v>
      </c>
      <c r="Q855" s="72">
        <v>0.956445226572811</v>
      </c>
      <c r="R855" s="72">
        <v>0.969973289122225</v>
      </c>
      <c r="S855" s="74">
        <v>0.9</v>
      </c>
      <c r="T855" s="72">
        <v>0.908417770849571</v>
      </c>
      <c r="U855" s="72">
        <v>0.913919413919414</v>
      </c>
      <c r="V855" s="72">
        <v>0.909370875494941</v>
      </c>
      <c r="W855" s="72">
        <v>0.923920051579626</v>
      </c>
      <c r="X855" s="74">
        <v>0.92</v>
      </c>
      <c r="Y855" s="74">
        <v>0.903417533432392</v>
      </c>
      <c r="Z855" s="74">
        <v>0.937677053824363</v>
      </c>
      <c r="AA855" s="74">
        <v>0.95049504950495</v>
      </c>
      <c r="AB855" s="74">
        <v>0.926051688360687</v>
      </c>
      <c r="AC855" s="74">
        <v>0.92</v>
      </c>
      <c r="AD855" s="72">
        <v>1</v>
      </c>
      <c r="AE855" s="72">
        <v>0.996993987975952</v>
      </c>
      <c r="AF855" s="72">
        <v>0.996621621621622</v>
      </c>
      <c r="AG855" s="72">
        <v>0.995564374927046</v>
      </c>
      <c r="AH855" s="74">
        <v>0.92</v>
      </c>
      <c r="AI855" s="72">
        <v>0.945970978697129</v>
      </c>
      <c r="AJ855" s="72">
        <v>0.96159169550173</v>
      </c>
      <c r="AK855" s="72">
        <v>0.961444946161862</v>
      </c>
      <c r="AL855" s="72">
        <v>0.958541550990191</v>
      </c>
      <c r="AM855" s="71">
        <v>0.99</v>
      </c>
      <c r="AN855" s="76">
        <v>1</v>
      </c>
      <c r="AO855" s="76">
        <v>1</v>
      </c>
      <c r="AP855" s="76">
        <v>1</v>
      </c>
      <c r="AQ855" s="76">
        <v>1</v>
      </c>
      <c r="AR855" s="96">
        <v>0.0810595228934205</v>
      </c>
      <c r="AS855" s="80">
        <v>0.125</v>
      </c>
      <c r="AT855" s="80">
        <v>0.0909090909090909</v>
      </c>
      <c r="AU855" s="80">
        <v>0.0909090909090909</v>
      </c>
      <c r="AV855" s="80">
        <v>0.0296296296296296</v>
      </c>
      <c r="AW855" s="36"/>
      <c r="AX855" s="34"/>
    </row>
    <row r="856" ht="14.5" spans="1:50">
      <c r="A856" s="32"/>
      <c r="B856" s="36"/>
      <c r="C856" s="91" t="s">
        <v>693</v>
      </c>
      <c r="D856" s="69" t="s">
        <v>21</v>
      </c>
      <c r="E856" s="114" t="s">
        <v>906</v>
      </c>
      <c r="F856" s="114" t="s">
        <v>906</v>
      </c>
      <c r="G856" s="114" t="s">
        <v>906</v>
      </c>
      <c r="H856" s="114" t="s">
        <v>906</v>
      </c>
      <c r="I856" s="71">
        <v>0.9</v>
      </c>
      <c r="J856" s="72">
        <v>0.903225806451613</v>
      </c>
      <c r="K856" s="72">
        <v>0.951612903225806</v>
      </c>
      <c r="L856" s="73">
        <v>0.9375</v>
      </c>
      <c r="M856" s="72">
        <v>0.939226519337017</v>
      </c>
      <c r="N856" s="74">
        <v>0.9</v>
      </c>
      <c r="O856" s="72">
        <v>0.763253449527959</v>
      </c>
      <c r="P856" s="72">
        <v>0.933182099401939</v>
      </c>
      <c r="Q856" s="72">
        <v>0.931822993859835</v>
      </c>
      <c r="R856" s="72">
        <v>0.878216442173711</v>
      </c>
      <c r="S856" s="74">
        <v>0.9</v>
      </c>
      <c r="T856" s="72">
        <v>0.885984023238925</v>
      </c>
      <c r="U856" s="72">
        <v>0.912971746751908</v>
      </c>
      <c r="V856" s="72">
        <v>0.922083421554097</v>
      </c>
      <c r="W856" s="72">
        <v>0.910845332094751</v>
      </c>
      <c r="X856" s="74">
        <v>0.92</v>
      </c>
      <c r="Y856" s="74">
        <v>0.850446428571429</v>
      </c>
      <c r="Z856" s="74">
        <v>0.878859857482185</v>
      </c>
      <c r="AA856" s="74">
        <v>0.875827814569536</v>
      </c>
      <c r="AB856" s="74">
        <v>0.88005249343832</v>
      </c>
      <c r="AC856" s="74">
        <v>0.92</v>
      </c>
      <c r="AD856" s="72">
        <v>0.997794741306192</v>
      </c>
      <c r="AE856" s="72">
        <v>0.987012987012987</v>
      </c>
      <c r="AF856" s="72">
        <v>0.962845968712395</v>
      </c>
      <c r="AG856" s="72">
        <v>0.980645420084639</v>
      </c>
      <c r="AH856" s="74">
        <v>0.92</v>
      </c>
      <c r="AI856" s="72">
        <v>0.926139912554653</v>
      </c>
      <c r="AJ856" s="72">
        <v>0.948866631523458</v>
      </c>
      <c r="AK856" s="72">
        <v>0.954195607283649</v>
      </c>
      <c r="AL856" s="72">
        <v>0.949132811112646</v>
      </c>
      <c r="AM856" s="71">
        <v>0.99</v>
      </c>
      <c r="AN856" s="76">
        <v>1</v>
      </c>
      <c r="AO856" s="76">
        <v>1</v>
      </c>
      <c r="AP856" s="76">
        <v>1</v>
      </c>
      <c r="AQ856" s="76">
        <v>1</v>
      </c>
      <c r="AR856" s="96">
        <v>0.0810595228934205</v>
      </c>
      <c r="AS856" s="80">
        <v>0.166666666666667</v>
      </c>
      <c r="AT856" s="80">
        <v>0.0333333333333333</v>
      </c>
      <c r="AU856" s="80">
        <v>0</v>
      </c>
      <c r="AV856" s="80">
        <v>0.062200956937799</v>
      </c>
      <c r="AW856" s="36"/>
      <c r="AX856" s="34"/>
    </row>
    <row r="857" ht="14.5" spans="1:50">
      <c r="A857" s="32"/>
      <c r="B857" s="36"/>
      <c r="C857" s="91" t="s">
        <v>693</v>
      </c>
      <c r="D857" s="69" t="s">
        <v>21</v>
      </c>
      <c r="E857" s="114" t="s">
        <v>907</v>
      </c>
      <c r="F857" s="114" t="s">
        <v>907</v>
      </c>
      <c r="G857" s="114" t="s">
        <v>907</v>
      </c>
      <c r="H857" s="114" t="s">
        <v>907</v>
      </c>
      <c r="I857" s="71">
        <v>0.9</v>
      </c>
      <c r="J857" s="72">
        <v>0.866666666666667</v>
      </c>
      <c r="K857" s="72">
        <v>0.84375</v>
      </c>
      <c r="L857" s="73">
        <v>0.970588235294118</v>
      </c>
      <c r="M857" s="72">
        <v>0.914089347079038</v>
      </c>
      <c r="N857" s="74">
        <v>0.9</v>
      </c>
      <c r="O857" s="72">
        <v>0.850273224043716</v>
      </c>
      <c r="P857" s="72">
        <v>0.936581268374633</v>
      </c>
      <c r="Q857" s="72">
        <v>0.00163465467919902</v>
      </c>
      <c r="R857" s="72">
        <v>0.768460242886269</v>
      </c>
      <c r="S857" s="74">
        <v>0.9</v>
      </c>
      <c r="T857" s="72">
        <v>0.858652094717668</v>
      </c>
      <c r="U857" s="72">
        <v>0.936581268374633</v>
      </c>
      <c r="V857" s="72">
        <v>0.918675929709849</v>
      </c>
      <c r="W857" s="72">
        <v>0.918092367697899</v>
      </c>
      <c r="X857" s="74">
        <v>0.92</v>
      </c>
      <c r="Y857" s="74">
        <v>0.933014354066986</v>
      </c>
      <c r="Z857" s="74">
        <v>0.880208333333333</v>
      </c>
      <c r="AA857" s="74">
        <v>0.780141843971631</v>
      </c>
      <c r="AB857" s="74">
        <v>0.872645064054258</v>
      </c>
      <c r="AC857" s="74">
        <v>0.92</v>
      </c>
      <c r="AD857" s="72">
        <v>0.996784565916399</v>
      </c>
      <c r="AE857" s="72">
        <v>0.98825831702544</v>
      </c>
      <c r="AF857" s="72">
        <v>0.973753280839895</v>
      </c>
      <c r="AG857" s="72">
        <v>0.986940298507463</v>
      </c>
      <c r="AH857" s="74">
        <v>0.92</v>
      </c>
      <c r="AI857" s="72">
        <v>0.934239645905786</v>
      </c>
      <c r="AJ857" s="72">
        <v>0.964918625678119</v>
      </c>
      <c r="AK857" s="72">
        <v>0.957142857142857</v>
      </c>
      <c r="AL857" s="72">
        <v>0.958446353224834</v>
      </c>
      <c r="AM857" s="71">
        <v>0.99</v>
      </c>
      <c r="AN857" s="76">
        <v>1</v>
      </c>
      <c r="AO857" s="76">
        <v>1</v>
      </c>
      <c r="AP857" s="76">
        <v>1</v>
      </c>
      <c r="AQ857" s="76">
        <v>1</v>
      </c>
      <c r="AR857" s="96">
        <v>0.0810595228934205</v>
      </c>
      <c r="AS857" s="80">
        <v>0</v>
      </c>
      <c r="AT857" s="80">
        <v>0</v>
      </c>
      <c r="AU857" s="80">
        <v>0</v>
      </c>
      <c r="AV857" s="80">
        <v>0.036697247706422</v>
      </c>
      <c r="AW857" s="36"/>
      <c r="AX857" s="34"/>
    </row>
    <row r="858" ht="14.5" spans="1:50">
      <c r="A858" s="32"/>
      <c r="B858" s="36"/>
      <c r="C858" s="91" t="s">
        <v>693</v>
      </c>
      <c r="D858" s="69" t="s">
        <v>21</v>
      </c>
      <c r="E858" s="114" t="s">
        <v>908</v>
      </c>
      <c r="F858" s="114" t="s">
        <v>908</v>
      </c>
      <c r="G858" s="114" t="s">
        <v>908</v>
      </c>
      <c r="H858" s="114" t="s">
        <v>908</v>
      </c>
      <c r="I858" s="71">
        <v>0.9</v>
      </c>
      <c r="J858" s="72">
        <v>0.975</v>
      </c>
      <c r="K858" s="72">
        <v>0.953488372093023</v>
      </c>
      <c r="L858" s="73">
        <v>0.976744186046512</v>
      </c>
      <c r="M858" s="72">
        <v>0.981081081081081</v>
      </c>
      <c r="N858" s="74">
        <v>0.9</v>
      </c>
      <c r="O858" s="72">
        <v>0.695940567789865</v>
      </c>
      <c r="P858" s="72">
        <v>0.790786384976526</v>
      </c>
      <c r="Q858" s="72">
        <v>0.867790594498669</v>
      </c>
      <c r="R858" s="72">
        <v>0.811527433229163</v>
      </c>
      <c r="S858" s="74">
        <v>0.9</v>
      </c>
      <c r="T858" s="72">
        <v>0.64420270628814</v>
      </c>
      <c r="U858" s="72">
        <v>0.599471830985915</v>
      </c>
      <c r="V858" s="72">
        <v>0.651582372079267</v>
      </c>
      <c r="W858" s="72">
        <v>0.613679564418957</v>
      </c>
      <c r="X858" s="74">
        <v>0.92</v>
      </c>
      <c r="Y858" s="74">
        <v>0.655052264808362</v>
      </c>
      <c r="Z858" s="74">
        <v>0.663405088062622</v>
      </c>
      <c r="AA858" s="74">
        <v>0.662790697674419</v>
      </c>
      <c r="AB858" s="74">
        <v>0.645557287607171</v>
      </c>
      <c r="AC858" s="74">
        <v>0.92</v>
      </c>
      <c r="AD858" s="72">
        <v>0.997335701598579</v>
      </c>
      <c r="AE858" s="72">
        <v>0.994078947368421</v>
      </c>
      <c r="AF858" s="72">
        <v>1</v>
      </c>
      <c r="AG858" s="72">
        <v>0.995160154875044</v>
      </c>
      <c r="AH858" s="74">
        <v>0.92</v>
      </c>
      <c r="AI858" s="72">
        <v>0.873129173382455</v>
      </c>
      <c r="AJ858" s="72">
        <v>0.908394998724164</v>
      </c>
      <c r="AK858" s="72">
        <v>0.913670952505904</v>
      </c>
      <c r="AL858" s="72">
        <v>0.897221838286109</v>
      </c>
      <c r="AM858" s="71">
        <v>0.99</v>
      </c>
      <c r="AN858" s="76">
        <v>1</v>
      </c>
      <c r="AO858" s="76">
        <v>1</v>
      </c>
      <c r="AP858" s="76">
        <v>1</v>
      </c>
      <c r="AQ858" s="76">
        <v>1</v>
      </c>
      <c r="AR858" s="96">
        <v>0.0810595228934205</v>
      </c>
      <c r="AS858" s="80">
        <v>0</v>
      </c>
      <c r="AT858" s="80">
        <v>0.166666666666667</v>
      </c>
      <c r="AU858" s="80">
        <v>0</v>
      </c>
      <c r="AV858" s="80">
        <v>0.0869565217391304</v>
      </c>
      <c r="AW858" s="36"/>
      <c r="AX858" s="34"/>
    </row>
    <row r="859" ht="14.5" spans="1:50">
      <c r="A859" s="32"/>
      <c r="B859" s="36"/>
      <c r="C859" s="91" t="s">
        <v>693</v>
      </c>
      <c r="D859" s="69" t="s">
        <v>21</v>
      </c>
      <c r="E859" s="114" t="s">
        <v>909</v>
      </c>
      <c r="F859" s="114" t="s">
        <v>909</v>
      </c>
      <c r="G859" s="114" t="s">
        <v>909</v>
      </c>
      <c r="H859" s="114" t="s">
        <v>909</v>
      </c>
      <c r="I859" s="71">
        <v>0.9</v>
      </c>
      <c r="J859" s="72">
        <v>0.972222222222222</v>
      </c>
      <c r="K859" s="72">
        <v>1</v>
      </c>
      <c r="L859" s="73">
        <v>1</v>
      </c>
      <c r="M859" s="72">
        <v>0.988795518207283</v>
      </c>
      <c r="N859" s="74">
        <v>0.9</v>
      </c>
      <c r="O859" s="72">
        <v>0.942409699419045</v>
      </c>
      <c r="P859" s="72">
        <v>0.969192852741836</v>
      </c>
      <c r="Q859" s="72">
        <v>0.975764919721297</v>
      </c>
      <c r="R859" s="72">
        <v>0.943969339921449</v>
      </c>
      <c r="S859" s="74">
        <v>0.9</v>
      </c>
      <c r="T859" s="72">
        <v>0.875221015407931</v>
      </c>
      <c r="U859" s="72">
        <v>0.92298213185459</v>
      </c>
      <c r="V859" s="72">
        <v>0.958800363526204</v>
      </c>
      <c r="W859" s="72">
        <v>0.928480932471811</v>
      </c>
      <c r="X859" s="74">
        <v>0.92</v>
      </c>
      <c r="Y859" s="74">
        <v>0.753403933434191</v>
      </c>
      <c r="Z859" s="74">
        <v>0.74486301369863</v>
      </c>
      <c r="AA859" s="74">
        <v>0.90979381443299</v>
      </c>
      <c r="AB859" s="74">
        <v>0.813887843432443</v>
      </c>
      <c r="AC859" s="74">
        <v>0.92</v>
      </c>
      <c r="AD859" s="72">
        <v>1</v>
      </c>
      <c r="AE859" s="72">
        <v>0.980769230769231</v>
      </c>
      <c r="AF859" s="72">
        <v>0.991596638655462</v>
      </c>
      <c r="AG859" s="72">
        <v>0.985901309164149</v>
      </c>
      <c r="AH859" s="74">
        <v>0.92</v>
      </c>
      <c r="AI859" s="72">
        <v>0.914520666522398</v>
      </c>
      <c r="AJ859" s="72">
        <v>0.944647519582245</v>
      </c>
      <c r="AK859" s="72">
        <v>0.978584982380049</v>
      </c>
      <c r="AL859" s="72">
        <v>0.953777753680158</v>
      </c>
      <c r="AM859" s="71">
        <v>0.99</v>
      </c>
      <c r="AN859" s="76">
        <v>1</v>
      </c>
      <c r="AO859" s="76">
        <v>1</v>
      </c>
      <c r="AP859" s="76">
        <v>1</v>
      </c>
      <c r="AQ859" s="76">
        <v>1</v>
      </c>
      <c r="AR859" s="96">
        <v>0.0810595228934205</v>
      </c>
      <c r="AS859" s="80">
        <v>0</v>
      </c>
      <c r="AT859" s="80">
        <v>0</v>
      </c>
      <c r="AU859" s="80">
        <v>0</v>
      </c>
      <c r="AV859" s="80">
        <v>0.0392156862745098</v>
      </c>
      <c r="AW859" s="36"/>
      <c r="AX859" s="34"/>
    </row>
    <row r="860" ht="14.5" spans="1:50">
      <c r="A860" s="32"/>
      <c r="B860" s="36"/>
      <c r="C860" s="91" t="s">
        <v>693</v>
      </c>
      <c r="D860" s="69" t="s">
        <v>21</v>
      </c>
      <c r="E860" s="114" t="s">
        <v>910</v>
      </c>
      <c r="F860" s="114" t="s">
        <v>910</v>
      </c>
      <c r="G860" s="114" t="s">
        <v>910</v>
      </c>
      <c r="H860" s="114" t="s">
        <v>910</v>
      </c>
      <c r="I860" s="71">
        <v>0.9</v>
      </c>
      <c r="J860" s="72">
        <v>1</v>
      </c>
      <c r="K860" s="72">
        <v>0.956521739130435</v>
      </c>
      <c r="L860" s="73">
        <v>1</v>
      </c>
      <c r="M860" s="72">
        <v>0.918465227817746</v>
      </c>
      <c r="N860" s="74">
        <v>0.9</v>
      </c>
      <c r="O860" s="72">
        <v>0.906176027544652</v>
      </c>
      <c r="P860" s="72">
        <v>0.919366626065773</v>
      </c>
      <c r="Q860" s="72">
        <v>0.8983174835406</v>
      </c>
      <c r="R860" s="72">
        <v>0.900365237941777</v>
      </c>
      <c r="S860" s="74">
        <v>0.9</v>
      </c>
      <c r="T860" s="72">
        <v>0.884226382612438</v>
      </c>
      <c r="U860" s="72">
        <v>0.90816077953715</v>
      </c>
      <c r="V860" s="72">
        <v>0.895147524993904</v>
      </c>
      <c r="W860" s="72">
        <v>0.876060801375013</v>
      </c>
      <c r="X860" s="74">
        <v>0.92</v>
      </c>
      <c r="Y860" s="74">
        <v>0.83758389261745</v>
      </c>
      <c r="Z860" s="74">
        <v>0.877291960507757</v>
      </c>
      <c r="AA860" s="74">
        <v>0.898467432950192</v>
      </c>
      <c r="AB860" s="74">
        <v>0.862310930921566</v>
      </c>
      <c r="AC860" s="74">
        <v>0.92</v>
      </c>
      <c r="AD860" s="72">
        <v>0.997566909975669</v>
      </c>
      <c r="AE860" s="72">
        <v>0.99815157116451</v>
      </c>
      <c r="AF860" s="72">
        <v>0.993079584775087</v>
      </c>
      <c r="AG860" s="72">
        <v>0.993265086206897</v>
      </c>
      <c r="AH860" s="74">
        <v>0.92</v>
      </c>
      <c r="AI860" s="72">
        <v>0.942878338278932</v>
      </c>
      <c r="AJ860" s="72">
        <v>0.958670820353063</v>
      </c>
      <c r="AK860" s="72">
        <v>0.965174129353234</v>
      </c>
      <c r="AL860" s="72">
        <v>0.952760595647194</v>
      </c>
      <c r="AM860" s="71">
        <v>0.99</v>
      </c>
      <c r="AN860" s="76">
        <v>1</v>
      </c>
      <c r="AO860" s="76">
        <v>1</v>
      </c>
      <c r="AP860" s="76">
        <v>1</v>
      </c>
      <c r="AQ860" s="76">
        <v>1</v>
      </c>
      <c r="AR860" s="96">
        <v>0.0810595228934205</v>
      </c>
      <c r="AS860" s="80">
        <v>0</v>
      </c>
      <c r="AT860" s="80">
        <v>0.0769230769230769</v>
      </c>
      <c r="AU860" s="80">
        <v>0</v>
      </c>
      <c r="AV860" s="80">
        <v>0.0816326530612245</v>
      </c>
      <c r="AW860" s="36"/>
      <c r="AX860" s="34"/>
    </row>
    <row r="861" ht="14.5" spans="1:50">
      <c r="A861" s="32"/>
      <c r="B861" s="36"/>
      <c r="C861" s="91" t="s">
        <v>693</v>
      </c>
      <c r="D861" s="69" t="s">
        <v>21</v>
      </c>
      <c r="E861" s="114" t="s">
        <v>911</v>
      </c>
      <c r="F861" s="114" t="s">
        <v>911</v>
      </c>
      <c r="G861" s="114" t="s">
        <v>911</v>
      </c>
      <c r="H861" s="114" t="s">
        <v>911</v>
      </c>
      <c r="I861" s="71">
        <v>0.9</v>
      </c>
      <c r="J861" s="72">
        <v>0.905660377358491</v>
      </c>
      <c r="K861" s="72">
        <v>0.967213114754098</v>
      </c>
      <c r="L861" s="73">
        <v>0.96875</v>
      </c>
      <c r="M861" s="72">
        <v>0.923507462686567</v>
      </c>
      <c r="N861" s="74">
        <v>0.9</v>
      </c>
      <c r="O861" s="72">
        <v>0.277977720651242</v>
      </c>
      <c r="P861" s="72">
        <v>0.617825661116552</v>
      </c>
      <c r="Q861" s="72">
        <v>0.792775665399239</v>
      </c>
      <c r="R861" s="72">
        <v>0.676608884834023</v>
      </c>
      <c r="S861" s="74">
        <v>0.9</v>
      </c>
      <c r="T861" s="72">
        <v>0.784061696658098</v>
      </c>
      <c r="U861" s="72">
        <v>0.86562193927522</v>
      </c>
      <c r="V861" s="72">
        <v>0.908745247148289</v>
      </c>
      <c r="W861" s="72">
        <v>0.874704657636793</v>
      </c>
      <c r="X861" s="74">
        <v>0.92</v>
      </c>
      <c r="Y861" s="74">
        <v>0.765570934256055</v>
      </c>
      <c r="Z861" s="74">
        <v>0.826258637709773</v>
      </c>
      <c r="AA861" s="74">
        <v>0.897709923664122</v>
      </c>
      <c r="AB861" s="74">
        <v>0.857875</v>
      </c>
      <c r="AC861" s="74">
        <v>0.92</v>
      </c>
      <c r="AD861" s="72">
        <v>0.983870967741935</v>
      </c>
      <c r="AE861" s="72">
        <v>0.992709599027947</v>
      </c>
      <c r="AF861" s="72">
        <v>0.998505231689088</v>
      </c>
      <c r="AG861" s="72">
        <v>0.978035494640661</v>
      </c>
      <c r="AH861" s="74">
        <v>0.92</v>
      </c>
      <c r="AI861" s="72">
        <v>0.917345917345917</v>
      </c>
      <c r="AJ861" s="72">
        <v>0.93609022556391</v>
      </c>
      <c r="AK861" s="72">
        <v>0.959176099461867</v>
      </c>
      <c r="AL861" s="72">
        <v>0.946304360677058</v>
      </c>
      <c r="AM861" s="71">
        <v>0.99</v>
      </c>
      <c r="AN861" s="76">
        <v>1</v>
      </c>
      <c r="AO861" s="76">
        <v>1</v>
      </c>
      <c r="AP861" s="76">
        <v>1</v>
      </c>
      <c r="AQ861" s="76">
        <v>1</v>
      </c>
      <c r="AR861" s="96">
        <v>0.0810595228934205</v>
      </c>
      <c r="AS861" s="80">
        <v>0.0588235294117647</v>
      </c>
      <c r="AT861" s="80">
        <v>0.0625</v>
      </c>
      <c r="AU861" s="80">
        <v>0.136363636363636</v>
      </c>
      <c r="AV861" s="80">
        <v>0.0828402366863905</v>
      </c>
      <c r="AW861" s="36"/>
      <c r="AX861" s="34"/>
    </row>
    <row r="862" ht="14.5" spans="1:50">
      <c r="A862" s="32"/>
      <c r="B862" s="36"/>
      <c r="C862" s="91" t="s">
        <v>693</v>
      </c>
      <c r="D862" s="69" t="s">
        <v>21</v>
      </c>
      <c r="E862" s="114" t="s">
        <v>912</v>
      </c>
      <c r="F862" s="114" t="s">
        <v>912</v>
      </c>
      <c r="G862" s="114" t="s">
        <v>912</v>
      </c>
      <c r="H862" s="114" t="s">
        <v>912</v>
      </c>
      <c r="I862" s="71">
        <v>0.9</v>
      </c>
      <c r="J862" s="72">
        <v>0.74468085106383</v>
      </c>
      <c r="K862" s="72">
        <v>0.833333333333333</v>
      </c>
      <c r="L862" s="73">
        <v>0.891304347826087</v>
      </c>
      <c r="M862" s="72">
        <v>0.825665859564165</v>
      </c>
      <c r="N862" s="74">
        <v>0.9</v>
      </c>
      <c r="O862" s="72">
        <v>0.598647388059702</v>
      </c>
      <c r="P862" s="72">
        <v>0.938379290939786</v>
      </c>
      <c r="Q862" s="72">
        <v>0.902391546162403</v>
      </c>
      <c r="R862" s="72">
        <v>0.842402722296198</v>
      </c>
      <c r="S862" s="74">
        <v>0.9</v>
      </c>
      <c r="T862" s="72">
        <v>0.812266791044776</v>
      </c>
      <c r="U862" s="72">
        <v>0.918683173888576</v>
      </c>
      <c r="V862" s="72">
        <v>0.92825361512792</v>
      </c>
      <c r="W862" s="72">
        <v>0.894155940227844</v>
      </c>
      <c r="X862" s="74">
        <v>0.92</v>
      </c>
      <c r="Y862" s="74">
        <v>0.907821229050279</v>
      </c>
      <c r="Z862" s="74">
        <v>0.914596273291925</v>
      </c>
      <c r="AA862" s="74">
        <v>0.893203883495146</v>
      </c>
      <c r="AB862" s="74">
        <v>0.904390934844193</v>
      </c>
      <c r="AC862" s="74">
        <v>0.92</v>
      </c>
      <c r="AD862" s="72">
        <v>0.991150442477876</v>
      </c>
      <c r="AE862" s="72">
        <v>0.997716894977169</v>
      </c>
      <c r="AF862" s="72">
        <v>0.987780040733198</v>
      </c>
      <c r="AG862" s="72">
        <v>0.993384785005513</v>
      </c>
      <c r="AH862" s="74">
        <v>0.92</v>
      </c>
      <c r="AI862" s="72">
        <v>0.933266733266733</v>
      </c>
      <c r="AJ862" s="72">
        <v>0.966650786088614</v>
      </c>
      <c r="AK862" s="72">
        <v>0.971806387225549</v>
      </c>
      <c r="AL862" s="72">
        <v>0.962199574079708</v>
      </c>
      <c r="AM862" s="71">
        <v>0.99</v>
      </c>
      <c r="AN862" s="76">
        <v>1</v>
      </c>
      <c r="AO862" s="76">
        <v>1</v>
      </c>
      <c r="AP862" s="76">
        <v>1</v>
      </c>
      <c r="AQ862" s="76">
        <v>1</v>
      </c>
      <c r="AR862" s="96">
        <v>0.0810595228934205</v>
      </c>
      <c r="AS862" s="80">
        <v>0.0666666666666667</v>
      </c>
      <c r="AT862" s="80">
        <v>0</v>
      </c>
      <c r="AU862" s="80">
        <v>0.0909090909090909</v>
      </c>
      <c r="AV862" s="80">
        <v>0.08125</v>
      </c>
      <c r="AW862" s="36"/>
      <c r="AX862" s="34"/>
    </row>
    <row r="863" ht="14.5" spans="1:50">
      <c r="A863" s="32"/>
      <c r="B863" s="36"/>
      <c r="C863" s="91" t="s">
        <v>693</v>
      </c>
      <c r="D863" s="69" t="s">
        <v>21</v>
      </c>
      <c r="E863" s="114" t="s">
        <v>913</v>
      </c>
      <c r="F863" s="114" t="s">
        <v>913</v>
      </c>
      <c r="G863" s="114" t="s">
        <v>913</v>
      </c>
      <c r="H863" s="114" t="s">
        <v>913</v>
      </c>
      <c r="I863" s="71">
        <v>0.9</v>
      </c>
      <c r="J863" s="72">
        <v>0.897959183673469</v>
      </c>
      <c r="K863" s="72">
        <v>0.86</v>
      </c>
      <c r="L863" s="73">
        <v>0.9</v>
      </c>
      <c r="M863" s="72">
        <v>0.89261744966443</v>
      </c>
      <c r="N863" s="74">
        <v>0.9</v>
      </c>
      <c r="O863" s="72">
        <v>0.924943138741471</v>
      </c>
      <c r="P863" s="72">
        <v>0.977872150201162</v>
      </c>
      <c r="Q863" s="72">
        <v>0.973505583534049</v>
      </c>
      <c r="R863" s="72">
        <v>0.952160969099682</v>
      </c>
      <c r="S863" s="74">
        <v>0.9</v>
      </c>
      <c r="T863" s="72">
        <v>0.900303260045489</v>
      </c>
      <c r="U863" s="72">
        <v>0.927581582476531</v>
      </c>
      <c r="V863" s="72">
        <v>0.918765053645719</v>
      </c>
      <c r="W863" s="72">
        <v>0.916897649112001</v>
      </c>
      <c r="X863" s="74">
        <v>0.92</v>
      </c>
      <c r="Y863" s="74">
        <v>0.920654911838791</v>
      </c>
      <c r="Z863" s="74">
        <v>0.929503916449086</v>
      </c>
      <c r="AA863" s="74">
        <v>0.944852941176471</v>
      </c>
      <c r="AB863" s="74">
        <v>0.923964590578565</v>
      </c>
      <c r="AC863" s="74">
        <v>0.92</v>
      </c>
      <c r="AD863" s="72">
        <v>0.987012987012987</v>
      </c>
      <c r="AE863" s="72">
        <v>0.992319508448541</v>
      </c>
      <c r="AF863" s="72">
        <v>0.993630573248408</v>
      </c>
      <c r="AG863" s="72">
        <v>0.98764714431042</v>
      </c>
      <c r="AH863" s="74">
        <v>0.92</v>
      </c>
      <c r="AI863" s="72">
        <v>0.944151565074135</v>
      </c>
      <c r="AJ863" s="72">
        <v>0.964503816793893</v>
      </c>
      <c r="AK863" s="72">
        <v>0.973200312989045</v>
      </c>
      <c r="AL863" s="72">
        <v>0.961869645853572</v>
      </c>
      <c r="AM863" s="71">
        <v>0.99</v>
      </c>
      <c r="AN863" s="76">
        <v>1</v>
      </c>
      <c r="AO863" s="76">
        <v>1</v>
      </c>
      <c r="AP863" s="76">
        <v>1</v>
      </c>
      <c r="AQ863" s="76">
        <v>1</v>
      </c>
      <c r="AR863" s="96">
        <v>0.0810595228934205</v>
      </c>
      <c r="AS863" s="80">
        <v>0.0454545454545455</v>
      </c>
      <c r="AT863" s="80">
        <v>0.0476190476190476</v>
      </c>
      <c r="AU863" s="80">
        <v>0.0555555555555556</v>
      </c>
      <c r="AV863" s="80">
        <v>0.0657894736842105</v>
      </c>
      <c r="AW863" s="36"/>
      <c r="AX863" s="34"/>
    </row>
    <row r="864" ht="14.5" spans="1:50">
      <c r="A864" s="32"/>
      <c r="B864" s="36"/>
      <c r="C864" s="91" t="s">
        <v>693</v>
      </c>
      <c r="D864" s="69" t="s">
        <v>21</v>
      </c>
      <c r="E864" s="114" t="s">
        <v>914</v>
      </c>
      <c r="F864" s="114" t="s">
        <v>914</v>
      </c>
      <c r="G864" s="114" t="s">
        <v>914</v>
      </c>
      <c r="H864" s="114" t="s">
        <v>914</v>
      </c>
      <c r="I864" s="71">
        <v>0.9</v>
      </c>
      <c r="J864" s="72">
        <v>0.925925925925926</v>
      </c>
      <c r="K864" s="72">
        <v>0.981132075471698</v>
      </c>
      <c r="L864" s="73">
        <v>0.927272727272727</v>
      </c>
      <c r="M864" s="72">
        <v>0.945833333333333</v>
      </c>
      <c r="N864" s="74">
        <v>0.9</v>
      </c>
      <c r="O864" s="72">
        <v>0.796891940730033</v>
      </c>
      <c r="P864" s="72">
        <v>0.893952120957581</v>
      </c>
      <c r="Q864" s="72">
        <v>0.781091499289917</v>
      </c>
      <c r="R864" s="72">
        <v>0.864675646933711</v>
      </c>
      <c r="S864" s="74">
        <v>0.9</v>
      </c>
      <c r="T864" s="72">
        <v>0.827972533429707</v>
      </c>
      <c r="U864" s="72">
        <v>0.876522469550609</v>
      </c>
      <c r="V864" s="72">
        <v>0.875431121931426</v>
      </c>
      <c r="W864" s="72">
        <v>0.871344381425027</v>
      </c>
      <c r="X864" s="74">
        <v>0.92</v>
      </c>
      <c r="Y864" s="74">
        <v>0.815964523281596</v>
      </c>
      <c r="Z864" s="74">
        <v>0.900491400491401</v>
      </c>
      <c r="AA864" s="74">
        <v>0.886868686868687</v>
      </c>
      <c r="AB864" s="74">
        <v>0.863434287302028</v>
      </c>
      <c r="AC864" s="74">
        <v>0.92</v>
      </c>
      <c r="AD864" s="72">
        <v>0.986754966887417</v>
      </c>
      <c r="AE864" s="72">
        <v>0.988372093023256</v>
      </c>
      <c r="AF864" s="72">
        <v>0.963636363636364</v>
      </c>
      <c r="AG864" s="72">
        <v>0.977631578947368</v>
      </c>
      <c r="AH864" s="74">
        <v>0.92</v>
      </c>
      <c r="AI864" s="72">
        <v>0.930247009476464</v>
      </c>
      <c r="AJ864" s="72">
        <v>0.957496413199426</v>
      </c>
      <c r="AK864" s="72">
        <v>0.964048672566372</v>
      </c>
      <c r="AL864" s="72">
        <v>0.954504633610395</v>
      </c>
      <c r="AM864" s="71">
        <v>0.99</v>
      </c>
      <c r="AN864" s="76">
        <v>1</v>
      </c>
      <c r="AO864" s="76">
        <v>1</v>
      </c>
      <c r="AP864" s="76">
        <v>1</v>
      </c>
      <c r="AQ864" s="76">
        <v>1</v>
      </c>
      <c r="AR864" s="96">
        <v>0.0810595228934205</v>
      </c>
      <c r="AS864" s="80">
        <v>0</v>
      </c>
      <c r="AT864" s="80">
        <v>0</v>
      </c>
      <c r="AU864" s="80">
        <v>0</v>
      </c>
      <c r="AV864" s="80">
        <v>0.049645390070922</v>
      </c>
      <c r="AW864" s="36"/>
      <c r="AX864" s="34"/>
    </row>
    <row r="865" ht="14.5" spans="1:50">
      <c r="A865" s="32"/>
      <c r="B865" s="36"/>
      <c r="C865" s="91" t="s">
        <v>693</v>
      </c>
      <c r="D865" s="69" t="s">
        <v>21</v>
      </c>
      <c r="E865" s="114" t="s">
        <v>915</v>
      </c>
      <c r="F865" s="114" t="s">
        <v>915</v>
      </c>
      <c r="G865" s="114" t="s">
        <v>915</v>
      </c>
      <c r="H865" s="114" t="s">
        <v>915</v>
      </c>
      <c r="I865" s="71">
        <v>0.9</v>
      </c>
      <c r="J865" s="72">
        <v>0.571428571428571</v>
      </c>
      <c r="K865" s="72">
        <v>0.857142857142857</v>
      </c>
      <c r="L865" s="73">
        <v>0.904761904761905</v>
      </c>
      <c r="M865" s="72">
        <v>0.75</v>
      </c>
      <c r="N865" s="74">
        <v>0.9</v>
      </c>
      <c r="O865" s="72">
        <v>0.933786078098472</v>
      </c>
      <c r="P865" s="72">
        <v>0.952628163530175</v>
      </c>
      <c r="Q865" s="72">
        <v>0.896291640477687</v>
      </c>
      <c r="R865" s="72">
        <v>0.931626787862585</v>
      </c>
      <c r="S865" s="74">
        <v>0.9</v>
      </c>
      <c r="T865" s="72">
        <v>0.927560837577815</v>
      </c>
      <c r="U865" s="72">
        <v>0.940947436729397</v>
      </c>
      <c r="V865" s="72">
        <v>0.939660590823381</v>
      </c>
      <c r="W865" s="72">
        <v>0.932896671567972</v>
      </c>
      <c r="X865" s="74">
        <v>0.92</v>
      </c>
      <c r="Y865" s="74">
        <v>0.87037037037037</v>
      </c>
      <c r="Z865" s="74">
        <v>0.913793103448276</v>
      </c>
      <c r="AA865" s="74">
        <v>0.881773399014778</v>
      </c>
      <c r="AB865" s="74">
        <v>0.889092912229159</v>
      </c>
      <c r="AC865" s="74">
        <v>0.92</v>
      </c>
      <c r="AD865" s="72">
        <v>1</v>
      </c>
      <c r="AE865" s="72">
        <v>0.846153846153846</v>
      </c>
      <c r="AF865" s="72">
        <v>0.981818181818182</v>
      </c>
      <c r="AG865" s="72">
        <v>0.95010395010395</v>
      </c>
      <c r="AH865" s="74">
        <v>0.92</v>
      </c>
      <c r="AI865" s="72">
        <v>0.942132950741272</v>
      </c>
      <c r="AJ865" s="72">
        <v>0.961769524849809</v>
      </c>
      <c r="AK865" s="72">
        <v>0.961538461538462</v>
      </c>
      <c r="AL865" s="72">
        <v>0.958215537713446</v>
      </c>
      <c r="AM865" s="71">
        <v>0.99</v>
      </c>
      <c r="AN865" s="76">
        <v>1</v>
      </c>
      <c r="AO865" s="76">
        <v>1</v>
      </c>
      <c r="AP865" s="76">
        <v>1</v>
      </c>
      <c r="AQ865" s="76">
        <v>1</v>
      </c>
      <c r="AR865" s="96">
        <v>0.0810595228934205</v>
      </c>
      <c r="AS865" s="80">
        <v>0</v>
      </c>
      <c r="AT865" s="80">
        <v>0</v>
      </c>
      <c r="AU865" s="80">
        <v>0</v>
      </c>
      <c r="AV865" s="80">
        <v>0.0175438596491228</v>
      </c>
      <c r="AW865" s="36"/>
      <c r="AX865" s="34"/>
    </row>
    <row r="866" ht="14.5" spans="1:50">
      <c r="A866" s="32"/>
      <c r="B866" s="36"/>
      <c r="C866" s="91" t="s">
        <v>693</v>
      </c>
      <c r="D866" s="69" t="s">
        <v>21</v>
      </c>
      <c r="E866" s="114" t="s">
        <v>916</v>
      </c>
      <c r="F866" s="114" t="s">
        <v>916</v>
      </c>
      <c r="G866" s="114" t="s">
        <v>916</v>
      </c>
      <c r="H866" s="114" t="s">
        <v>916</v>
      </c>
      <c r="I866" s="71">
        <v>0.9</v>
      </c>
      <c r="J866" s="72">
        <v>0.952380952380952</v>
      </c>
      <c r="K866" s="72">
        <v>1</v>
      </c>
      <c r="L866" s="73">
        <v>1</v>
      </c>
      <c r="M866" s="72">
        <v>0.989130434782609</v>
      </c>
      <c r="N866" s="74">
        <v>0.9</v>
      </c>
      <c r="O866" s="72">
        <v>0.956817079087821</v>
      </c>
      <c r="P866" s="72">
        <v>0.942959001782531</v>
      </c>
      <c r="Q866" s="72">
        <v>0.00110987791342952</v>
      </c>
      <c r="R866" s="72">
        <v>0.866543629967126</v>
      </c>
      <c r="S866" s="74">
        <v>0.9</v>
      </c>
      <c r="T866" s="72">
        <v>0.914604560892771</v>
      </c>
      <c r="U866" s="72">
        <v>0.896019013666073</v>
      </c>
      <c r="V866" s="72">
        <v>0.694783573806881</v>
      </c>
      <c r="W866" s="72">
        <v>0.903166272564738</v>
      </c>
      <c r="X866" s="74">
        <v>0.92</v>
      </c>
      <c r="Y866" s="74">
        <v>0.807486631016043</v>
      </c>
      <c r="Z866" s="74">
        <v>0.852842809364548</v>
      </c>
      <c r="AA866" s="74">
        <v>0.768421052631579</v>
      </c>
      <c r="AB866" s="74">
        <v>0.818803418803419</v>
      </c>
      <c r="AC866" s="74">
        <v>0.92</v>
      </c>
      <c r="AD866" s="72">
        <v>1</v>
      </c>
      <c r="AE866" s="72">
        <v>0.985576923076923</v>
      </c>
      <c r="AF866" s="72">
        <v>0.96875</v>
      </c>
      <c r="AG866" s="72">
        <v>0.9865</v>
      </c>
      <c r="AH866" s="74">
        <v>0.92</v>
      </c>
      <c r="AI866" s="72">
        <v>0.939219712525667</v>
      </c>
      <c r="AJ866" s="72">
        <v>0.955095862764884</v>
      </c>
      <c r="AK866" s="72">
        <v>0.964357429718876</v>
      </c>
      <c r="AL866" s="72">
        <v>0.956178444532175</v>
      </c>
      <c r="AM866" s="71">
        <v>0.99</v>
      </c>
      <c r="AN866" s="76">
        <v>1</v>
      </c>
      <c r="AO866" s="76">
        <v>1</v>
      </c>
      <c r="AP866" s="76">
        <v>1</v>
      </c>
      <c r="AQ866" s="76">
        <v>1</v>
      </c>
      <c r="AR866" s="96">
        <v>0.0810595228934205</v>
      </c>
      <c r="AS866" s="80">
        <v>0.333333333333333</v>
      </c>
      <c r="AT866" s="80">
        <v>0</v>
      </c>
      <c r="AU866" s="80">
        <v>0</v>
      </c>
      <c r="AV866" s="80">
        <v>0.0714285714285714</v>
      </c>
      <c r="AW866" s="36"/>
      <c r="AX866" s="34"/>
    </row>
    <row r="867" ht="14.5" spans="1:50">
      <c r="A867" s="32"/>
      <c r="B867" s="36"/>
      <c r="C867" s="91" t="s">
        <v>693</v>
      </c>
      <c r="D867" s="69" t="s">
        <v>21</v>
      </c>
      <c r="E867" s="114" t="s">
        <v>917</v>
      </c>
      <c r="F867" s="114" t="s">
        <v>917</v>
      </c>
      <c r="G867" s="114" t="s">
        <v>917</v>
      </c>
      <c r="H867" s="114" t="s">
        <v>917</v>
      </c>
      <c r="I867" s="71">
        <v>0.9</v>
      </c>
      <c r="J867" s="72">
        <v>0.962962962962963</v>
      </c>
      <c r="K867" s="72">
        <v>0.931034482758621</v>
      </c>
      <c r="L867" s="73">
        <v>1</v>
      </c>
      <c r="M867" s="72">
        <v>0.960159362549801</v>
      </c>
      <c r="N867" s="74">
        <v>0.9</v>
      </c>
      <c r="O867" s="72">
        <v>0.991496598639456</v>
      </c>
      <c r="P867" s="72">
        <v>0.991898734177215</v>
      </c>
      <c r="Q867" s="72">
        <v>0.0766406608536026</v>
      </c>
      <c r="R867" s="72">
        <v>0.887330339573137</v>
      </c>
      <c r="S867" s="74">
        <v>0.9</v>
      </c>
      <c r="T867" s="72">
        <v>0.937925170068027</v>
      </c>
      <c r="U867" s="72">
        <v>0.945822784810127</v>
      </c>
      <c r="V867" s="72">
        <v>0.938044974759064</v>
      </c>
      <c r="W867" s="72">
        <v>0.93914930117564</v>
      </c>
      <c r="X867" s="74">
        <v>0.92</v>
      </c>
      <c r="Y867" s="74">
        <v>0.899509803921569</v>
      </c>
      <c r="Z867" s="74">
        <v>0.877358490566038</v>
      </c>
      <c r="AA867" s="74">
        <v>0.877323420074349</v>
      </c>
      <c r="AB867" s="74">
        <v>0.914481185860889</v>
      </c>
      <c r="AC867" s="74">
        <v>0.92</v>
      </c>
      <c r="AD867" s="72">
        <v>1</v>
      </c>
      <c r="AE867" s="72">
        <v>0.976744186046512</v>
      </c>
      <c r="AF867" s="72">
        <v>0.986111111111111</v>
      </c>
      <c r="AG867" s="72">
        <v>0.986315789473684</v>
      </c>
      <c r="AH867" s="74">
        <v>0.92</v>
      </c>
      <c r="AI867" s="72">
        <v>0.961594202898551</v>
      </c>
      <c r="AJ867" s="72">
        <v>0.956231763234681</v>
      </c>
      <c r="AK867" s="72">
        <v>0.970588235294118</v>
      </c>
      <c r="AL867" s="72">
        <v>0.970378943758573</v>
      </c>
      <c r="AM867" s="71">
        <v>0.99</v>
      </c>
      <c r="AN867" s="76">
        <v>1</v>
      </c>
      <c r="AO867" s="76">
        <v>1</v>
      </c>
      <c r="AP867" s="76">
        <v>1</v>
      </c>
      <c r="AQ867" s="76">
        <v>1</v>
      </c>
      <c r="AR867" s="96">
        <v>0.0810595228934205</v>
      </c>
      <c r="AS867" s="80">
        <v>0</v>
      </c>
      <c r="AT867" s="80">
        <v>0.111111111111111</v>
      </c>
      <c r="AU867" s="80">
        <v>0.125</v>
      </c>
      <c r="AV867" s="80">
        <v>0.0555555555555556</v>
      </c>
      <c r="AW867" s="36"/>
      <c r="AX867" s="34"/>
    </row>
    <row r="868" ht="14.5" spans="1:50">
      <c r="A868" s="32"/>
      <c r="B868" s="36"/>
      <c r="C868" s="91" t="s">
        <v>693</v>
      </c>
      <c r="D868" s="69" t="s">
        <v>21</v>
      </c>
      <c r="E868" s="114" t="s">
        <v>918</v>
      </c>
      <c r="F868" s="114" t="s">
        <v>918</v>
      </c>
      <c r="G868" s="114" t="s">
        <v>918</v>
      </c>
      <c r="H868" s="114" t="s">
        <v>918</v>
      </c>
      <c r="I868" s="71">
        <v>0.9</v>
      </c>
      <c r="J868" s="72">
        <v>0.90625</v>
      </c>
      <c r="K868" s="72">
        <v>0.84375</v>
      </c>
      <c r="L868" s="73">
        <v>0.857142857142857</v>
      </c>
      <c r="M868" s="72">
        <v>0.842105263157895</v>
      </c>
      <c r="N868" s="74">
        <v>0.9</v>
      </c>
      <c r="O868" s="72">
        <v>0.964170692431562</v>
      </c>
      <c r="P868" s="72">
        <v>0.903065825067628</v>
      </c>
      <c r="Q868" s="72">
        <v>0.000859845227858985</v>
      </c>
      <c r="R868" s="72">
        <v>0.826476260446322</v>
      </c>
      <c r="S868" s="74">
        <v>0.9</v>
      </c>
      <c r="T868" s="72">
        <v>0.896537842190016</v>
      </c>
      <c r="U868" s="72">
        <v>0.920198376916141</v>
      </c>
      <c r="V868" s="72">
        <v>0.929922613929493</v>
      </c>
      <c r="W868" s="72">
        <v>0.915648819910001</v>
      </c>
      <c r="X868" s="74">
        <v>0.92</v>
      </c>
      <c r="Y868" s="74">
        <v>0.71875</v>
      </c>
      <c r="Z868" s="74">
        <v>0.705463182897862</v>
      </c>
      <c r="AA868" s="74">
        <v>0.601398601398601</v>
      </c>
      <c r="AB868" s="74">
        <v>0.755250194451646</v>
      </c>
      <c r="AC868" s="74">
        <v>0.92</v>
      </c>
      <c r="AD868" s="72">
        <v>0.967213114754098</v>
      </c>
      <c r="AE868" s="72">
        <v>0.991150442477876</v>
      </c>
      <c r="AF868" s="72">
        <v>1</v>
      </c>
      <c r="AG868" s="72">
        <v>0.984752223634053</v>
      </c>
      <c r="AH868" s="74">
        <v>0.92</v>
      </c>
      <c r="AI868" s="72">
        <v>0.925306957708049</v>
      </c>
      <c r="AJ868" s="72">
        <v>0.92913982569155</v>
      </c>
      <c r="AK868" s="72">
        <v>0.929938744257274</v>
      </c>
      <c r="AL868" s="72">
        <v>0.938560561732007</v>
      </c>
      <c r="AM868" s="71">
        <v>0.99</v>
      </c>
      <c r="AN868" s="76">
        <v>1</v>
      </c>
      <c r="AO868" s="76">
        <v>1</v>
      </c>
      <c r="AP868" s="76">
        <v>1</v>
      </c>
      <c r="AQ868" s="76">
        <v>1</v>
      </c>
      <c r="AR868" s="96">
        <v>0.0810595228934205</v>
      </c>
      <c r="AS868" s="80">
        <v>0.142857142857143</v>
      </c>
      <c r="AT868" s="80">
        <v>0</v>
      </c>
      <c r="AU868" s="80">
        <v>0.0909090909090909</v>
      </c>
      <c r="AV868" s="80">
        <v>0.036144578313253</v>
      </c>
      <c r="AW868" s="36"/>
      <c r="AX868" s="34"/>
    </row>
    <row r="869" ht="14.5" spans="1:50">
      <c r="A869" s="32"/>
      <c r="B869" s="36"/>
      <c r="C869" s="91" t="s">
        <v>693</v>
      </c>
      <c r="D869" s="69" t="s">
        <v>21</v>
      </c>
      <c r="E869" s="114" t="s">
        <v>919</v>
      </c>
      <c r="F869" s="114" t="s">
        <v>919</v>
      </c>
      <c r="G869" s="114" t="s">
        <v>919</v>
      </c>
      <c r="H869" s="114" t="s">
        <v>919</v>
      </c>
      <c r="I869" s="71">
        <v>0.9</v>
      </c>
      <c r="J869" s="72">
        <v>0.947368421052632</v>
      </c>
      <c r="K869" s="72">
        <v>1</v>
      </c>
      <c r="L869" s="73">
        <v>1</v>
      </c>
      <c r="M869" s="72">
        <v>0.980555555555556</v>
      </c>
      <c r="N869" s="74">
        <v>0.9</v>
      </c>
      <c r="O869" s="72">
        <v>0.938651994497937</v>
      </c>
      <c r="P869" s="72">
        <v>0.953644608666443</v>
      </c>
      <c r="Q869" s="72">
        <v>0.947944297082228</v>
      </c>
      <c r="R869" s="72">
        <v>0.961168130356576</v>
      </c>
      <c r="S869" s="74">
        <v>0.9</v>
      </c>
      <c r="T869" s="72">
        <v>0.917193947730399</v>
      </c>
      <c r="U869" s="72">
        <v>0.930802821632516</v>
      </c>
      <c r="V869" s="72">
        <v>0.870026525198939</v>
      </c>
      <c r="W869" s="72">
        <v>0.924593517440835</v>
      </c>
      <c r="X869" s="74">
        <v>0.92</v>
      </c>
      <c r="Y869" s="74">
        <v>0.886792452830189</v>
      </c>
      <c r="Z869" s="74">
        <v>0.944333996023857</v>
      </c>
      <c r="AA869" s="74">
        <v>0.929319371727749</v>
      </c>
      <c r="AB869" s="74">
        <v>0.901182432432432</v>
      </c>
      <c r="AC869" s="74">
        <v>0.92</v>
      </c>
      <c r="AD869" s="72">
        <v>0.977941176470588</v>
      </c>
      <c r="AE869" s="72">
        <v>0.977272727272727</v>
      </c>
      <c r="AF869" s="72">
        <v>0.991869918699187</v>
      </c>
      <c r="AG869" s="72">
        <v>0.983347940403155</v>
      </c>
      <c r="AH869" s="74">
        <v>0.92</v>
      </c>
      <c r="AI869" s="72">
        <v>0.949121184088807</v>
      </c>
      <c r="AJ869" s="72">
        <v>0.977011494252874</v>
      </c>
      <c r="AK869" s="72">
        <v>0.96380223660977</v>
      </c>
      <c r="AL869" s="72">
        <v>0.963099519477772</v>
      </c>
      <c r="AM869" s="71">
        <v>0.99</v>
      </c>
      <c r="AN869" s="76">
        <v>1</v>
      </c>
      <c r="AO869" s="76">
        <v>1</v>
      </c>
      <c r="AP869" s="76">
        <v>1</v>
      </c>
      <c r="AQ869" s="76">
        <v>1</v>
      </c>
      <c r="AR869" s="96">
        <v>0.0810595228934205</v>
      </c>
      <c r="AS869" s="80">
        <v>0</v>
      </c>
      <c r="AT869" s="80">
        <v>0.25</v>
      </c>
      <c r="AU869" s="80">
        <v>0</v>
      </c>
      <c r="AV869" s="80">
        <v>0.105769230769231</v>
      </c>
      <c r="AW869" s="36"/>
      <c r="AX869" s="34"/>
    </row>
    <row r="870" ht="14.5" spans="1:50">
      <c r="A870" s="32"/>
      <c r="B870" s="36"/>
      <c r="C870" s="91" t="s">
        <v>693</v>
      </c>
      <c r="D870" s="69" t="s">
        <v>21</v>
      </c>
      <c r="E870" s="114" t="s">
        <v>920</v>
      </c>
      <c r="F870" s="114" t="s">
        <v>920</v>
      </c>
      <c r="G870" s="114" t="s">
        <v>920</v>
      </c>
      <c r="H870" s="114" t="s">
        <v>920</v>
      </c>
      <c r="I870" s="71">
        <v>0.9</v>
      </c>
      <c r="J870" s="72">
        <v>0.733333333333333</v>
      </c>
      <c r="K870" s="72">
        <v>0.903225806451613</v>
      </c>
      <c r="L870" s="73">
        <v>0.757575757575758</v>
      </c>
      <c r="M870" s="72">
        <v>0.774193548387097</v>
      </c>
      <c r="N870" s="74">
        <v>0.9</v>
      </c>
      <c r="O870" s="72">
        <v>0.974897540983607</v>
      </c>
      <c r="P870" s="72">
        <v>0.996334758704948</v>
      </c>
      <c r="Q870" s="72">
        <v>0.00175438596491228</v>
      </c>
      <c r="R870" s="72">
        <v>0.883285759594037</v>
      </c>
      <c r="S870" s="74">
        <v>0.9</v>
      </c>
      <c r="T870" s="72">
        <v>0.878586065573771</v>
      </c>
      <c r="U870" s="72">
        <v>0.909590714722053</v>
      </c>
      <c r="V870" s="72">
        <v>0.923391812865497</v>
      </c>
      <c r="W870" s="72">
        <v>0.926609578179512</v>
      </c>
      <c r="X870" s="74">
        <v>0.92</v>
      </c>
      <c r="Y870" s="74">
        <v>0.955922865013774</v>
      </c>
      <c r="Z870" s="74">
        <v>0.931137724550898</v>
      </c>
      <c r="AA870" s="74">
        <v>0.884444444444444</v>
      </c>
      <c r="AB870" s="74">
        <v>0.940663176265271</v>
      </c>
      <c r="AC870" s="74">
        <v>0.92</v>
      </c>
      <c r="AD870" s="72">
        <v>1</v>
      </c>
      <c r="AE870" s="72">
        <v>0.995024875621891</v>
      </c>
      <c r="AF870" s="72">
        <v>0.971311475409836</v>
      </c>
      <c r="AG870" s="72">
        <v>0.983477576711251</v>
      </c>
      <c r="AH870" s="74">
        <v>0.92</v>
      </c>
      <c r="AI870" s="72">
        <v>0.96414686825054</v>
      </c>
      <c r="AJ870" s="72">
        <v>0.967021816336885</v>
      </c>
      <c r="AK870" s="72">
        <v>0.968992248062015</v>
      </c>
      <c r="AL870" s="72">
        <v>0.974771873322598</v>
      </c>
      <c r="AM870" s="71">
        <v>0.99</v>
      </c>
      <c r="AN870" s="76">
        <v>1</v>
      </c>
      <c r="AO870" s="76">
        <v>1</v>
      </c>
      <c r="AP870" s="76">
        <v>1</v>
      </c>
      <c r="AQ870" s="76">
        <v>1</v>
      </c>
      <c r="AR870" s="96">
        <v>0.0810595228934205</v>
      </c>
      <c r="AS870" s="80">
        <v>0.25</v>
      </c>
      <c r="AT870" s="80">
        <v>0</v>
      </c>
      <c r="AU870" s="80">
        <v>0</v>
      </c>
      <c r="AV870" s="80">
        <v>0.0192307692307692</v>
      </c>
      <c r="AW870" s="36"/>
      <c r="AX870" s="34"/>
    </row>
    <row r="871" ht="14.5" spans="1:50">
      <c r="A871" s="32"/>
      <c r="B871" s="36"/>
      <c r="C871" s="91" t="s">
        <v>693</v>
      </c>
      <c r="D871" s="69" t="s">
        <v>21</v>
      </c>
      <c r="E871" s="114" t="s">
        <v>921</v>
      </c>
      <c r="F871" s="114" t="s">
        <v>921</v>
      </c>
      <c r="G871" s="114" t="s">
        <v>921</v>
      </c>
      <c r="H871" s="114" t="s">
        <v>921</v>
      </c>
      <c r="I871" s="71">
        <v>0.9</v>
      </c>
      <c r="J871" s="72">
        <v>0.875</v>
      </c>
      <c r="K871" s="72">
        <v>0.882352941176471</v>
      </c>
      <c r="L871" s="73">
        <v>0.942857142857143</v>
      </c>
      <c r="M871" s="72">
        <v>0.894230769230769</v>
      </c>
      <c r="N871" s="74">
        <v>0.9</v>
      </c>
      <c r="O871" s="72">
        <v>0.939159975293391</v>
      </c>
      <c r="P871" s="72">
        <v>0.958825635517365</v>
      </c>
      <c r="Q871" s="72">
        <v>0.964961240310078</v>
      </c>
      <c r="R871" s="72">
        <v>0.959915611814346</v>
      </c>
      <c r="S871" s="74">
        <v>0.9</v>
      </c>
      <c r="T871" s="72">
        <v>0.880172946263125</v>
      </c>
      <c r="U871" s="72">
        <v>0.92266380236305</v>
      </c>
      <c r="V871" s="72">
        <v>0.918139534883721</v>
      </c>
      <c r="W871" s="72">
        <v>0.920267714244144</v>
      </c>
      <c r="X871" s="74">
        <v>0.92</v>
      </c>
      <c r="Y871" s="74">
        <v>0.910745233968804</v>
      </c>
      <c r="Z871" s="74">
        <v>0.936206896551724</v>
      </c>
      <c r="AA871" s="74">
        <v>0.960637300843486</v>
      </c>
      <c r="AB871" s="74">
        <v>0.936979906636899</v>
      </c>
      <c r="AC871" s="74">
        <v>0.92</v>
      </c>
      <c r="AD871" s="72">
        <v>0.979609929078014</v>
      </c>
      <c r="AE871" s="72">
        <v>0.968845760980592</v>
      </c>
      <c r="AF871" s="72">
        <v>0.982553528945281</v>
      </c>
      <c r="AG871" s="72">
        <v>0.983230904302019</v>
      </c>
      <c r="AH871" s="74">
        <v>0.92</v>
      </c>
      <c r="AI871" s="72">
        <v>0.936717505121785</v>
      </c>
      <c r="AJ871" s="72">
        <v>0.96283185840708</v>
      </c>
      <c r="AK871" s="72">
        <v>0.979511059371362</v>
      </c>
      <c r="AL871" s="72">
        <v>0.966337534451848</v>
      </c>
      <c r="AM871" s="71">
        <v>0.99</v>
      </c>
      <c r="AN871" s="76">
        <v>1</v>
      </c>
      <c r="AO871" s="76">
        <v>1</v>
      </c>
      <c r="AP871" s="76">
        <v>1</v>
      </c>
      <c r="AQ871" s="76">
        <v>1</v>
      </c>
      <c r="AR871" s="96">
        <v>0.0810595228934205</v>
      </c>
      <c r="AS871" s="80">
        <v>0.125</v>
      </c>
      <c r="AT871" s="80">
        <v>0.125</v>
      </c>
      <c r="AU871" s="80">
        <v>0.111111111111111</v>
      </c>
      <c r="AV871" s="80">
        <v>0.0692640692640693</v>
      </c>
      <c r="AW871" s="36"/>
      <c r="AX871" s="34"/>
    </row>
    <row r="872" ht="14.5" spans="1:50">
      <c r="A872" s="32"/>
      <c r="B872" s="36"/>
      <c r="C872" s="91" t="s">
        <v>693</v>
      </c>
      <c r="D872" s="69" t="s">
        <v>21</v>
      </c>
      <c r="E872" s="114" t="s">
        <v>922</v>
      </c>
      <c r="F872" s="114" t="s">
        <v>922</v>
      </c>
      <c r="G872" s="114" t="s">
        <v>922</v>
      </c>
      <c r="H872" s="114" t="s">
        <v>922</v>
      </c>
      <c r="I872" s="71">
        <v>0.9</v>
      </c>
      <c r="J872" s="72">
        <v>0.973684210526316</v>
      </c>
      <c r="K872" s="72">
        <v>0.948717948717949</v>
      </c>
      <c r="L872" s="73">
        <v>0.926829268292683</v>
      </c>
      <c r="M872" s="72">
        <v>0.919889502762431</v>
      </c>
      <c r="N872" s="74">
        <v>0.9</v>
      </c>
      <c r="O872" s="72">
        <v>0.964585834333733</v>
      </c>
      <c r="P872" s="72">
        <v>0.973473837209302</v>
      </c>
      <c r="Q872" s="72">
        <v>0.982624883648774</v>
      </c>
      <c r="R872" s="72">
        <v>0.972286613846314</v>
      </c>
      <c r="S872" s="74">
        <v>0.9</v>
      </c>
      <c r="T872" s="72">
        <v>0.92436974789916</v>
      </c>
      <c r="U872" s="72">
        <v>0.953851744186046</v>
      </c>
      <c r="V872" s="72">
        <v>0.959044368600683</v>
      </c>
      <c r="W872" s="72">
        <v>0.950904750371934</v>
      </c>
      <c r="X872" s="74">
        <v>0.92</v>
      </c>
      <c r="Y872" s="74">
        <v>0.916598528209321</v>
      </c>
      <c r="Z872" s="74">
        <v>0.936013125512715</v>
      </c>
      <c r="AA872" s="74">
        <v>0.940312213039486</v>
      </c>
      <c r="AB872" s="74">
        <v>0.928353367677924</v>
      </c>
      <c r="AC872" s="74">
        <v>0.92</v>
      </c>
      <c r="AD872" s="72">
        <v>0.997277564657839</v>
      </c>
      <c r="AE872" s="72">
        <v>0.991957650412298</v>
      </c>
      <c r="AF872" s="72">
        <v>0.992730306280539</v>
      </c>
      <c r="AG872" s="72">
        <v>0.991506731232411</v>
      </c>
      <c r="AH872" s="74">
        <v>0.92</v>
      </c>
      <c r="AI872" s="72">
        <v>0.951064296686416</v>
      </c>
      <c r="AJ872" s="72">
        <v>0.970802919708029</v>
      </c>
      <c r="AK872" s="72">
        <v>0.976582425226061</v>
      </c>
      <c r="AL872" s="72">
        <v>0.970304568527919</v>
      </c>
      <c r="AM872" s="71">
        <v>0.99</v>
      </c>
      <c r="AN872" s="76">
        <v>1</v>
      </c>
      <c r="AO872" s="76">
        <v>1</v>
      </c>
      <c r="AP872" s="76">
        <v>1</v>
      </c>
      <c r="AQ872" s="76">
        <v>1</v>
      </c>
      <c r="AR872" s="96">
        <v>0.0810595228934205</v>
      </c>
      <c r="AS872" s="80">
        <v>0.0833333333333333</v>
      </c>
      <c r="AT872" s="80">
        <v>0.375</v>
      </c>
      <c r="AU872" s="80">
        <v>0</v>
      </c>
      <c r="AV872" s="80">
        <v>0.0631578947368421</v>
      </c>
      <c r="AW872" s="36"/>
      <c r="AX872" s="34"/>
    </row>
    <row r="873" ht="14.5" spans="1:50">
      <c r="A873" s="32"/>
      <c r="B873" s="36"/>
      <c r="C873" s="91" t="s">
        <v>693</v>
      </c>
      <c r="D873" s="69" t="s">
        <v>21</v>
      </c>
      <c r="E873" s="114" t="s">
        <v>923</v>
      </c>
      <c r="F873" s="114" t="s">
        <v>923</v>
      </c>
      <c r="G873" s="114" t="s">
        <v>923</v>
      </c>
      <c r="H873" s="114" t="s">
        <v>923</v>
      </c>
      <c r="I873" s="71">
        <v>0.9</v>
      </c>
      <c r="J873" s="72">
        <v>0.886363636363636</v>
      </c>
      <c r="K873" s="72">
        <v>0.958333333333333</v>
      </c>
      <c r="L873" s="73">
        <v>0.925925925925926</v>
      </c>
      <c r="M873" s="72">
        <v>0.926339285714286</v>
      </c>
      <c r="N873" s="74">
        <v>0.9</v>
      </c>
      <c r="O873" s="72">
        <v>0.967248322147651</v>
      </c>
      <c r="P873" s="72">
        <v>0.975249019015998</v>
      </c>
      <c r="Q873" s="72">
        <v>0.956023454157783</v>
      </c>
      <c r="R873" s="72">
        <v>0.968108783804384</v>
      </c>
      <c r="S873" s="74">
        <v>0.9</v>
      </c>
      <c r="T873" s="72">
        <v>0.913288590604027</v>
      </c>
      <c r="U873" s="72">
        <v>0.935707817687896</v>
      </c>
      <c r="V873" s="72">
        <v>0.902452025586354</v>
      </c>
      <c r="W873" s="72">
        <v>0.922558614591908</v>
      </c>
      <c r="X873" s="74">
        <v>0.92</v>
      </c>
      <c r="Y873" s="74">
        <v>0.932956951305575</v>
      </c>
      <c r="Z873" s="74">
        <v>0.950708980418636</v>
      </c>
      <c r="AA873" s="74">
        <v>0.948824343015214</v>
      </c>
      <c r="AB873" s="74">
        <v>0.948928223449172</v>
      </c>
      <c r="AC873" s="74">
        <v>0.92</v>
      </c>
      <c r="AD873" s="72">
        <v>0.990703314470493</v>
      </c>
      <c r="AE873" s="72">
        <v>0.996098562628337</v>
      </c>
      <c r="AF873" s="72">
        <v>0.990212306585103</v>
      </c>
      <c r="AG873" s="72">
        <v>0.994949101147932</v>
      </c>
      <c r="AH873" s="74">
        <v>0.92</v>
      </c>
      <c r="AI873" s="72">
        <v>0.962487852283771</v>
      </c>
      <c r="AJ873" s="72">
        <v>0.97581317764804</v>
      </c>
      <c r="AK873" s="72">
        <v>0.973076923076923</v>
      </c>
      <c r="AL873" s="72">
        <v>0.975501162919482</v>
      </c>
      <c r="AM873" s="71">
        <v>0.99</v>
      </c>
      <c r="AN873" s="76">
        <v>1</v>
      </c>
      <c r="AO873" s="76">
        <v>1</v>
      </c>
      <c r="AP873" s="76">
        <v>1</v>
      </c>
      <c r="AQ873" s="76">
        <v>1</v>
      </c>
      <c r="AR873" s="96">
        <v>0.0810595228934205</v>
      </c>
      <c r="AS873" s="80">
        <v>0.0625</v>
      </c>
      <c r="AT873" s="80">
        <v>0.0588235294117647</v>
      </c>
      <c r="AU873" s="80">
        <v>0</v>
      </c>
      <c r="AV873" s="80">
        <v>0.0645161290322581</v>
      </c>
      <c r="AW873" s="36"/>
      <c r="AX873" s="34"/>
    </row>
    <row r="874" ht="14.5" spans="1:50">
      <c r="A874" s="32"/>
      <c r="B874" s="36"/>
      <c r="C874" s="91" t="s">
        <v>693</v>
      </c>
      <c r="D874" s="69" t="s">
        <v>21</v>
      </c>
      <c r="E874" s="114" t="s">
        <v>924</v>
      </c>
      <c r="F874" s="114" t="s">
        <v>924</v>
      </c>
      <c r="G874" s="114" t="s">
        <v>924</v>
      </c>
      <c r="H874" s="114" t="s">
        <v>924</v>
      </c>
      <c r="I874" s="71">
        <v>0.9</v>
      </c>
      <c r="J874" s="72">
        <v>0.95</v>
      </c>
      <c r="K874" s="72">
        <v>1</v>
      </c>
      <c r="L874" s="73">
        <v>0.936170212765957</v>
      </c>
      <c r="M874" s="72">
        <v>0.969924812030075</v>
      </c>
      <c r="N874" s="74">
        <v>0.9</v>
      </c>
      <c r="O874" s="72">
        <v>0.968123861566485</v>
      </c>
      <c r="P874" s="72">
        <v>0.981168831168831</v>
      </c>
      <c r="Q874" s="72">
        <v>0.9792008757526</v>
      </c>
      <c r="R874" s="72">
        <v>0.977041499330656</v>
      </c>
      <c r="S874" s="74">
        <v>0.9</v>
      </c>
      <c r="T874" s="72">
        <v>0.963570127504554</v>
      </c>
      <c r="U874" s="72">
        <v>0.966233766233766</v>
      </c>
      <c r="V874" s="72">
        <v>0.972085385878489</v>
      </c>
      <c r="W874" s="72">
        <v>0.965930388219545</v>
      </c>
      <c r="X874" s="74">
        <v>0.92</v>
      </c>
      <c r="Y874" s="74">
        <v>0.950993377483444</v>
      </c>
      <c r="Z874" s="74">
        <v>0.963901203293224</v>
      </c>
      <c r="AA874" s="74">
        <v>0.973316391359593</v>
      </c>
      <c r="AB874" s="74">
        <v>0.966020934229027</v>
      </c>
      <c r="AC874" s="74">
        <v>0.92</v>
      </c>
      <c r="AD874" s="72">
        <v>0.996483283553329</v>
      </c>
      <c r="AE874" s="72">
        <v>0.993429037793496</v>
      </c>
      <c r="AF874" s="72">
        <v>0.993121790168745</v>
      </c>
      <c r="AG874" s="72">
        <v>0.99485703227055</v>
      </c>
      <c r="AH874" s="74">
        <v>0.92</v>
      </c>
      <c r="AI874" s="72">
        <v>0.976686094920899</v>
      </c>
      <c r="AJ874" s="72">
        <v>0.981326464906632</v>
      </c>
      <c r="AK874" s="72">
        <v>0.986421877988143</v>
      </c>
      <c r="AL874" s="72">
        <v>0.98306394940267</v>
      </c>
      <c r="AM874" s="71">
        <v>0.99</v>
      </c>
      <c r="AN874" s="76">
        <v>1</v>
      </c>
      <c r="AO874" s="76">
        <v>1</v>
      </c>
      <c r="AP874" s="76">
        <v>1</v>
      </c>
      <c r="AQ874" s="76">
        <v>1</v>
      </c>
      <c r="AR874" s="96">
        <v>0.0810595228934205</v>
      </c>
      <c r="AS874" s="80">
        <v>0.157894736842105</v>
      </c>
      <c r="AT874" s="80">
        <v>0</v>
      </c>
      <c r="AU874" s="80">
        <v>0</v>
      </c>
      <c r="AV874" s="80">
        <v>0.0598290598290598</v>
      </c>
      <c r="AW874" s="36"/>
      <c r="AX874" s="34"/>
    </row>
    <row r="875" ht="14.5" spans="1:50">
      <c r="A875" s="32"/>
      <c r="B875" s="36"/>
      <c r="C875" s="91" t="s">
        <v>693</v>
      </c>
      <c r="D875" s="69" t="s">
        <v>21</v>
      </c>
      <c r="E875" s="114" t="s">
        <v>925</v>
      </c>
      <c r="F875" s="114" t="s">
        <v>925</v>
      </c>
      <c r="G875" s="114" t="s">
        <v>925</v>
      </c>
      <c r="H875" s="114" t="s">
        <v>925</v>
      </c>
      <c r="I875" s="71">
        <v>0.9</v>
      </c>
      <c r="J875" s="72">
        <v>0.967741935483871</v>
      </c>
      <c r="K875" s="72">
        <v>0.935483870967742</v>
      </c>
      <c r="L875" s="73">
        <v>0.90625</v>
      </c>
      <c r="M875" s="72">
        <v>0.929577464788732</v>
      </c>
      <c r="N875" s="74">
        <v>0.9</v>
      </c>
      <c r="O875" s="72">
        <v>0.96976320582878</v>
      </c>
      <c r="P875" s="72">
        <v>0.978885135135135</v>
      </c>
      <c r="Q875" s="72">
        <v>0.978391781792419</v>
      </c>
      <c r="R875" s="72">
        <v>0.97891331941203</v>
      </c>
      <c r="S875" s="74">
        <v>0.9</v>
      </c>
      <c r="T875" s="72">
        <v>0.957741347905282</v>
      </c>
      <c r="U875" s="72">
        <v>0.960726351351351</v>
      </c>
      <c r="V875" s="72">
        <v>0.963868225292242</v>
      </c>
      <c r="W875" s="72">
        <v>0.962084919952504</v>
      </c>
      <c r="X875" s="74">
        <v>0.92</v>
      </c>
      <c r="Y875" s="74">
        <v>0.936148300720906</v>
      </c>
      <c r="Z875" s="74">
        <v>0.944550669216061</v>
      </c>
      <c r="AA875" s="74">
        <v>0.947584789311408</v>
      </c>
      <c r="AB875" s="74">
        <v>0.940612151667428</v>
      </c>
      <c r="AC875" s="74">
        <v>0.92</v>
      </c>
      <c r="AD875" s="72">
        <v>1</v>
      </c>
      <c r="AE875" s="72">
        <v>0.978070175438597</v>
      </c>
      <c r="AF875" s="72">
        <v>0.993377483443709</v>
      </c>
      <c r="AG875" s="72">
        <v>0.987005316007088</v>
      </c>
      <c r="AH875" s="74">
        <v>0.92</v>
      </c>
      <c r="AI875" s="72">
        <v>0.970936490850377</v>
      </c>
      <c r="AJ875" s="72">
        <v>0.975695461200586</v>
      </c>
      <c r="AK875" s="72">
        <v>0.980769230769231</v>
      </c>
      <c r="AL875" s="72">
        <v>0.977128909781233</v>
      </c>
      <c r="AM875" s="71">
        <v>0.99</v>
      </c>
      <c r="AN875" s="76">
        <v>1</v>
      </c>
      <c r="AO875" s="76">
        <v>1</v>
      </c>
      <c r="AP875" s="76">
        <v>1</v>
      </c>
      <c r="AQ875" s="76">
        <v>1</v>
      </c>
      <c r="AR875" s="96">
        <v>0.0810595228934205</v>
      </c>
      <c r="AS875" s="80">
        <v>0</v>
      </c>
      <c r="AT875" s="80">
        <v>0</v>
      </c>
      <c r="AU875" s="80">
        <v>0</v>
      </c>
      <c r="AV875" s="80">
        <v>0.0454545454545455</v>
      </c>
      <c r="AW875" s="36"/>
      <c r="AX875" s="34"/>
    </row>
    <row r="876" ht="14.5" spans="1:50">
      <c r="A876" s="32"/>
      <c r="B876" s="36"/>
      <c r="C876" s="91" t="s">
        <v>693</v>
      </c>
      <c r="D876" s="69" t="s">
        <v>21</v>
      </c>
      <c r="E876" s="114" t="s">
        <v>926</v>
      </c>
      <c r="F876" s="114" t="s">
        <v>926</v>
      </c>
      <c r="G876" s="114" t="s">
        <v>926</v>
      </c>
      <c r="H876" s="114" t="s">
        <v>926</v>
      </c>
      <c r="I876" s="71">
        <v>0.9</v>
      </c>
      <c r="J876" s="72">
        <v>0.833333333333333</v>
      </c>
      <c r="K876" s="72">
        <v>0.894736842105263</v>
      </c>
      <c r="L876" s="73">
        <v>0.915254237288136</v>
      </c>
      <c r="M876" s="72">
        <v>0.871743486973948</v>
      </c>
      <c r="N876" s="74">
        <v>0.9</v>
      </c>
      <c r="O876" s="72">
        <v>0.943449781659389</v>
      </c>
      <c r="P876" s="72">
        <v>0.959663449641178</v>
      </c>
      <c r="Q876" s="72">
        <v>0.953227513227513</v>
      </c>
      <c r="R876" s="72">
        <v>0.949168821573698</v>
      </c>
      <c r="S876" s="74">
        <v>0.9</v>
      </c>
      <c r="T876" s="72">
        <v>0.913973799126638</v>
      </c>
      <c r="U876" s="72">
        <v>0.938629052214798</v>
      </c>
      <c r="V876" s="72">
        <v>0.922751322751323</v>
      </c>
      <c r="W876" s="72">
        <v>0.920748676271395</v>
      </c>
      <c r="X876" s="74">
        <v>0.92</v>
      </c>
      <c r="Y876" s="74">
        <v>0.923173803526448</v>
      </c>
      <c r="Z876" s="74">
        <v>0.944213649851632</v>
      </c>
      <c r="AA876" s="74">
        <v>0.944042132982225</v>
      </c>
      <c r="AB876" s="74">
        <v>0.930794142495072</v>
      </c>
      <c r="AC876" s="74">
        <v>0.92</v>
      </c>
      <c r="AD876" s="72">
        <v>0.997737556561086</v>
      </c>
      <c r="AE876" s="72">
        <v>0.971861471861472</v>
      </c>
      <c r="AF876" s="72">
        <v>0.991055456171735</v>
      </c>
      <c r="AG876" s="72">
        <v>0.985689179010796</v>
      </c>
      <c r="AH876" s="74">
        <v>0.92</v>
      </c>
      <c r="AI876" s="72">
        <v>0.961257902415302</v>
      </c>
      <c r="AJ876" s="72">
        <v>0.972416201117318</v>
      </c>
      <c r="AK876" s="72">
        <v>0.971812940422806</v>
      </c>
      <c r="AL876" s="72">
        <v>0.967978409132353</v>
      </c>
      <c r="AM876" s="71">
        <v>0.99</v>
      </c>
      <c r="AN876" s="76">
        <v>1</v>
      </c>
      <c r="AO876" s="76">
        <v>1</v>
      </c>
      <c r="AP876" s="76">
        <v>1</v>
      </c>
      <c r="AQ876" s="76">
        <v>1</v>
      </c>
      <c r="AR876" s="96">
        <v>0.0810595228934205</v>
      </c>
      <c r="AS876" s="80">
        <v>0.153846153846154</v>
      </c>
      <c r="AT876" s="80">
        <v>0.176470588235294</v>
      </c>
      <c r="AU876" s="80">
        <v>0.0303030303030303</v>
      </c>
      <c r="AV876" s="80">
        <v>0.103092783505155</v>
      </c>
      <c r="AW876" s="36"/>
      <c r="AX876" s="34"/>
    </row>
    <row r="877" ht="14.5" spans="1:50">
      <c r="A877" s="32"/>
      <c r="B877" s="36"/>
      <c r="C877" s="91" t="s">
        <v>693</v>
      </c>
      <c r="D877" s="69" t="s">
        <v>21</v>
      </c>
      <c r="E877" s="114" t="s">
        <v>927</v>
      </c>
      <c r="F877" s="114" t="s">
        <v>927</v>
      </c>
      <c r="G877" s="114" t="s">
        <v>927</v>
      </c>
      <c r="H877" s="114" t="s">
        <v>927</v>
      </c>
      <c r="I877" s="71">
        <v>0.9</v>
      </c>
      <c r="J877" s="72">
        <v>0.837837837837838</v>
      </c>
      <c r="K877" s="72">
        <v>0.85</v>
      </c>
      <c r="L877" s="73">
        <v>0.894736842105263</v>
      </c>
      <c r="M877" s="72">
        <v>0.864406779661017</v>
      </c>
      <c r="N877" s="74">
        <v>0.9</v>
      </c>
      <c r="O877" s="72">
        <v>0.880276081762676</v>
      </c>
      <c r="P877" s="72">
        <v>0.959496778152808</v>
      </c>
      <c r="Q877" s="72">
        <v>0.956321215409658</v>
      </c>
      <c r="R877" s="72">
        <v>0.943023681640625</v>
      </c>
      <c r="S877" s="74">
        <v>0.9</v>
      </c>
      <c r="T877" s="72">
        <v>0.911600743297053</v>
      </c>
      <c r="U877" s="72">
        <v>0.938324639459957</v>
      </c>
      <c r="V877" s="72">
        <v>0.936787845903418</v>
      </c>
      <c r="W877" s="72">
        <v>0.92962646484375</v>
      </c>
      <c r="X877" s="74">
        <v>0.92</v>
      </c>
      <c r="Y877" s="74">
        <v>0.913657770800628</v>
      </c>
      <c r="Z877" s="74">
        <v>0.951965065502183</v>
      </c>
      <c r="AA877" s="74">
        <v>0.94061757719715</v>
      </c>
      <c r="AB877" s="74">
        <v>0.934035331998956</v>
      </c>
      <c r="AC877" s="74">
        <v>0.92</v>
      </c>
      <c r="AD877" s="72">
        <v>0.998394863563403</v>
      </c>
      <c r="AE877" s="72">
        <v>0.997784342688331</v>
      </c>
      <c r="AF877" s="72">
        <v>0.996826656088854</v>
      </c>
      <c r="AG877" s="72">
        <v>0.997414965986395</v>
      </c>
      <c r="AH877" s="74">
        <v>0.92</v>
      </c>
      <c r="AI877" s="72">
        <v>0.964094425709185</v>
      </c>
      <c r="AJ877" s="72">
        <v>0.977777777777778</v>
      </c>
      <c r="AK877" s="72">
        <v>0.973949919224556</v>
      </c>
      <c r="AL877" s="72">
        <v>0.971884103791694</v>
      </c>
      <c r="AM877" s="71">
        <v>0.99</v>
      </c>
      <c r="AN877" s="76">
        <v>1</v>
      </c>
      <c r="AO877" s="76">
        <v>1</v>
      </c>
      <c r="AP877" s="76">
        <v>1</v>
      </c>
      <c r="AQ877" s="76">
        <v>1</v>
      </c>
      <c r="AR877" s="96">
        <v>0.0810595228934205</v>
      </c>
      <c r="AS877" s="80">
        <v>0.0769230769230769</v>
      </c>
      <c r="AT877" s="80">
        <v>0.0434782608695652</v>
      </c>
      <c r="AU877" s="80">
        <v>0.04</v>
      </c>
      <c r="AV877" s="80">
        <v>0.032258064516129</v>
      </c>
      <c r="AW877" s="36"/>
      <c r="AX877" s="34"/>
    </row>
    <row r="878" ht="14.5" spans="1:50">
      <c r="A878" s="32"/>
      <c r="B878" s="36"/>
      <c r="C878" s="91" t="s">
        <v>693</v>
      </c>
      <c r="D878" s="69" t="s">
        <v>21</v>
      </c>
      <c r="E878" s="114" t="s">
        <v>928</v>
      </c>
      <c r="F878" s="114" t="s">
        <v>928</v>
      </c>
      <c r="G878" s="114" t="s">
        <v>928</v>
      </c>
      <c r="H878" s="114" t="s">
        <v>928</v>
      </c>
      <c r="I878" s="71">
        <v>0.9</v>
      </c>
      <c r="J878" s="72">
        <v>1</v>
      </c>
      <c r="K878" s="72">
        <v>1</v>
      </c>
      <c r="L878" s="73">
        <v>1</v>
      </c>
      <c r="M878" s="72">
        <v>0.993464052287582</v>
      </c>
      <c r="N878" s="74">
        <v>0.9</v>
      </c>
      <c r="O878" s="72">
        <v>0.956386292834891</v>
      </c>
      <c r="P878" s="72">
        <v>0.980034722222222</v>
      </c>
      <c r="Q878" s="72">
        <v>0.977219167321288</v>
      </c>
      <c r="R878" s="72">
        <v>0.97392402779031</v>
      </c>
      <c r="S878" s="74">
        <v>0.9</v>
      </c>
      <c r="T878" s="72">
        <v>0.943146417445483</v>
      </c>
      <c r="U878" s="72">
        <v>0.953125</v>
      </c>
      <c r="V878" s="72">
        <v>0.963079340141398</v>
      </c>
      <c r="W878" s="72">
        <v>0.944960750699269</v>
      </c>
      <c r="X878" s="74">
        <v>0.92</v>
      </c>
      <c r="Y878" s="74">
        <v>0.94047619047619</v>
      </c>
      <c r="Z878" s="74">
        <v>0.949579831932773</v>
      </c>
      <c r="AA878" s="74">
        <v>0.962406015037594</v>
      </c>
      <c r="AB878" s="74">
        <v>0.944286819705958</v>
      </c>
      <c r="AC878" s="74">
        <v>0.92</v>
      </c>
      <c r="AD878" s="72">
        <v>0.996557659208262</v>
      </c>
      <c r="AE878" s="72">
        <v>0.998456790123457</v>
      </c>
      <c r="AF878" s="72">
        <v>0.987915407854985</v>
      </c>
      <c r="AG878" s="72">
        <v>0.996008330440819</v>
      </c>
      <c r="AH878" s="74">
        <v>0.92</v>
      </c>
      <c r="AI878" s="72">
        <v>0.975352112676056</v>
      </c>
      <c r="AJ878" s="72">
        <v>0.96990171990172</v>
      </c>
      <c r="AK878" s="72">
        <v>0.982078853046595</v>
      </c>
      <c r="AL878" s="72">
        <v>0.974675932112789</v>
      </c>
      <c r="AM878" s="71">
        <v>0.99</v>
      </c>
      <c r="AN878" s="76">
        <v>1</v>
      </c>
      <c r="AO878" s="76">
        <v>1</v>
      </c>
      <c r="AP878" s="76">
        <v>1</v>
      </c>
      <c r="AQ878" s="76">
        <v>1</v>
      </c>
      <c r="AR878" s="96">
        <v>0.0810595228934205</v>
      </c>
      <c r="AS878" s="80">
        <v>0</v>
      </c>
      <c r="AT878" s="80">
        <v>0</v>
      </c>
      <c r="AU878" s="80">
        <v>0</v>
      </c>
      <c r="AV878" s="80">
        <v>0.0138888888888889</v>
      </c>
      <c r="AW878" s="36"/>
      <c r="AX878" s="34"/>
    </row>
    <row r="879" ht="14.5" spans="1:50">
      <c r="A879" s="32"/>
      <c r="B879" s="36"/>
      <c r="C879" s="91" t="s">
        <v>693</v>
      </c>
      <c r="D879" s="69" t="s">
        <v>21</v>
      </c>
      <c r="E879" s="114" t="s">
        <v>929</v>
      </c>
      <c r="F879" s="114" t="s">
        <v>929</v>
      </c>
      <c r="G879" s="114" t="s">
        <v>929</v>
      </c>
      <c r="H879" s="114" t="s">
        <v>929</v>
      </c>
      <c r="I879" s="71">
        <v>0.9</v>
      </c>
      <c r="J879" s="72">
        <v>0.8125</v>
      </c>
      <c r="K879" s="72">
        <v>0.866666666666667</v>
      </c>
      <c r="L879" s="73">
        <v>0.848484848484849</v>
      </c>
      <c r="M879" s="72">
        <v>0.821678321678322</v>
      </c>
      <c r="N879" s="74">
        <v>0.9</v>
      </c>
      <c r="O879" s="72">
        <v>0.972710951526032</v>
      </c>
      <c r="P879" s="72">
        <v>0.982616253802694</v>
      </c>
      <c r="Q879" s="72">
        <v>0.981825525040388</v>
      </c>
      <c r="R879" s="72">
        <v>0.979312378865762</v>
      </c>
      <c r="S879" s="74">
        <v>0.9</v>
      </c>
      <c r="T879" s="72">
        <v>0.957271095152603</v>
      </c>
      <c r="U879" s="72">
        <v>0.967405475880052</v>
      </c>
      <c r="V879" s="72">
        <v>0.973344103392569</v>
      </c>
      <c r="W879" s="72">
        <v>0.967262155557428</v>
      </c>
      <c r="X879" s="74">
        <v>0.92</v>
      </c>
      <c r="Y879" s="74">
        <v>0.977502812148481</v>
      </c>
      <c r="Z879" s="74">
        <v>0.968879668049793</v>
      </c>
      <c r="AA879" s="74">
        <v>0.977567886658796</v>
      </c>
      <c r="AB879" s="74">
        <v>0.974060285817221</v>
      </c>
      <c r="AC879" s="74">
        <v>0.92</v>
      </c>
      <c r="AD879" s="72">
        <v>0.997252747252747</v>
      </c>
      <c r="AE879" s="72">
        <v>1</v>
      </c>
      <c r="AF879" s="72">
        <v>1</v>
      </c>
      <c r="AG879" s="72">
        <v>0.999375195251484</v>
      </c>
      <c r="AH879" s="74">
        <v>0.92</v>
      </c>
      <c r="AI879" s="72">
        <v>0.984498232254555</v>
      </c>
      <c r="AJ879" s="72">
        <v>0.987450260177533</v>
      </c>
      <c r="AK879" s="72">
        <v>0.992779783393502</v>
      </c>
      <c r="AL879" s="72">
        <v>0.98968140158364</v>
      </c>
      <c r="AM879" s="71">
        <v>0.99</v>
      </c>
      <c r="AN879" s="76">
        <v>1</v>
      </c>
      <c r="AO879" s="76">
        <v>1</v>
      </c>
      <c r="AP879" s="76">
        <v>1</v>
      </c>
      <c r="AQ879" s="76">
        <v>1</v>
      </c>
      <c r="AR879" s="96">
        <v>0.0810595228934205</v>
      </c>
      <c r="AS879" s="80">
        <v>0</v>
      </c>
      <c r="AT879" s="80">
        <v>0</v>
      </c>
      <c r="AU879" s="80">
        <v>0</v>
      </c>
      <c r="AV879" s="80">
        <v>0.0141843971631206</v>
      </c>
      <c r="AW879" s="36"/>
      <c r="AX879" s="34"/>
    </row>
    <row r="880" ht="14.5" spans="1:50">
      <c r="A880" s="32"/>
      <c r="B880" s="36"/>
      <c r="C880" s="91" t="s">
        <v>693</v>
      </c>
      <c r="D880" s="69" t="s">
        <v>21</v>
      </c>
      <c r="E880" s="114" t="s">
        <v>930</v>
      </c>
      <c r="F880" s="114" t="s">
        <v>930</v>
      </c>
      <c r="G880" s="114" t="s">
        <v>930</v>
      </c>
      <c r="H880" s="114" t="s">
        <v>930</v>
      </c>
      <c r="I880" s="71">
        <v>0.9</v>
      </c>
      <c r="J880" s="72">
        <v>1</v>
      </c>
      <c r="K880" s="72">
        <v>0.91304347826087</v>
      </c>
      <c r="L880" s="73">
        <v>1</v>
      </c>
      <c r="M880" s="72">
        <v>0.981220657276995</v>
      </c>
      <c r="N880" s="74">
        <v>0.9</v>
      </c>
      <c r="O880" s="72">
        <v>0.961883408071749</v>
      </c>
      <c r="P880" s="72">
        <v>0.972501676727029</v>
      </c>
      <c r="Q880" s="72">
        <v>0.971341463414634</v>
      </c>
      <c r="R880" s="72">
        <v>0.965149456521739</v>
      </c>
      <c r="S880" s="74">
        <v>0.9</v>
      </c>
      <c r="T880" s="72">
        <v>0.937219730941704</v>
      </c>
      <c r="U880" s="72">
        <v>0.955734406438632</v>
      </c>
      <c r="V880" s="72">
        <v>0.965243902439024</v>
      </c>
      <c r="W880" s="72">
        <v>0.953940217391304</v>
      </c>
      <c r="X880" s="74">
        <v>0.92</v>
      </c>
      <c r="Y880" s="74">
        <v>0.920711974110032</v>
      </c>
      <c r="Z880" s="74">
        <v>0.953968253968254</v>
      </c>
      <c r="AA880" s="74">
        <v>0.956521739130435</v>
      </c>
      <c r="AB880" s="74">
        <v>0.940627333831217</v>
      </c>
      <c r="AC880" s="74">
        <v>0.92</v>
      </c>
      <c r="AD880" s="72">
        <v>0.999201915403033</v>
      </c>
      <c r="AE880" s="72">
        <v>0.998692810457516</v>
      </c>
      <c r="AF880" s="72">
        <v>0.998160073597056</v>
      </c>
      <c r="AG880" s="72">
        <v>0.998603611990318</v>
      </c>
      <c r="AH880" s="74">
        <v>0.92</v>
      </c>
      <c r="AI880" s="72">
        <v>0.961698584512906</v>
      </c>
      <c r="AJ880" s="72">
        <v>0.98019801980198</v>
      </c>
      <c r="AK880" s="72">
        <v>0.98510158013544</v>
      </c>
      <c r="AL880" s="72">
        <v>0.976890128498854</v>
      </c>
      <c r="AM880" s="71">
        <v>0.99</v>
      </c>
      <c r="AN880" s="76">
        <v>1</v>
      </c>
      <c r="AO880" s="76">
        <v>0</v>
      </c>
      <c r="AP880" s="76">
        <v>1</v>
      </c>
      <c r="AQ880" s="76">
        <v>1</v>
      </c>
      <c r="AR880" s="96">
        <v>0.0810595228934205</v>
      </c>
      <c r="AS880" s="80">
        <v>0</v>
      </c>
      <c r="AT880" s="80">
        <v>0</v>
      </c>
      <c r="AU880" s="80">
        <v>0</v>
      </c>
      <c r="AV880" s="80">
        <v>0.0217391304347826</v>
      </c>
      <c r="AW880" s="36"/>
      <c r="AX880" s="34"/>
    </row>
    <row r="881" ht="14.5" spans="1:50">
      <c r="A881" s="32"/>
      <c r="B881" s="36"/>
      <c r="C881" s="91" t="s">
        <v>693</v>
      </c>
      <c r="D881" s="69" t="s">
        <v>21</v>
      </c>
      <c r="E881" s="114" t="s">
        <v>931</v>
      </c>
      <c r="F881" s="114" t="s">
        <v>931</v>
      </c>
      <c r="G881" s="114" t="s">
        <v>931</v>
      </c>
      <c r="H881" s="114" t="s">
        <v>931</v>
      </c>
      <c r="I881" s="71">
        <v>0.9</v>
      </c>
      <c r="J881" s="72">
        <v>0.818181818181818</v>
      </c>
      <c r="K881" s="72">
        <v>0.84</v>
      </c>
      <c r="L881" s="73">
        <v>0.923076923076923</v>
      </c>
      <c r="M881" s="72">
        <v>0.863849765258216</v>
      </c>
      <c r="N881" s="74">
        <v>0.9</v>
      </c>
      <c r="O881" s="72">
        <v>0.990201729106628</v>
      </c>
      <c r="P881" s="72">
        <v>0.994531784005468</v>
      </c>
      <c r="Q881" s="72">
        <v>0.992284866468843</v>
      </c>
      <c r="R881" s="72">
        <v>0.986066801224038</v>
      </c>
      <c r="S881" s="74">
        <v>0.9</v>
      </c>
      <c r="T881" s="72">
        <v>0.939481268011527</v>
      </c>
      <c r="U881" s="72">
        <v>0.967190704032809</v>
      </c>
      <c r="V881" s="72">
        <v>0.967952522255193</v>
      </c>
      <c r="W881" s="72">
        <v>0.953447490070968</v>
      </c>
      <c r="X881" s="74">
        <v>0.92</v>
      </c>
      <c r="Y881" s="74">
        <v>0.946957878315133</v>
      </c>
      <c r="Z881" s="74">
        <v>0.899212598425197</v>
      </c>
      <c r="AA881" s="74">
        <v>0.948571428571429</v>
      </c>
      <c r="AB881" s="74">
        <v>0.944923192206819</v>
      </c>
      <c r="AC881" s="74">
        <v>0.92</v>
      </c>
      <c r="AD881" s="72">
        <v>1</v>
      </c>
      <c r="AE881" s="72">
        <v>1</v>
      </c>
      <c r="AF881" s="72">
        <v>1</v>
      </c>
      <c r="AG881" s="72">
        <v>1</v>
      </c>
      <c r="AH881" s="74">
        <v>0.92</v>
      </c>
      <c r="AI881" s="72">
        <v>0.974758098443416</v>
      </c>
      <c r="AJ881" s="72">
        <v>0.965697951405431</v>
      </c>
      <c r="AK881" s="72">
        <v>0.980126467931346</v>
      </c>
      <c r="AL881" s="72">
        <v>0.977688704302893</v>
      </c>
      <c r="AM881" s="71">
        <v>0.99</v>
      </c>
      <c r="AN881" s="76">
        <v>1</v>
      </c>
      <c r="AO881" s="76">
        <v>1</v>
      </c>
      <c r="AP881" s="76">
        <v>1</v>
      </c>
      <c r="AQ881" s="76">
        <v>1</v>
      </c>
      <c r="AR881" s="96">
        <v>0.0810595228934205</v>
      </c>
      <c r="AS881" s="80">
        <v>0</v>
      </c>
      <c r="AT881" s="80">
        <v>0</v>
      </c>
      <c r="AU881" s="80">
        <v>0.4</v>
      </c>
      <c r="AV881" s="80">
        <v>0.0491803278688525</v>
      </c>
      <c r="AW881" s="36"/>
      <c r="AX881" s="34"/>
    </row>
    <row r="882" ht="14.5" spans="1:50">
      <c r="A882" s="32"/>
      <c r="B882" s="36"/>
      <c r="C882" s="91" t="s">
        <v>693</v>
      </c>
      <c r="D882" s="69" t="s">
        <v>21</v>
      </c>
      <c r="E882" s="114" t="s">
        <v>932</v>
      </c>
      <c r="F882" s="114" t="s">
        <v>932</v>
      </c>
      <c r="G882" s="114" t="s">
        <v>932</v>
      </c>
      <c r="H882" s="114" t="s">
        <v>932</v>
      </c>
      <c r="I882" s="71">
        <v>0.9</v>
      </c>
      <c r="J882" s="72">
        <v>0.807692307692308</v>
      </c>
      <c r="K882" s="72">
        <v>0.846153846153846</v>
      </c>
      <c r="L882" s="73">
        <v>0.846153846153846</v>
      </c>
      <c r="M882" s="72">
        <v>0.865800865800866</v>
      </c>
      <c r="N882" s="74">
        <v>0.9</v>
      </c>
      <c r="O882" s="72">
        <v>0.936305732484076</v>
      </c>
      <c r="P882" s="72">
        <v>0.947041984732824</v>
      </c>
      <c r="Q882" s="72">
        <v>0.936151079136691</v>
      </c>
      <c r="R882" s="72">
        <v>0.938489764387795</v>
      </c>
      <c r="S882" s="74">
        <v>0.9</v>
      </c>
      <c r="T882" s="72">
        <v>0.888747346072187</v>
      </c>
      <c r="U882" s="72">
        <v>0.934637404580153</v>
      </c>
      <c r="V882" s="72">
        <v>0.915467625899281</v>
      </c>
      <c r="W882" s="72">
        <v>0.914156044804944</v>
      </c>
      <c r="X882" s="74">
        <v>0.92</v>
      </c>
      <c r="Y882" s="74">
        <v>0.871052631578947</v>
      </c>
      <c r="Z882" s="74">
        <v>0.893593919652552</v>
      </c>
      <c r="AA882" s="74">
        <v>0.908970976253298</v>
      </c>
      <c r="AB882" s="74">
        <v>0.912140794720198</v>
      </c>
      <c r="AC882" s="74">
        <v>0.92</v>
      </c>
      <c r="AD882" s="72">
        <v>0.995626822157434</v>
      </c>
      <c r="AE882" s="72">
        <v>0.981735159817352</v>
      </c>
      <c r="AF882" s="72">
        <v>0.995230524642289</v>
      </c>
      <c r="AG882" s="72">
        <v>0.99023497101007</v>
      </c>
      <c r="AH882" s="74">
        <v>0.92</v>
      </c>
      <c r="AI882" s="72">
        <v>0.940288924558587</v>
      </c>
      <c r="AJ882" s="72">
        <v>0.952695997353622</v>
      </c>
      <c r="AK882" s="72">
        <v>0.96112600536193</v>
      </c>
      <c r="AL882" s="72">
        <v>0.960615582375205</v>
      </c>
      <c r="AM882" s="71">
        <v>0.99</v>
      </c>
      <c r="AN882" s="76">
        <v>1</v>
      </c>
      <c r="AO882" s="76">
        <v>1</v>
      </c>
      <c r="AP882" s="76">
        <v>1</v>
      </c>
      <c r="AQ882" s="76">
        <v>1</v>
      </c>
      <c r="AR882" s="96">
        <v>0.0810595228934205</v>
      </c>
      <c r="AS882" s="80">
        <v>0.0526315789473684</v>
      </c>
      <c r="AT882" s="80">
        <v>0</v>
      </c>
      <c r="AU882" s="80">
        <v>0.0833333333333333</v>
      </c>
      <c r="AV882" s="80">
        <v>0.0280373831775701</v>
      </c>
      <c r="AW882" s="36"/>
      <c r="AX882" s="34"/>
    </row>
    <row r="883" ht="14.5" spans="1:50">
      <c r="A883" s="32"/>
      <c r="B883" s="36"/>
      <c r="C883" s="91" t="s">
        <v>693</v>
      </c>
      <c r="D883" s="69" t="s">
        <v>21</v>
      </c>
      <c r="E883" s="114" t="s">
        <v>933</v>
      </c>
      <c r="F883" s="114" t="s">
        <v>933</v>
      </c>
      <c r="G883" s="114" t="s">
        <v>933</v>
      </c>
      <c r="H883" s="114" t="s">
        <v>933</v>
      </c>
      <c r="I883" s="71">
        <v>0.9</v>
      </c>
      <c r="J883" s="72">
        <v>0.982142857142857</v>
      </c>
      <c r="K883" s="72">
        <v>0.946428571428571</v>
      </c>
      <c r="L883" s="73">
        <v>0.931034482758621</v>
      </c>
      <c r="M883" s="72">
        <v>0.98046875</v>
      </c>
      <c r="N883" s="74">
        <v>0.9</v>
      </c>
      <c r="O883" s="72">
        <v>0.957911321179383</v>
      </c>
      <c r="P883" s="72">
        <v>0.978624280624829</v>
      </c>
      <c r="Q883" s="72">
        <v>0.975285171102662</v>
      </c>
      <c r="R883" s="72">
        <v>0.966757887958789</v>
      </c>
      <c r="S883" s="74">
        <v>0.9</v>
      </c>
      <c r="T883" s="72">
        <v>0.903218546027459</v>
      </c>
      <c r="U883" s="72">
        <v>0.938887366401754</v>
      </c>
      <c r="V883" s="72">
        <v>0.945579847908745</v>
      </c>
      <c r="W883" s="72">
        <v>0.933327967374973</v>
      </c>
      <c r="X883" s="74">
        <v>0.92</v>
      </c>
      <c r="Y883" s="74">
        <v>0.906137184115523</v>
      </c>
      <c r="Z883" s="74">
        <v>0.946358482337549</v>
      </c>
      <c r="AA883" s="74">
        <v>0.959395656279509</v>
      </c>
      <c r="AB883" s="74">
        <v>0.947054045013619</v>
      </c>
      <c r="AC883" s="74">
        <v>0.92</v>
      </c>
      <c r="AD883" s="72">
        <v>0.9375</v>
      </c>
      <c r="AE883" s="72">
        <v>0.967696629213483</v>
      </c>
      <c r="AF883" s="72">
        <v>0.991172761664565</v>
      </c>
      <c r="AG883" s="72">
        <v>0.979133733797028</v>
      </c>
      <c r="AH883" s="74">
        <v>0.92</v>
      </c>
      <c r="AI883" s="72">
        <v>0.940328624963967</v>
      </c>
      <c r="AJ883" s="72">
        <v>0.968024234264557</v>
      </c>
      <c r="AK883" s="72">
        <v>0.977869111602909</v>
      </c>
      <c r="AL883" s="72">
        <v>0.968248513796777</v>
      </c>
      <c r="AM883" s="71">
        <v>0.99</v>
      </c>
      <c r="AN883" s="76">
        <v>1</v>
      </c>
      <c r="AO883" s="76">
        <v>1</v>
      </c>
      <c r="AP883" s="76">
        <v>1</v>
      </c>
      <c r="AQ883" s="76">
        <v>1</v>
      </c>
      <c r="AR883" s="96">
        <v>0.0810595228934205</v>
      </c>
      <c r="AS883" s="80">
        <v>0</v>
      </c>
      <c r="AT883" s="80">
        <v>0</v>
      </c>
      <c r="AU883" s="80">
        <v>0</v>
      </c>
      <c r="AV883" s="80">
        <v>0.00320512820512821</v>
      </c>
      <c r="AW883" s="36"/>
      <c r="AX883" s="34"/>
    </row>
    <row r="884" ht="14.5" spans="1:50">
      <c r="A884" s="32"/>
      <c r="B884" s="36"/>
      <c r="C884" s="91" t="s">
        <v>693</v>
      </c>
      <c r="D884" s="69" t="s">
        <v>21</v>
      </c>
      <c r="E884" s="114" t="s">
        <v>934</v>
      </c>
      <c r="F884" s="114" t="s">
        <v>934</v>
      </c>
      <c r="G884" s="114" t="s">
        <v>934</v>
      </c>
      <c r="H884" s="114" t="s">
        <v>934</v>
      </c>
      <c r="I884" s="71">
        <v>0.9</v>
      </c>
      <c r="J884" s="72">
        <v>0</v>
      </c>
      <c r="K884" s="72">
        <v>0</v>
      </c>
      <c r="L884" s="73">
        <v>0</v>
      </c>
      <c r="M884" s="72">
        <v>0</v>
      </c>
      <c r="N884" s="74">
        <v>0.9</v>
      </c>
      <c r="O884" s="72">
        <v>0</v>
      </c>
      <c r="P884" s="72">
        <v>0</v>
      </c>
      <c r="Q884" s="72">
        <v>0</v>
      </c>
      <c r="R884" s="72">
        <v>0</v>
      </c>
      <c r="S884" s="74">
        <v>0.9</v>
      </c>
      <c r="T884" s="72">
        <v>0</v>
      </c>
      <c r="U884" s="72">
        <v>0</v>
      </c>
      <c r="V884" s="72">
        <v>0</v>
      </c>
      <c r="W884" s="72">
        <v>1</v>
      </c>
      <c r="X884" s="74">
        <v>0.92</v>
      </c>
      <c r="Y884" s="74">
        <v>0</v>
      </c>
      <c r="Z884" s="74">
        <v>0</v>
      </c>
      <c r="AA884" s="74">
        <v>0</v>
      </c>
      <c r="AB884" s="74">
        <v>1</v>
      </c>
      <c r="AC884" s="74">
        <v>0.92</v>
      </c>
      <c r="AD884" s="72">
        <v>0</v>
      </c>
      <c r="AE884" s="72">
        <v>0</v>
      </c>
      <c r="AF884" s="72">
        <v>0</v>
      </c>
      <c r="AG884" s="72">
        <v>1</v>
      </c>
      <c r="AH884" s="74">
        <v>0.92</v>
      </c>
      <c r="AI884" s="72">
        <v>0</v>
      </c>
      <c r="AJ884" s="72">
        <v>0</v>
      </c>
      <c r="AK884" s="72">
        <v>0</v>
      </c>
      <c r="AL884" s="72">
        <v>1</v>
      </c>
      <c r="AM884" s="71">
        <v>0.99</v>
      </c>
      <c r="AN884" s="76">
        <v>0</v>
      </c>
      <c r="AO884" s="76">
        <v>0</v>
      </c>
      <c r="AP884" s="76">
        <v>0</v>
      </c>
      <c r="AQ884" s="76">
        <v>0</v>
      </c>
      <c r="AR884" s="96">
        <v>0.0810595228934205</v>
      </c>
      <c r="AS884" s="80">
        <v>0</v>
      </c>
      <c r="AT884" s="80">
        <v>0</v>
      </c>
      <c r="AU884" s="80">
        <v>0</v>
      </c>
      <c r="AV884" s="80">
        <v>0</v>
      </c>
      <c r="AW884" s="36"/>
      <c r="AX884" s="34"/>
    </row>
    <row r="885" ht="14.5" spans="1:50">
      <c r="A885" s="32"/>
      <c r="B885" s="36"/>
      <c r="C885" s="91" t="s">
        <v>693</v>
      </c>
      <c r="D885" s="69" t="s">
        <v>21</v>
      </c>
      <c r="E885" s="114" t="s">
        <v>935</v>
      </c>
      <c r="F885" s="114" t="s">
        <v>935</v>
      </c>
      <c r="G885" s="114" t="s">
        <v>935</v>
      </c>
      <c r="H885" s="114" t="s">
        <v>935</v>
      </c>
      <c r="I885" s="71">
        <v>0.9</v>
      </c>
      <c r="J885" s="72">
        <v>1</v>
      </c>
      <c r="K885" s="72">
        <v>1</v>
      </c>
      <c r="L885" s="73">
        <v>1</v>
      </c>
      <c r="M885" s="72">
        <v>1</v>
      </c>
      <c r="N885" s="74">
        <v>0.9</v>
      </c>
      <c r="O885" s="72">
        <v>0.972740315638451</v>
      </c>
      <c r="P885" s="72">
        <v>0.97581317764804</v>
      </c>
      <c r="Q885" s="72">
        <v>0.984744469870328</v>
      </c>
      <c r="R885" s="72">
        <v>0.980486962528061</v>
      </c>
      <c r="S885" s="74">
        <v>0.9</v>
      </c>
      <c r="T885" s="72">
        <v>0.931133428981349</v>
      </c>
      <c r="U885" s="72">
        <v>0.932443703085905</v>
      </c>
      <c r="V885" s="72">
        <v>0.945080091533181</v>
      </c>
      <c r="W885" s="72">
        <v>0.939043343118632</v>
      </c>
      <c r="X885" s="74">
        <v>0.92</v>
      </c>
      <c r="Y885" s="74">
        <v>0.934810951760104</v>
      </c>
      <c r="Z885" s="74">
        <v>0.957937584803256</v>
      </c>
      <c r="AA885" s="74">
        <v>0.93613707165109</v>
      </c>
      <c r="AB885" s="74">
        <v>0.946848541862653</v>
      </c>
      <c r="AC885" s="74">
        <v>0.92</v>
      </c>
      <c r="AD885" s="72">
        <v>1</v>
      </c>
      <c r="AE885" s="72">
        <v>0.998971193415638</v>
      </c>
      <c r="AF885" s="72">
        <v>1</v>
      </c>
      <c r="AG885" s="72">
        <v>0.998218315714455</v>
      </c>
      <c r="AH885" s="74">
        <v>0.92</v>
      </c>
      <c r="AI885" s="72">
        <v>0.956038870893105</v>
      </c>
      <c r="AJ885" s="72">
        <v>0.969540526587506</v>
      </c>
      <c r="AK885" s="72">
        <v>0.966205837173579</v>
      </c>
      <c r="AL885" s="72">
        <v>0.968711724752255</v>
      </c>
      <c r="AM885" s="71">
        <v>0.99</v>
      </c>
      <c r="AN885" s="76">
        <v>1</v>
      </c>
      <c r="AO885" s="76">
        <v>1</v>
      </c>
      <c r="AP885" s="76">
        <v>1</v>
      </c>
      <c r="AQ885" s="76">
        <v>1</v>
      </c>
      <c r="AR885" s="96">
        <v>0.0810595228934205</v>
      </c>
      <c r="AS885" s="80">
        <v>0</v>
      </c>
      <c r="AT885" s="80">
        <v>0</v>
      </c>
      <c r="AU885" s="80">
        <v>0</v>
      </c>
      <c r="AV885" s="80">
        <v>0.0140845070422535</v>
      </c>
      <c r="AW885" s="36"/>
      <c r="AX885" s="34"/>
    </row>
    <row r="886" ht="14.5" spans="1:50">
      <c r="A886" s="32"/>
      <c r="B886" s="36"/>
      <c r="C886" s="91" t="s">
        <v>693</v>
      </c>
      <c r="D886" s="69" t="s">
        <v>21</v>
      </c>
      <c r="E886" s="114" t="s">
        <v>936</v>
      </c>
      <c r="F886" s="114" t="s">
        <v>936</v>
      </c>
      <c r="G886" s="114" t="s">
        <v>936</v>
      </c>
      <c r="H886" s="114" t="s">
        <v>936</v>
      </c>
      <c r="I886" s="71">
        <v>0.9</v>
      </c>
      <c r="J886" s="72">
        <v>1</v>
      </c>
      <c r="K886" s="72">
        <v>0.978260869565217</v>
      </c>
      <c r="L886" s="73">
        <v>0.978260869565217</v>
      </c>
      <c r="M886" s="72">
        <v>0.9725</v>
      </c>
      <c r="N886" s="74">
        <v>0.9</v>
      </c>
      <c r="O886" s="72">
        <v>0.914519551379206</v>
      </c>
      <c r="P886" s="72">
        <v>0.937979094076655</v>
      </c>
      <c r="Q886" s="72">
        <v>0.933006064106266</v>
      </c>
      <c r="R886" s="72">
        <v>0.925146602276647</v>
      </c>
      <c r="S886" s="74">
        <v>0.9</v>
      </c>
      <c r="T886" s="72">
        <v>0.903304031524705</v>
      </c>
      <c r="U886" s="72">
        <v>0.923693379790941</v>
      </c>
      <c r="V886" s="72">
        <v>0.913947444412359</v>
      </c>
      <c r="W886" s="72">
        <v>0.910175922731977</v>
      </c>
      <c r="X886" s="74">
        <v>0.92</v>
      </c>
      <c r="Y886" s="74">
        <v>0.889672544080605</v>
      </c>
      <c r="Z886" s="74">
        <v>0.933903133903134</v>
      </c>
      <c r="AA886" s="74">
        <v>0.936942296252231</v>
      </c>
      <c r="AB886" s="74">
        <v>0.928443991334268</v>
      </c>
      <c r="AC886" s="74">
        <v>0.92</v>
      </c>
      <c r="AD886" s="72">
        <v>1</v>
      </c>
      <c r="AE886" s="72">
        <v>0.998857142857143</v>
      </c>
      <c r="AF886" s="72">
        <v>0.994134897360704</v>
      </c>
      <c r="AG886" s="72">
        <v>0.994674141555711</v>
      </c>
      <c r="AH886" s="74">
        <v>0.92</v>
      </c>
      <c r="AI886" s="72">
        <v>0.928463285389856</v>
      </c>
      <c r="AJ886" s="72">
        <v>0.960008646779075</v>
      </c>
      <c r="AK886" s="72">
        <v>0.961119751166407</v>
      </c>
      <c r="AL886" s="72">
        <v>0.955536161833154</v>
      </c>
      <c r="AM886" s="71">
        <v>0.99</v>
      </c>
      <c r="AN886" s="76">
        <v>1</v>
      </c>
      <c r="AO886" s="76">
        <v>1</v>
      </c>
      <c r="AP886" s="76">
        <v>1</v>
      </c>
      <c r="AQ886" s="76">
        <v>1</v>
      </c>
      <c r="AR886" s="96">
        <v>0.0810595228934205</v>
      </c>
      <c r="AS886" s="80">
        <v>0.0384615384615385</v>
      </c>
      <c r="AT886" s="80">
        <v>0.08</v>
      </c>
      <c r="AU886" s="80">
        <v>0</v>
      </c>
      <c r="AV886" s="80">
        <v>0.0436893203883495</v>
      </c>
      <c r="AW886" s="36"/>
      <c r="AX886" s="34"/>
    </row>
    <row r="887" ht="14.5" spans="1:50">
      <c r="A887" s="32"/>
      <c r="B887" s="36"/>
      <c r="C887" s="91" t="s">
        <v>693</v>
      </c>
      <c r="D887" s="69" t="s">
        <v>21</v>
      </c>
      <c r="E887" s="114" t="s">
        <v>937</v>
      </c>
      <c r="F887" s="114" t="s">
        <v>937</v>
      </c>
      <c r="G887" s="114" t="s">
        <v>937</v>
      </c>
      <c r="H887" s="114" t="s">
        <v>937</v>
      </c>
      <c r="I887" s="71">
        <v>0.9</v>
      </c>
      <c r="J887" s="72">
        <v>0</v>
      </c>
      <c r="K887" s="72">
        <v>0</v>
      </c>
      <c r="L887" s="73">
        <v>0</v>
      </c>
      <c r="M887" s="72">
        <v>0</v>
      </c>
      <c r="N887" s="74">
        <v>0.9</v>
      </c>
      <c r="O887" s="72">
        <v>0</v>
      </c>
      <c r="P887" s="72">
        <v>0</v>
      </c>
      <c r="Q887" s="72">
        <v>0</v>
      </c>
      <c r="R887" s="72">
        <v>0</v>
      </c>
      <c r="S887" s="74">
        <v>0.9</v>
      </c>
      <c r="T887" s="72">
        <v>0</v>
      </c>
      <c r="U887" s="72">
        <v>0</v>
      </c>
      <c r="V887" s="72">
        <v>1</v>
      </c>
      <c r="W887" s="72">
        <v>1</v>
      </c>
      <c r="X887" s="74">
        <v>0.92</v>
      </c>
      <c r="Y887" s="74">
        <v>0</v>
      </c>
      <c r="Z887" s="74">
        <v>0</v>
      </c>
      <c r="AA887" s="74">
        <v>0</v>
      </c>
      <c r="AB887" s="74">
        <v>1</v>
      </c>
      <c r="AC887" s="74">
        <v>0.92</v>
      </c>
      <c r="AD887" s="72">
        <v>1</v>
      </c>
      <c r="AE887" s="72">
        <v>1</v>
      </c>
      <c r="AF887" s="72">
        <v>1</v>
      </c>
      <c r="AG887" s="72">
        <v>0.999698158768488</v>
      </c>
      <c r="AH887" s="74">
        <v>0.92</v>
      </c>
      <c r="AI887" s="72">
        <v>0</v>
      </c>
      <c r="AJ887" s="72">
        <v>0</v>
      </c>
      <c r="AK887" s="72">
        <v>1</v>
      </c>
      <c r="AL887" s="72">
        <v>1</v>
      </c>
      <c r="AM887" s="71">
        <v>0.99</v>
      </c>
      <c r="AN887" s="76">
        <v>0</v>
      </c>
      <c r="AO887" s="76">
        <v>1</v>
      </c>
      <c r="AP887" s="76">
        <v>0</v>
      </c>
      <c r="AQ887" s="76">
        <v>1</v>
      </c>
      <c r="AR887" s="96">
        <v>0.0810595228934205</v>
      </c>
      <c r="AS887" s="80">
        <v>0</v>
      </c>
      <c r="AT887" s="80">
        <v>0</v>
      </c>
      <c r="AU887" s="80">
        <v>0</v>
      </c>
      <c r="AV887" s="80">
        <v>0</v>
      </c>
      <c r="AW887" s="36"/>
      <c r="AX887" s="34"/>
    </row>
    <row r="888" ht="14.5" spans="1:50">
      <c r="A888" s="32"/>
      <c r="B888" s="36"/>
      <c r="C888" s="91" t="s">
        <v>693</v>
      </c>
      <c r="D888" s="69" t="s">
        <v>21</v>
      </c>
      <c r="E888" s="114" t="s">
        <v>938</v>
      </c>
      <c r="F888" s="114" t="s">
        <v>938</v>
      </c>
      <c r="G888" s="114" t="s">
        <v>938</v>
      </c>
      <c r="H888" s="114" t="s">
        <v>938</v>
      </c>
      <c r="I888" s="71">
        <v>0.9</v>
      </c>
      <c r="J888" s="72">
        <v>0</v>
      </c>
      <c r="K888" s="72">
        <v>0</v>
      </c>
      <c r="L888" s="73">
        <v>0</v>
      </c>
      <c r="M888" s="72">
        <v>0</v>
      </c>
      <c r="N888" s="74">
        <v>0.9</v>
      </c>
      <c r="O888" s="72">
        <v>0</v>
      </c>
      <c r="P888" s="72">
        <v>0</v>
      </c>
      <c r="Q888" s="72">
        <v>0</v>
      </c>
      <c r="R888" s="72">
        <v>1</v>
      </c>
      <c r="S888" s="74">
        <v>0.9</v>
      </c>
      <c r="T888" s="72">
        <v>0</v>
      </c>
      <c r="U888" s="72">
        <v>0</v>
      </c>
      <c r="V888" s="72">
        <v>0</v>
      </c>
      <c r="W888" s="72">
        <v>1</v>
      </c>
      <c r="X888" s="74">
        <v>0.92</v>
      </c>
      <c r="Y888" s="74">
        <v>0</v>
      </c>
      <c r="Z888" s="74">
        <v>0</v>
      </c>
      <c r="AA888" s="74">
        <v>0</v>
      </c>
      <c r="AB888" s="74">
        <v>0</v>
      </c>
      <c r="AC888" s="74">
        <v>0.92</v>
      </c>
      <c r="AD888" s="72">
        <v>0</v>
      </c>
      <c r="AE888" s="72">
        <v>1</v>
      </c>
      <c r="AF888" s="72">
        <v>0.998316498316498</v>
      </c>
      <c r="AG888" s="72">
        <v>0.998586429725363</v>
      </c>
      <c r="AH888" s="74">
        <v>0.92</v>
      </c>
      <c r="AI888" s="72">
        <v>0</v>
      </c>
      <c r="AJ888" s="72">
        <v>0</v>
      </c>
      <c r="AK888" s="72">
        <v>1</v>
      </c>
      <c r="AL888" s="72">
        <v>1</v>
      </c>
      <c r="AM888" s="71">
        <v>0.99</v>
      </c>
      <c r="AN888" s="76">
        <v>0</v>
      </c>
      <c r="AO888" s="76">
        <v>0</v>
      </c>
      <c r="AP888" s="76">
        <v>0</v>
      </c>
      <c r="AQ888" s="76">
        <v>1</v>
      </c>
      <c r="AR888" s="96">
        <v>0.0810595228934205</v>
      </c>
      <c r="AS888" s="80">
        <v>0</v>
      </c>
      <c r="AT888" s="80">
        <v>0</v>
      </c>
      <c r="AU888" s="80">
        <v>0</v>
      </c>
      <c r="AV888" s="80">
        <v>0</v>
      </c>
      <c r="AW888" s="36"/>
      <c r="AX888" s="34"/>
    </row>
    <row r="889" ht="14.5" spans="1:50">
      <c r="A889" s="32"/>
      <c r="B889" s="36"/>
      <c r="C889" s="91" t="s">
        <v>693</v>
      </c>
      <c r="D889" s="69" t="s">
        <v>21</v>
      </c>
      <c r="E889" s="114" t="s">
        <v>939</v>
      </c>
      <c r="F889" s="114" t="s">
        <v>939</v>
      </c>
      <c r="G889" s="114" t="s">
        <v>939</v>
      </c>
      <c r="H889" s="114" t="s">
        <v>939</v>
      </c>
      <c r="I889" s="71">
        <v>0.9</v>
      </c>
      <c r="J889" s="72">
        <v>0</v>
      </c>
      <c r="K889" s="72">
        <v>0</v>
      </c>
      <c r="L889" s="73">
        <v>0</v>
      </c>
      <c r="M889" s="72">
        <v>0</v>
      </c>
      <c r="N889" s="74">
        <v>0.9</v>
      </c>
      <c r="O889" s="72">
        <v>0</v>
      </c>
      <c r="P889" s="72">
        <v>0</v>
      </c>
      <c r="Q889" s="72">
        <v>0</v>
      </c>
      <c r="R889" s="72">
        <v>0</v>
      </c>
      <c r="S889" s="74">
        <v>0.9</v>
      </c>
      <c r="T889" s="72">
        <v>0.896551724137931</v>
      </c>
      <c r="U889" s="72">
        <v>0.976744186046512</v>
      </c>
      <c r="V889" s="72">
        <v>1</v>
      </c>
      <c r="W889" s="72">
        <v>0.963898916967509</v>
      </c>
      <c r="X889" s="74">
        <v>0.92</v>
      </c>
      <c r="Y889" s="74">
        <v>1</v>
      </c>
      <c r="Z889" s="74">
        <v>1</v>
      </c>
      <c r="AA889" s="74">
        <v>0</v>
      </c>
      <c r="AB889" s="74">
        <v>0.833333333333333</v>
      </c>
      <c r="AC889" s="74">
        <v>0.92</v>
      </c>
      <c r="AD889" s="72">
        <v>0.999286902781079</v>
      </c>
      <c r="AE889" s="72">
        <v>0.958488106875204</v>
      </c>
      <c r="AF889" s="72">
        <v>0.995914519170333</v>
      </c>
      <c r="AG889" s="72">
        <v>0.99342665388303</v>
      </c>
      <c r="AH889" s="74">
        <v>0.92</v>
      </c>
      <c r="AI889" s="72">
        <v>0.9375</v>
      </c>
      <c r="AJ889" s="72">
        <v>0.980769230769231</v>
      </c>
      <c r="AK889" s="72">
        <v>1</v>
      </c>
      <c r="AL889" s="72">
        <v>0.98019801980198</v>
      </c>
      <c r="AM889" s="71">
        <v>0.99</v>
      </c>
      <c r="AN889" s="76">
        <v>1</v>
      </c>
      <c r="AO889" s="76">
        <v>1</v>
      </c>
      <c r="AP889" s="76">
        <v>1</v>
      </c>
      <c r="AQ889" s="76">
        <v>1</v>
      </c>
      <c r="AR889" s="96">
        <v>0.0810595228934205</v>
      </c>
      <c r="AS889" s="80">
        <v>0</v>
      </c>
      <c r="AT889" s="80">
        <v>0</v>
      </c>
      <c r="AU889" s="80">
        <v>0</v>
      </c>
      <c r="AV889" s="80">
        <v>0</v>
      </c>
      <c r="AW889" s="36"/>
      <c r="AX889" s="34"/>
    </row>
    <row r="890" ht="14.5" spans="1:50">
      <c r="A890" s="32"/>
      <c r="B890" s="36"/>
      <c r="C890" s="91" t="s">
        <v>693</v>
      </c>
      <c r="D890" s="69" t="s">
        <v>21</v>
      </c>
      <c r="E890" s="114" t="s">
        <v>940</v>
      </c>
      <c r="F890" s="114" t="s">
        <v>940</v>
      </c>
      <c r="G890" s="114" t="s">
        <v>940</v>
      </c>
      <c r="H890" s="114" t="s">
        <v>940</v>
      </c>
      <c r="I890" s="71">
        <v>0.9</v>
      </c>
      <c r="J890" s="72">
        <v>0</v>
      </c>
      <c r="K890" s="72">
        <v>0</v>
      </c>
      <c r="L890" s="73">
        <v>0</v>
      </c>
      <c r="M890" s="72">
        <v>0</v>
      </c>
      <c r="N890" s="74">
        <v>0.9</v>
      </c>
      <c r="O890" s="72">
        <v>0</v>
      </c>
      <c r="P890" s="72">
        <v>0</v>
      </c>
      <c r="Q890" s="72">
        <v>0</v>
      </c>
      <c r="R890" s="72">
        <v>0</v>
      </c>
      <c r="S890" s="74">
        <v>0.9</v>
      </c>
      <c r="T890" s="72">
        <v>0</v>
      </c>
      <c r="U890" s="72">
        <v>0</v>
      </c>
      <c r="V890" s="72">
        <v>0</v>
      </c>
      <c r="W890" s="72">
        <v>0</v>
      </c>
      <c r="X890" s="74">
        <v>0.92</v>
      </c>
      <c r="Y890" s="74">
        <v>0</v>
      </c>
      <c r="Z890" s="74">
        <v>0</v>
      </c>
      <c r="AA890" s="74">
        <v>0</v>
      </c>
      <c r="AB890" s="74">
        <v>0</v>
      </c>
      <c r="AC890" s="74">
        <v>0.92</v>
      </c>
      <c r="AD890" s="72">
        <v>0</v>
      </c>
      <c r="AE890" s="72">
        <v>0</v>
      </c>
      <c r="AF890" s="72">
        <v>0</v>
      </c>
      <c r="AG890" s="72">
        <v>0</v>
      </c>
      <c r="AH890" s="74">
        <v>0.92</v>
      </c>
      <c r="AI890" s="72">
        <v>0</v>
      </c>
      <c r="AJ890" s="72">
        <v>0</v>
      </c>
      <c r="AK890" s="72">
        <v>0</v>
      </c>
      <c r="AL890" s="72">
        <v>0</v>
      </c>
      <c r="AM890" s="71">
        <v>0.99</v>
      </c>
      <c r="AN890" s="76">
        <v>0</v>
      </c>
      <c r="AO890" s="76">
        <v>0</v>
      </c>
      <c r="AP890" s="76">
        <v>0</v>
      </c>
      <c r="AQ890" s="76">
        <v>0</v>
      </c>
      <c r="AR890" s="96">
        <v>0.0810595228934205</v>
      </c>
      <c r="AS890" s="80">
        <v>0</v>
      </c>
      <c r="AT890" s="80">
        <v>0</v>
      </c>
      <c r="AU890" s="80">
        <v>0</v>
      </c>
      <c r="AV890" s="80">
        <v>0</v>
      </c>
      <c r="AW890" s="36"/>
      <c r="AX890" s="34"/>
    </row>
    <row r="891" ht="14.5" spans="1:50">
      <c r="A891" s="32"/>
      <c r="B891" s="36"/>
      <c r="C891" s="91" t="s">
        <v>693</v>
      </c>
      <c r="D891" s="69" t="s">
        <v>21</v>
      </c>
      <c r="E891" s="114" t="s">
        <v>941</v>
      </c>
      <c r="F891" s="114" t="s">
        <v>941</v>
      </c>
      <c r="G891" s="114" t="s">
        <v>941</v>
      </c>
      <c r="H891" s="114" t="s">
        <v>941</v>
      </c>
      <c r="I891" s="71">
        <v>0.9</v>
      </c>
      <c r="J891" s="72">
        <v>0</v>
      </c>
      <c r="K891" s="72">
        <v>0</v>
      </c>
      <c r="L891" s="73">
        <v>0</v>
      </c>
      <c r="M891" s="72">
        <v>0</v>
      </c>
      <c r="N891" s="74">
        <v>0.9</v>
      </c>
      <c r="O891" s="72">
        <v>0</v>
      </c>
      <c r="P891" s="72">
        <v>0</v>
      </c>
      <c r="Q891" s="72">
        <v>0</v>
      </c>
      <c r="R891" s="72">
        <v>0</v>
      </c>
      <c r="S891" s="74">
        <v>0.9</v>
      </c>
      <c r="T891" s="72">
        <v>1</v>
      </c>
      <c r="U891" s="72">
        <v>1</v>
      </c>
      <c r="V891" s="72">
        <v>1</v>
      </c>
      <c r="W891" s="72">
        <v>1</v>
      </c>
      <c r="X891" s="74">
        <v>0.92</v>
      </c>
      <c r="Y891" s="74">
        <v>1</v>
      </c>
      <c r="Z891" s="74">
        <v>1</v>
      </c>
      <c r="AA891" s="74">
        <v>0</v>
      </c>
      <c r="AB891" s="74">
        <v>1</v>
      </c>
      <c r="AC891" s="74">
        <v>0.92</v>
      </c>
      <c r="AD891" s="72">
        <v>0</v>
      </c>
      <c r="AE891" s="72">
        <v>1</v>
      </c>
      <c r="AF891" s="72">
        <v>0.996466431095406</v>
      </c>
      <c r="AG891" s="72">
        <v>0.99860529986053</v>
      </c>
      <c r="AH891" s="74">
        <v>0.92</v>
      </c>
      <c r="AI891" s="72">
        <v>1</v>
      </c>
      <c r="AJ891" s="72">
        <v>1</v>
      </c>
      <c r="AK891" s="72">
        <v>1</v>
      </c>
      <c r="AL891" s="72">
        <v>1</v>
      </c>
      <c r="AM891" s="71">
        <v>0.99</v>
      </c>
      <c r="AN891" s="76">
        <v>0</v>
      </c>
      <c r="AO891" s="76">
        <v>0</v>
      </c>
      <c r="AP891" s="76">
        <v>1</v>
      </c>
      <c r="AQ891" s="76">
        <v>1</v>
      </c>
      <c r="AR891" s="96">
        <v>0.0810595228934205</v>
      </c>
      <c r="AS891" s="80">
        <v>0</v>
      </c>
      <c r="AT891" s="80">
        <v>0</v>
      </c>
      <c r="AU891" s="80">
        <v>0</v>
      </c>
      <c r="AV891" s="80">
        <v>0</v>
      </c>
      <c r="AW891" s="36"/>
      <c r="AX891" s="34"/>
    </row>
    <row r="892" ht="14.5" spans="1:50">
      <c r="A892" s="32"/>
      <c r="B892" s="36"/>
      <c r="C892" s="91" t="s">
        <v>693</v>
      </c>
      <c r="D892" s="69" t="s">
        <v>21</v>
      </c>
      <c r="E892" s="114" t="s">
        <v>942</v>
      </c>
      <c r="F892" s="114" t="s">
        <v>942</v>
      </c>
      <c r="G892" s="114" t="s">
        <v>942</v>
      </c>
      <c r="H892" s="114" t="s">
        <v>942</v>
      </c>
      <c r="I892" s="71">
        <v>0.9</v>
      </c>
      <c r="J892" s="72">
        <v>0</v>
      </c>
      <c r="K892" s="72">
        <v>0</v>
      </c>
      <c r="L892" s="73">
        <v>0</v>
      </c>
      <c r="M892" s="72">
        <v>0</v>
      </c>
      <c r="N892" s="74">
        <v>0.9</v>
      </c>
      <c r="O892" s="72">
        <v>0</v>
      </c>
      <c r="P892" s="72">
        <v>0</v>
      </c>
      <c r="Q892" s="72">
        <v>0</v>
      </c>
      <c r="R892" s="72">
        <v>0</v>
      </c>
      <c r="S892" s="74">
        <v>0.9</v>
      </c>
      <c r="T892" s="72">
        <v>0</v>
      </c>
      <c r="U892" s="72">
        <v>0</v>
      </c>
      <c r="V892" s="72">
        <v>0</v>
      </c>
      <c r="W892" s="72">
        <v>1</v>
      </c>
      <c r="X892" s="74">
        <v>0.92</v>
      </c>
      <c r="Y892" s="74">
        <v>0</v>
      </c>
      <c r="Z892" s="74">
        <v>0</v>
      </c>
      <c r="AA892" s="74">
        <v>0</v>
      </c>
      <c r="AB892" s="74">
        <v>0</v>
      </c>
      <c r="AC892" s="74">
        <v>0.92</v>
      </c>
      <c r="AD892" s="72">
        <v>1</v>
      </c>
      <c r="AE892" s="72">
        <v>1</v>
      </c>
      <c r="AF892" s="72">
        <v>1</v>
      </c>
      <c r="AG892" s="72">
        <v>0.999054373522459</v>
      </c>
      <c r="AH892" s="74">
        <v>0.92</v>
      </c>
      <c r="AI892" s="72">
        <v>0</v>
      </c>
      <c r="AJ892" s="72">
        <v>0</v>
      </c>
      <c r="AK892" s="72">
        <v>0</v>
      </c>
      <c r="AL892" s="72">
        <v>1</v>
      </c>
      <c r="AM892" s="71">
        <v>0.99</v>
      </c>
      <c r="AN892" s="76">
        <v>0</v>
      </c>
      <c r="AO892" s="76">
        <v>1</v>
      </c>
      <c r="AP892" s="76">
        <v>1</v>
      </c>
      <c r="AQ892" s="76">
        <v>1</v>
      </c>
      <c r="AR892" s="96">
        <v>0.0810595228934205</v>
      </c>
      <c r="AS892" s="80">
        <v>0</v>
      </c>
      <c r="AT892" s="80">
        <v>0</v>
      </c>
      <c r="AU892" s="80">
        <v>0</v>
      </c>
      <c r="AV892" s="80">
        <v>0</v>
      </c>
      <c r="AW892" s="36"/>
      <c r="AX892" s="34"/>
    </row>
    <row r="893" ht="14.5" spans="1:50">
      <c r="A893" s="32"/>
      <c r="B893" s="36"/>
      <c r="C893" s="91" t="s">
        <v>693</v>
      </c>
      <c r="D893" s="69" t="s">
        <v>21</v>
      </c>
      <c r="E893" s="114" t="s">
        <v>943</v>
      </c>
      <c r="F893" s="114" t="s">
        <v>943</v>
      </c>
      <c r="G893" s="114" t="s">
        <v>943</v>
      </c>
      <c r="H893" s="114" t="s">
        <v>943</v>
      </c>
      <c r="I893" s="71">
        <v>0.9</v>
      </c>
      <c r="J893" s="72">
        <v>0</v>
      </c>
      <c r="K893" s="72">
        <v>0</v>
      </c>
      <c r="L893" s="73">
        <v>0</v>
      </c>
      <c r="M893" s="72">
        <v>0</v>
      </c>
      <c r="N893" s="74">
        <v>0.9</v>
      </c>
      <c r="O893" s="72">
        <v>0</v>
      </c>
      <c r="P893" s="72">
        <v>0</v>
      </c>
      <c r="Q893" s="72">
        <v>0</v>
      </c>
      <c r="R893" s="72">
        <v>0</v>
      </c>
      <c r="S893" s="74">
        <v>0.9</v>
      </c>
      <c r="T893" s="72">
        <v>0</v>
      </c>
      <c r="U893" s="72">
        <v>0</v>
      </c>
      <c r="V893" s="72">
        <v>0</v>
      </c>
      <c r="W893" s="72">
        <v>0</v>
      </c>
      <c r="X893" s="74">
        <v>0.92</v>
      </c>
      <c r="Y893" s="74">
        <v>0</v>
      </c>
      <c r="Z893" s="74">
        <v>0</v>
      </c>
      <c r="AA893" s="74">
        <v>0</v>
      </c>
      <c r="AB893" s="74">
        <v>0</v>
      </c>
      <c r="AC893" s="74">
        <v>0.92</v>
      </c>
      <c r="AD893" s="72">
        <v>0</v>
      </c>
      <c r="AE893" s="72">
        <v>1</v>
      </c>
      <c r="AF893" s="72">
        <v>1</v>
      </c>
      <c r="AG893" s="72">
        <v>0.998385012919897</v>
      </c>
      <c r="AH893" s="74">
        <v>0.92</v>
      </c>
      <c r="AI893" s="72">
        <v>0</v>
      </c>
      <c r="AJ893" s="72">
        <v>0</v>
      </c>
      <c r="AK893" s="72">
        <v>0</v>
      </c>
      <c r="AL893" s="72">
        <v>0</v>
      </c>
      <c r="AM893" s="71">
        <v>0.99</v>
      </c>
      <c r="AN893" s="76">
        <v>1</v>
      </c>
      <c r="AO893" s="76">
        <v>1</v>
      </c>
      <c r="AP893" s="76">
        <v>1</v>
      </c>
      <c r="AQ893" s="76">
        <v>1</v>
      </c>
      <c r="AR893" s="96">
        <v>0.0810595228934205</v>
      </c>
      <c r="AS893" s="80">
        <v>0</v>
      </c>
      <c r="AT893" s="80">
        <v>0</v>
      </c>
      <c r="AU893" s="80">
        <v>0</v>
      </c>
      <c r="AV893" s="80">
        <v>0</v>
      </c>
      <c r="AW893" s="36"/>
      <c r="AX893" s="34"/>
    </row>
    <row r="894" ht="14.5" spans="1:50">
      <c r="A894" s="32"/>
      <c r="B894" s="36"/>
      <c r="C894" s="91" t="s">
        <v>693</v>
      </c>
      <c r="D894" s="69" t="s">
        <v>21</v>
      </c>
      <c r="E894" s="114" t="s">
        <v>944</v>
      </c>
      <c r="F894" s="114" t="s">
        <v>944</v>
      </c>
      <c r="G894" s="114" t="s">
        <v>944</v>
      </c>
      <c r="H894" s="114" t="s">
        <v>944</v>
      </c>
      <c r="I894" s="71">
        <v>0.9</v>
      </c>
      <c r="J894" s="72">
        <v>0</v>
      </c>
      <c r="K894" s="72">
        <v>0</v>
      </c>
      <c r="L894" s="73">
        <v>0</v>
      </c>
      <c r="M894" s="72">
        <v>0</v>
      </c>
      <c r="N894" s="74">
        <v>0.9</v>
      </c>
      <c r="O894" s="72">
        <v>0</v>
      </c>
      <c r="P894" s="72">
        <v>0</v>
      </c>
      <c r="Q894" s="72">
        <v>0</v>
      </c>
      <c r="R894" s="72">
        <v>0</v>
      </c>
      <c r="S894" s="74">
        <v>0.9</v>
      </c>
      <c r="T894" s="72">
        <v>1</v>
      </c>
      <c r="U894" s="72">
        <v>1</v>
      </c>
      <c r="V894" s="72">
        <v>1</v>
      </c>
      <c r="W894" s="72">
        <v>1</v>
      </c>
      <c r="X894" s="74">
        <v>0.92</v>
      </c>
      <c r="Y894" s="74">
        <v>1</v>
      </c>
      <c r="Z894" s="74">
        <v>1</v>
      </c>
      <c r="AA894" s="74">
        <v>1</v>
      </c>
      <c r="AB894" s="74">
        <v>1</v>
      </c>
      <c r="AC894" s="74">
        <v>0.92</v>
      </c>
      <c r="AD894" s="72">
        <v>0</v>
      </c>
      <c r="AE894" s="72">
        <v>1</v>
      </c>
      <c r="AF894" s="72">
        <v>1</v>
      </c>
      <c r="AG894" s="72">
        <v>1</v>
      </c>
      <c r="AH894" s="74">
        <v>0.92</v>
      </c>
      <c r="AI894" s="72">
        <v>1</v>
      </c>
      <c r="AJ894" s="72">
        <v>1</v>
      </c>
      <c r="AK894" s="72">
        <v>1</v>
      </c>
      <c r="AL894" s="72">
        <v>1</v>
      </c>
      <c r="AM894" s="71">
        <v>0.99</v>
      </c>
      <c r="AN894" s="76">
        <v>0</v>
      </c>
      <c r="AO894" s="76">
        <v>1</v>
      </c>
      <c r="AP894" s="76">
        <v>1</v>
      </c>
      <c r="AQ894" s="76">
        <v>1</v>
      </c>
      <c r="AR894" s="96">
        <v>0.0810595228934205</v>
      </c>
      <c r="AS894" s="80">
        <v>0</v>
      </c>
      <c r="AT894" s="80">
        <v>0</v>
      </c>
      <c r="AU894" s="80">
        <v>0</v>
      </c>
      <c r="AV894" s="80">
        <v>0</v>
      </c>
      <c r="AW894" s="36"/>
      <c r="AX894" s="34"/>
    </row>
    <row r="895" ht="14.5" spans="1:50">
      <c r="A895" s="32"/>
      <c r="B895" s="36"/>
      <c r="C895" s="91" t="s">
        <v>693</v>
      </c>
      <c r="D895" s="69" t="s">
        <v>21</v>
      </c>
      <c r="E895" s="114" t="s">
        <v>945</v>
      </c>
      <c r="F895" s="114" t="s">
        <v>945</v>
      </c>
      <c r="G895" s="114" t="s">
        <v>945</v>
      </c>
      <c r="H895" s="114" t="s">
        <v>945</v>
      </c>
      <c r="I895" s="71">
        <v>0.9</v>
      </c>
      <c r="J895" s="72">
        <v>0</v>
      </c>
      <c r="K895" s="72">
        <v>0</v>
      </c>
      <c r="L895" s="73">
        <v>0</v>
      </c>
      <c r="M895" s="72">
        <v>0</v>
      </c>
      <c r="N895" s="74">
        <v>0.9</v>
      </c>
      <c r="O895" s="72">
        <v>0</v>
      </c>
      <c r="P895" s="72">
        <v>0</v>
      </c>
      <c r="Q895" s="72">
        <v>0</v>
      </c>
      <c r="R895" s="72">
        <v>0</v>
      </c>
      <c r="S895" s="74">
        <v>0.9</v>
      </c>
      <c r="T895" s="72">
        <v>0</v>
      </c>
      <c r="U895" s="72">
        <v>0</v>
      </c>
      <c r="V895" s="72">
        <v>0</v>
      </c>
      <c r="W895" s="72">
        <v>0</v>
      </c>
      <c r="X895" s="74">
        <v>0.92</v>
      </c>
      <c r="Y895" s="74">
        <v>0</v>
      </c>
      <c r="Z895" s="74">
        <v>0</v>
      </c>
      <c r="AA895" s="74">
        <v>0</v>
      </c>
      <c r="AB895" s="74">
        <v>0</v>
      </c>
      <c r="AC895" s="74">
        <v>0.92</v>
      </c>
      <c r="AD895" s="72">
        <v>0</v>
      </c>
      <c r="AE895" s="72">
        <v>0</v>
      </c>
      <c r="AF895" s="72">
        <v>0</v>
      </c>
      <c r="AG895" s="72">
        <v>0</v>
      </c>
      <c r="AH895" s="74">
        <v>0.92</v>
      </c>
      <c r="AI895" s="72">
        <v>0</v>
      </c>
      <c r="AJ895" s="72">
        <v>0</v>
      </c>
      <c r="AK895" s="72">
        <v>0</v>
      </c>
      <c r="AL895" s="72">
        <v>0</v>
      </c>
      <c r="AM895" s="71">
        <v>0.99</v>
      </c>
      <c r="AN895" s="76">
        <v>0</v>
      </c>
      <c r="AO895" s="76">
        <v>0</v>
      </c>
      <c r="AP895" s="76">
        <v>0</v>
      </c>
      <c r="AQ895" s="76">
        <v>0</v>
      </c>
      <c r="AR895" s="96">
        <v>0.0810595228934205</v>
      </c>
      <c r="AS895" s="80">
        <v>0</v>
      </c>
      <c r="AT895" s="80">
        <v>0</v>
      </c>
      <c r="AU895" s="80">
        <v>0</v>
      </c>
      <c r="AV895" s="80">
        <v>0</v>
      </c>
      <c r="AW895" s="36"/>
      <c r="AX895" s="34"/>
    </row>
    <row r="896" ht="14.5" spans="1:50">
      <c r="A896" s="32"/>
      <c r="B896" s="36"/>
      <c r="C896" s="91" t="s">
        <v>693</v>
      </c>
      <c r="D896" s="69" t="s">
        <v>21</v>
      </c>
      <c r="E896" s="114" t="s">
        <v>946</v>
      </c>
      <c r="F896" s="114" t="s">
        <v>946</v>
      </c>
      <c r="G896" s="114" t="s">
        <v>946</v>
      </c>
      <c r="H896" s="114" t="s">
        <v>946</v>
      </c>
      <c r="I896" s="71">
        <v>0.9</v>
      </c>
      <c r="J896" s="72">
        <v>0</v>
      </c>
      <c r="K896" s="72">
        <v>0</v>
      </c>
      <c r="L896" s="73">
        <v>0</v>
      </c>
      <c r="M896" s="72">
        <v>0</v>
      </c>
      <c r="N896" s="74">
        <v>0.9</v>
      </c>
      <c r="O896" s="72">
        <v>0</v>
      </c>
      <c r="P896" s="72">
        <v>0</v>
      </c>
      <c r="Q896" s="72">
        <v>0</v>
      </c>
      <c r="R896" s="72">
        <v>0</v>
      </c>
      <c r="S896" s="74">
        <v>0.9</v>
      </c>
      <c r="T896" s="72">
        <v>0</v>
      </c>
      <c r="U896" s="72">
        <v>0</v>
      </c>
      <c r="V896" s="72">
        <v>0</v>
      </c>
      <c r="W896" s="72">
        <v>0</v>
      </c>
      <c r="X896" s="74">
        <v>0.92</v>
      </c>
      <c r="Y896" s="74">
        <v>0</v>
      </c>
      <c r="Z896" s="74">
        <v>0</v>
      </c>
      <c r="AA896" s="74">
        <v>0</v>
      </c>
      <c r="AB896" s="74">
        <v>0</v>
      </c>
      <c r="AC896" s="74">
        <v>0.92</v>
      </c>
      <c r="AD896" s="72">
        <v>0</v>
      </c>
      <c r="AE896" s="72">
        <v>0</v>
      </c>
      <c r="AF896" s="72">
        <v>0</v>
      </c>
      <c r="AG896" s="72">
        <v>0</v>
      </c>
      <c r="AH896" s="74">
        <v>0.92</v>
      </c>
      <c r="AI896" s="72">
        <v>0</v>
      </c>
      <c r="AJ896" s="72">
        <v>0</v>
      </c>
      <c r="AK896" s="72">
        <v>0</v>
      </c>
      <c r="AL896" s="72">
        <v>0</v>
      </c>
      <c r="AM896" s="71">
        <v>0.99</v>
      </c>
      <c r="AN896" s="76">
        <v>0</v>
      </c>
      <c r="AO896" s="76">
        <v>0</v>
      </c>
      <c r="AP896" s="76">
        <v>0</v>
      </c>
      <c r="AQ896" s="76">
        <v>0</v>
      </c>
      <c r="AR896" s="96">
        <v>0.0810595228934205</v>
      </c>
      <c r="AS896" s="80">
        <v>0</v>
      </c>
      <c r="AT896" s="80">
        <v>0</v>
      </c>
      <c r="AU896" s="80">
        <v>0</v>
      </c>
      <c r="AV896" s="80">
        <v>0</v>
      </c>
      <c r="AW896" s="36"/>
      <c r="AX896" s="34"/>
    </row>
    <row r="897" ht="14.5" spans="1:50">
      <c r="A897" s="32"/>
      <c r="B897" s="36"/>
      <c r="C897" s="91" t="s">
        <v>693</v>
      </c>
      <c r="D897" s="69" t="s">
        <v>21</v>
      </c>
      <c r="E897" s="114" t="s">
        <v>947</v>
      </c>
      <c r="F897" s="114" t="s">
        <v>947</v>
      </c>
      <c r="G897" s="114" t="s">
        <v>947</v>
      </c>
      <c r="H897" s="114" t="s">
        <v>947</v>
      </c>
      <c r="I897" s="71">
        <v>0.9</v>
      </c>
      <c r="J897" s="72">
        <v>0</v>
      </c>
      <c r="K897" s="72">
        <v>0</v>
      </c>
      <c r="L897" s="73">
        <v>0</v>
      </c>
      <c r="M897" s="72">
        <v>0</v>
      </c>
      <c r="N897" s="74">
        <v>0.9</v>
      </c>
      <c r="O897" s="72">
        <v>0</v>
      </c>
      <c r="P897" s="72">
        <v>0</v>
      </c>
      <c r="Q897" s="72">
        <v>0</v>
      </c>
      <c r="R897" s="72">
        <v>0</v>
      </c>
      <c r="S897" s="74">
        <v>0.9</v>
      </c>
      <c r="T897" s="72">
        <v>0</v>
      </c>
      <c r="U897" s="72">
        <v>0</v>
      </c>
      <c r="V897" s="72">
        <v>0</v>
      </c>
      <c r="W897" s="72">
        <v>0</v>
      </c>
      <c r="X897" s="74">
        <v>0.92</v>
      </c>
      <c r="Y897" s="74">
        <v>0</v>
      </c>
      <c r="Z897" s="74">
        <v>0</v>
      </c>
      <c r="AA897" s="74">
        <v>0</v>
      </c>
      <c r="AB897" s="74">
        <v>0</v>
      </c>
      <c r="AC897" s="74">
        <v>0.92</v>
      </c>
      <c r="AD897" s="72">
        <v>0</v>
      </c>
      <c r="AE897" s="72">
        <v>0</v>
      </c>
      <c r="AF897" s="72">
        <v>0</v>
      </c>
      <c r="AG897" s="72">
        <v>0</v>
      </c>
      <c r="AH897" s="74">
        <v>0.92</v>
      </c>
      <c r="AI897" s="72">
        <v>0</v>
      </c>
      <c r="AJ897" s="72">
        <v>0</v>
      </c>
      <c r="AK897" s="72">
        <v>0</v>
      </c>
      <c r="AL897" s="72">
        <v>0</v>
      </c>
      <c r="AM897" s="71">
        <v>0.99</v>
      </c>
      <c r="AN897" s="76">
        <v>0</v>
      </c>
      <c r="AO897" s="76">
        <v>0</v>
      </c>
      <c r="AP897" s="76">
        <v>0</v>
      </c>
      <c r="AQ897" s="76">
        <v>0</v>
      </c>
      <c r="AR897" s="96">
        <v>0.0810595228934205</v>
      </c>
      <c r="AS897" s="80">
        <v>0</v>
      </c>
      <c r="AT897" s="80">
        <v>0</v>
      </c>
      <c r="AU897" s="80">
        <v>0</v>
      </c>
      <c r="AV897" s="80">
        <v>0</v>
      </c>
      <c r="AW897" s="36"/>
      <c r="AX897" s="34"/>
    </row>
    <row r="898" ht="14.5" spans="1:50">
      <c r="A898" s="32"/>
      <c r="B898" s="36"/>
      <c r="C898" s="91" t="s">
        <v>693</v>
      </c>
      <c r="D898" s="69" t="s">
        <v>21</v>
      </c>
      <c r="E898" s="114" t="s">
        <v>948</v>
      </c>
      <c r="F898" s="114" t="s">
        <v>948</v>
      </c>
      <c r="G898" s="114" t="s">
        <v>948</v>
      </c>
      <c r="H898" s="114" t="s">
        <v>948</v>
      </c>
      <c r="I898" s="71">
        <v>0.9</v>
      </c>
      <c r="J898" s="72">
        <v>0</v>
      </c>
      <c r="K898" s="72">
        <v>0</v>
      </c>
      <c r="L898" s="73">
        <v>0</v>
      </c>
      <c r="M898" s="72">
        <v>0</v>
      </c>
      <c r="N898" s="74">
        <v>0.9</v>
      </c>
      <c r="O898" s="72">
        <v>0</v>
      </c>
      <c r="P898" s="72">
        <v>0</v>
      </c>
      <c r="Q898" s="72">
        <v>0</v>
      </c>
      <c r="R898" s="72">
        <v>0</v>
      </c>
      <c r="S898" s="74">
        <v>0.9</v>
      </c>
      <c r="T898" s="72">
        <v>0</v>
      </c>
      <c r="U898" s="72">
        <v>0</v>
      </c>
      <c r="V898" s="72">
        <v>0</v>
      </c>
      <c r="W898" s="72">
        <v>0</v>
      </c>
      <c r="X898" s="74">
        <v>0.92</v>
      </c>
      <c r="Y898" s="74">
        <v>0</v>
      </c>
      <c r="Z898" s="74">
        <v>0</v>
      </c>
      <c r="AA898" s="74">
        <v>0</v>
      </c>
      <c r="AB898" s="74">
        <v>0</v>
      </c>
      <c r="AC898" s="74">
        <v>0.92</v>
      </c>
      <c r="AD898" s="72">
        <v>1</v>
      </c>
      <c r="AE898" s="72">
        <v>1</v>
      </c>
      <c r="AF898" s="72">
        <v>1</v>
      </c>
      <c r="AG898" s="72">
        <v>1</v>
      </c>
      <c r="AH898" s="74">
        <v>0.92</v>
      </c>
      <c r="AI898" s="72">
        <v>0</v>
      </c>
      <c r="AJ898" s="72">
        <v>0</v>
      </c>
      <c r="AK898" s="72">
        <v>0</v>
      </c>
      <c r="AL898" s="72">
        <v>0</v>
      </c>
      <c r="AM898" s="71">
        <v>0.99</v>
      </c>
      <c r="AN898" s="76">
        <v>1</v>
      </c>
      <c r="AO898" s="76">
        <v>1</v>
      </c>
      <c r="AP898" s="76">
        <v>1</v>
      </c>
      <c r="AQ898" s="76">
        <v>1</v>
      </c>
      <c r="AR898" s="96">
        <v>0.0810595228934205</v>
      </c>
      <c r="AS898" s="80">
        <v>0</v>
      </c>
      <c r="AT898" s="80">
        <v>0</v>
      </c>
      <c r="AU898" s="80">
        <v>0</v>
      </c>
      <c r="AV898" s="80">
        <v>0</v>
      </c>
      <c r="AW898" s="36"/>
      <c r="AX898" s="34"/>
    </row>
    <row r="899" ht="14.5" spans="1:50">
      <c r="A899" s="32"/>
      <c r="B899" s="36"/>
      <c r="C899" s="93"/>
      <c r="D899" s="94"/>
      <c r="E899" s="94"/>
      <c r="F899" s="94"/>
      <c r="G899" s="94"/>
      <c r="H899" s="94"/>
      <c r="I899" s="85"/>
      <c r="J899" s="86"/>
      <c r="K899" s="86"/>
      <c r="L899" s="73"/>
      <c r="M899" s="86"/>
      <c r="N899" s="89"/>
      <c r="O899" s="86"/>
      <c r="P899" s="86"/>
      <c r="Q899" s="72"/>
      <c r="R899" s="86"/>
      <c r="S899" s="89"/>
      <c r="T899" s="86"/>
      <c r="U899" s="86"/>
      <c r="V899" s="72"/>
      <c r="W899" s="86"/>
      <c r="X899" s="89"/>
      <c r="Y899" s="89"/>
      <c r="Z899" s="89"/>
      <c r="AA899" s="74"/>
      <c r="AB899" s="89"/>
      <c r="AC899" s="86"/>
      <c r="AD899" s="86"/>
      <c r="AE899" s="86"/>
      <c r="AF899" s="72"/>
      <c r="AG899" s="86"/>
      <c r="AH899" s="86"/>
      <c r="AI899" s="86"/>
      <c r="AJ899" s="86"/>
      <c r="AK899" s="72"/>
      <c r="AL899" s="86"/>
      <c r="AM899" s="85"/>
      <c r="AN899" s="85"/>
      <c r="AO899" s="85"/>
      <c r="AP899" s="76"/>
      <c r="AQ899" s="85"/>
      <c r="AR899" s="86"/>
      <c r="AS899" s="85"/>
      <c r="AT899" s="85"/>
      <c r="AU899" s="80"/>
      <c r="AV899" s="85"/>
      <c r="AW899" s="36"/>
      <c r="AX899" s="34"/>
    </row>
    <row r="900" ht="14.5" spans="1:50">
      <c r="A900" s="32"/>
      <c r="B900" s="36"/>
      <c r="C900" s="115" t="s">
        <v>949</v>
      </c>
      <c r="D900" s="69" t="s">
        <v>23</v>
      </c>
      <c r="E900" s="116" t="s">
        <v>950</v>
      </c>
      <c r="F900" s="117" t="s">
        <v>950</v>
      </c>
      <c r="G900" s="117" t="s">
        <v>950</v>
      </c>
      <c r="H900" s="117" t="s">
        <v>950</v>
      </c>
      <c r="I900" s="71">
        <v>0.9</v>
      </c>
      <c r="J900" s="72">
        <v>0.933333333333333</v>
      </c>
      <c r="K900" s="72">
        <v>0.875</v>
      </c>
      <c r="L900" s="73">
        <v>0.875</v>
      </c>
      <c r="M900" s="72">
        <v>0.889705882352941</v>
      </c>
      <c r="N900" s="74">
        <v>0.9</v>
      </c>
      <c r="O900" s="72">
        <v>0.88645920941968</v>
      </c>
      <c r="P900" s="72">
        <v>0.897002305918524</v>
      </c>
      <c r="Q900" s="72">
        <v>0.88756927949327</v>
      </c>
      <c r="R900" s="72">
        <v>0.882323929769185</v>
      </c>
      <c r="S900" s="74">
        <v>0.9</v>
      </c>
      <c r="T900" s="72">
        <v>0.897392767031119</v>
      </c>
      <c r="U900" s="72">
        <v>0.923904688700999</v>
      </c>
      <c r="V900" s="72">
        <v>0.908155186064925</v>
      </c>
      <c r="W900" s="72">
        <v>0.903235352140462</v>
      </c>
      <c r="X900" s="74">
        <v>0.92</v>
      </c>
      <c r="Y900" s="74">
        <v>0.893835616438356</v>
      </c>
      <c r="Z900" s="74">
        <v>0.940972222222222</v>
      </c>
      <c r="AA900" s="74">
        <v>0.962025316455696</v>
      </c>
      <c r="AB900" s="74">
        <v>0.935361216730038</v>
      </c>
      <c r="AC900" s="74">
        <v>0.92</v>
      </c>
      <c r="AD900" s="72">
        <v>0.975518433179724</v>
      </c>
      <c r="AE900" s="72">
        <v>0.968463886063072</v>
      </c>
      <c r="AF900" s="72">
        <v>0.993443147289301</v>
      </c>
      <c r="AG900" s="72">
        <v>0.985113172785893</v>
      </c>
      <c r="AH900" s="74">
        <v>0.92</v>
      </c>
      <c r="AI900" s="72">
        <v>0.939353099730458</v>
      </c>
      <c r="AJ900" s="72">
        <v>0.965408805031447</v>
      </c>
      <c r="AK900" s="72">
        <v>0.973400886637112</v>
      </c>
      <c r="AL900" s="72">
        <v>0.959499884942855</v>
      </c>
      <c r="AM900" s="71">
        <v>0.99</v>
      </c>
      <c r="AN900" s="76">
        <v>1</v>
      </c>
      <c r="AO900" s="76">
        <v>1</v>
      </c>
      <c r="AP900" s="76">
        <v>1</v>
      </c>
      <c r="AQ900" s="76">
        <v>1</v>
      </c>
      <c r="AR900" s="96">
        <v>0.0656418488929858</v>
      </c>
      <c r="AS900" s="80">
        <v>0</v>
      </c>
      <c r="AT900" s="80">
        <v>0</v>
      </c>
      <c r="AU900" s="80">
        <v>0.166666666666667</v>
      </c>
      <c r="AV900" s="80">
        <v>0.0699300699300699</v>
      </c>
      <c r="AW900" s="36"/>
      <c r="AX900" s="34"/>
    </row>
    <row r="901" ht="14.5" spans="1:50">
      <c r="A901" s="32"/>
      <c r="B901" s="36"/>
      <c r="C901" s="115" t="s">
        <v>949</v>
      </c>
      <c r="D901" s="69" t="s">
        <v>23</v>
      </c>
      <c r="E901" s="118" t="s">
        <v>951</v>
      </c>
      <c r="F901" s="119" t="s">
        <v>951</v>
      </c>
      <c r="G901" s="119" t="s">
        <v>951</v>
      </c>
      <c r="H901" s="119" t="s">
        <v>951</v>
      </c>
      <c r="I901" s="71">
        <v>0.9</v>
      </c>
      <c r="J901" s="72">
        <v>0.947368421052632</v>
      </c>
      <c r="K901" s="72">
        <v>0.931818181818182</v>
      </c>
      <c r="L901" s="73">
        <v>0.980392156862745</v>
      </c>
      <c r="M901" s="72">
        <v>0.843137254901961</v>
      </c>
      <c r="N901" s="74">
        <v>0.9</v>
      </c>
      <c r="O901" s="72">
        <v>0.835390946502058</v>
      </c>
      <c r="P901" s="72">
        <v>0.890962410023994</v>
      </c>
      <c r="Q901" s="72">
        <v>0.890620871862616</v>
      </c>
      <c r="R901" s="72">
        <v>0.869130304742282</v>
      </c>
      <c r="S901" s="74">
        <v>0.9</v>
      </c>
      <c r="T901" s="72">
        <v>0.814181703070592</v>
      </c>
      <c r="U901" s="72">
        <v>0.861903492402026</v>
      </c>
      <c r="V901" s="72">
        <v>0.889564068692206</v>
      </c>
      <c r="W901" s="72">
        <v>0.876906716293908</v>
      </c>
      <c r="X901" s="74">
        <v>0.92</v>
      </c>
      <c r="Y901" s="74">
        <v>0.81638418079096</v>
      </c>
      <c r="Z901" s="74">
        <v>0.882352941176471</v>
      </c>
      <c r="AA901" s="74">
        <v>0.910112359550562</v>
      </c>
      <c r="AB901" s="74">
        <v>0.902690444284094</v>
      </c>
      <c r="AC901" s="74">
        <v>0.92</v>
      </c>
      <c r="AD901" s="72">
        <v>0.989320676357164</v>
      </c>
      <c r="AE901" s="72">
        <v>0.976285638156142</v>
      </c>
      <c r="AF901" s="72">
        <v>0.972748815165877</v>
      </c>
      <c r="AG901" s="72">
        <v>0.978054195605146</v>
      </c>
      <c r="AH901" s="74">
        <v>0.92</v>
      </c>
      <c r="AI901" s="72">
        <v>0.870409855484482</v>
      </c>
      <c r="AJ901" s="72">
        <v>0.918987880076547</v>
      </c>
      <c r="AK901" s="72">
        <v>0.928189784141911</v>
      </c>
      <c r="AL901" s="72">
        <v>0.928923169689965</v>
      </c>
      <c r="AM901" s="71">
        <v>0.99</v>
      </c>
      <c r="AN901" s="76">
        <v>1</v>
      </c>
      <c r="AO901" s="76">
        <v>1</v>
      </c>
      <c r="AP901" s="76">
        <v>1</v>
      </c>
      <c r="AQ901" s="76">
        <v>1</v>
      </c>
      <c r="AR901" s="96">
        <v>0.0656418488929858</v>
      </c>
      <c r="AS901" s="80">
        <v>0.0555555555555556</v>
      </c>
      <c r="AT901" s="80">
        <v>0</v>
      </c>
      <c r="AU901" s="80">
        <v>0.0384615384615385</v>
      </c>
      <c r="AV901" s="80">
        <v>0.0186480186480186</v>
      </c>
      <c r="AW901" s="36"/>
      <c r="AX901" s="34"/>
    </row>
    <row r="902" ht="14.5" spans="1:50">
      <c r="A902" s="32"/>
      <c r="B902" s="36"/>
      <c r="C902" s="115" t="s">
        <v>949</v>
      </c>
      <c r="D902" s="69" t="s">
        <v>23</v>
      </c>
      <c r="E902" s="118" t="s">
        <v>952</v>
      </c>
      <c r="F902" s="119" t="s">
        <v>952</v>
      </c>
      <c r="G902" s="119" t="s">
        <v>952</v>
      </c>
      <c r="H902" s="119" t="s">
        <v>952</v>
      </c>
      <c r="I902" s="71">
        <v>0.9</v>
      </c>
      <c r="J902" s="72">
        <v>1</v>
      </c>
      <c r="K902" s="72">
        <v>1</v>
      </c>
      <c r="L902" s="73">
        <v>0.918918918918919</v>
      </c>
      <c r="M902" s="72">
        <v>0.96742671009772</v>
      </c>
      <c r="N902" s="74">
        <v>0.9</v>
      </c>
      <c r="O902" s="72">
        <v>0.94618660472319</v>
      </c>
      <c r="P902" s="72">
        <v>0.957345971563981</v>
      </c>
      <c r="Q902" s="72">
        <v>0.947421981004071</v>
      </c>
      <c r="R902" s="72">
        <v>0.911010689145737</v>
      </c>
      <c r="S902" s="74">
        <v>0.9</v>
      </c>
      <c r="T902" s="72">
        <v>0.869531552458382</v>
      </c>
      <c r="U902" s="72">
        <v>0.866621530128639</v>
      </c>
      <c r="V902" s="72">
        <v>0.91010854816825</v>
      </c>
      <c r="W902" s="72">
        <v>0.851047188667767</v>
      </c>
      <c r="X902" s="74">
        <v>0.92</v>
      </c>
      <c r="Y902" s="74">
        <v>0.695564516129032</v>
      </c>
      <c r="Z902" s="74">
        <v>0.912891986062718</v>
      </c>
      <c r="AA902" s="74">
        <v>0.945652173913043</v>
      </c>
      <c r="AB902" s="74">
        <v>0.911760012765278</v>
      </c>
      <c r="AC902" s="74">
        <v>0.92</v>
      </c>
      <c r="AD902" s="72">
        <v>0.952817824377457</v>
      </c>
      <c r="AE902" s="72">
        <v>0.965740740740741</v>
      </c>
      <c r="AF902" s="72">
        <v>0.869328493647913</v>
      </c>
      <c r="AG902" s="72">
        <v>0.915272909364046</v>
      </c>
      <c r="AH902" s="74">
        <v>0.92</v>
      </c>
      <c r="AI902" s="72">
        <v>0.89477102955505</v>
      </c>
      <c r="AJ902" s="72">
        <v>0.933408897704732</v>
      </c>
      <c r="AK902" s="72">
        <v>0.954924874791319</v>
      </c>
      <c r="AL902" s="72">
        <v>0.937068906644813</v>
      </c>
      <c r="AM902" s="71">
        <v>0.99</v>
      </c>
      <c r="AN902" s="76">
        <v>1</v>
      </c>
      <c r="AO902" s="76">
        <v>1</v>
      </c>
      <c r="AP902" s="76">
        <v>1</v>
      </c>
      <c r="AQ902" s="76">
        <v>1</v>
      </c>
      <c r="AR902" s="96">
        <v>0.0656418488929858</v>
      </c>
      <c r="AS902" s="80">
        <v>0</v>
      </c>
      <c r="AT902" s="80">
        <v>0.0625</v>
      </c>
      <c r="AU902" s="80">
        <v>0.0789473684210526</v>
      </c>
      <c r="AV902" s="80">
        <v>0.0351437699680511</v>
      </c>
      <c r="AW902" s="36"/>
      <c r="AX902" s="34"/>
    </row>
    <row r="903" ht="14.5" spans="1:50">
      <c r="A903" s="32"/>
      <c r="B903" s="36"/>
      <c r="C903" s="115" t="s">
        <v>949</v>
      </c>
      <c r="D903" s="69" t="s">
        <v>23</v>
      </c>
      <c r="E903" s="118" t="s">
        <v>953</v>
      </c>
      <c r="F903" s="119" t="s">
        <v>953</v>
      </c>
      <c r="G903" s="119" t="s">
        <v>953</v>
      </c>
      <c r="H903" s="119" t="s">
        <v>953</v>
      </c>
      <c r="I903" s="71">
        <v>0.9</v>
      </c>
      <c r="J903" s="72">
        <v>0.9375</v>
      </c>
      <c r="K903" s="72">
        <v>0.9375</v>
      </c>
      <c r="L903" s="73">
        <v>0.939393939393939</v>
      </c>
      <c r="M903" s="72">
        <v>0.9419795221843</v>
      </c>
      <c r="N903" s="74">
        <v>0.9</v>
      </c>
      <c r="O903" s="72">
        <v>0.947104423164615</v>
      </c>
      <c r="P903" s="72">
        <v>0.928150765606596</v>
      </c>
      <c r="Q903" s="72">
        <v>0.944324557617609</v>
      </c>
      <c r="R903" s="72">
        <v>0.942689878293021</v>
      </c>
      <c r="S903" s="74">
        <v>0.9</v>
      </c>
      <c r="T903" s="72">
        <v>0.902416780665755</v>
      </c>
      <c r="U903" s="72">
        <v>0.926580290537888</v>
      </c>
      <c r="V903" s="72">
        <v>0.926197669400086</v>
      </c>
      <c r="W903" s="72">
        <v>0.922251322343758</v>
      </c>
      <c r="X903" s="74">
        <v>0.92</v>
      </c>
      <c r="Y903" s="74">
        <v>0.898809523809524</v>
      </c>
      <c r="Z903" s="74">
        <v>0.933980582524272</v>
      </c>
      <c r="AA903" s="74">
        <v>0.935314685314685</v>
      </c>
      <c r="AB903" s="74">
        <v>0.935312285518188</v>
      </c>
      <c r="AC903" s="74">
        <v>0.92</v>
      </c>
      <c r="AD903" s="72">
        <v>0.953283384750992</v>
      </c>
      <c r="AE903" s="72">
        <v>0.977931631328429</v>
      </c>
      <c r="AF903" s="72">
        <v>0.99294532627866</v>
      </c>
      <c r="AG903" s="72">
        <v>0.980407136116479</v>
      </c>
      <c r="AH903" s="74">
        <v>0.92</v>
      </c>
      <c r="AI903" s="72">
        <v>0.939616055846422</v>
      </c>
      <c r="AJ903" s="72">
        <v>0.95757180156658</v>
      </c>
      <c r="AK903" s="72">
        <v>0.961578400830737</v>
      </c>
      <c r="AL903" s="72">
        <v>0.959415135348745</v>
      </c>
      <c r="AM903" s="71">
        <v>0.99</v>
      </c>
      <c r="AN903" s="76">
        <v>1</v>
      </c>
      <c r="AO903" s="76">
        <v>1</v>
      </c>
      <c r="AP903" s="76">
        <v>1</v>
      </c>
      <c r="AQ903" s="76">
        <v>1</v>
      </c>
      <c r="AR903" s="96">
        <v>0.0656418488929858</v>
      </c>
      <c r="AS903" s="80">
        <v>0.0952380952380952</v>
      </c>
      <c r="AT903" s="80">
        <v>0.0909090909090909</v>
      </c>
      <c r="AU903" s="80">
        <v>0.0384615384615385</v>
      </c>
      <c r="AV903" s="80">
        <v>0.0747663551401869</v>
      </c>
      <c r="AW903" s="36"/>
      <c r="AX903" s="34"/>
    </row>
    <row r="904" ht="14.5" spans="1:50">
      <c r="A904" s="32"/>
      <c r="B904" s="36"/>
      <c r="C904" s="115" t="s">
        <v>949</v>
      </c>
      <c r="D904" s="69" t="s">
        <v>23</v>
      </c>
      <c r="E904" s="118" t="s">
        <v>954</v>
      </c>
      <c r="F904" s="119" t="s">
        <v>954</v>
      </c>
      <c r="G904" s="119" t="s">
        <v>954</v>
      </c>
      <c r="H904" s="119" t="s">
        <v>954</v>
      </c>
      <c r="I904" s="71">
        <v>0.9</v>
      </c>
      <c r="J904" s="72">
        <v>0.9375</v>
      </c>
      <c r="K904" s="72">
        <v>0.967741935483871</v>
      </c>
      <c r="L904" s="73">
        <v>1</v>
      </c>
      <c r="M904" s="72">
        <v>0.958188153310105</v>
      </c>
      <c r="N904" s="74">
        <v>0.9</v>
      </c>
      <c r="O904" s="72">
        <v>0.975175837815474</v>
      </c>
      <c r="P904" s="72">
        <v>0.926854395604396</v>
      </c>
      <c r="Q904" s="72">
        <v>0.97571189279732</v>
      </c>
      <c r="R904" s="72">
        <v>0.958233661850541</v>
      </c>
      <c r="S904" s="74">
        <v>0.9</v>
      </c>
      <c r="T904" s="72">
        <v>0.920148944973107</v>
      </c>
      <c r="U904" s="72">
        <v>0.92032967032967</v>
      </c>
      <c r="V904" s="72">
        <v>0.962730318257956</v>
      </c>
      <c r="W904" s="72">
        <v>0.929911013300163</v>
      </c>
      <c r="X904" s="74">
        <v>0.92</v>
      </c>
      <c r="Y904" s="74">
        <v>0.858343337334934</v>
      </c>
      <c r="Z904" s="74">
        <v>0.841503267973856</v>
      </c>
      <c r="AA904" s="74">
        <v>0.947747747747748</v>
      </c>
      <c r="AB904" s="74">
        <v>0.913260530421217</v>
      </c>
      <c r="AC904" s="74">
        <v>0.92</v>
      </c>
      <c r="AD904" s="72">
        <v>0.940520446096654</v>
      </c>
      <c r="AE904" s="72">
        <v>0.856194690265487</v>
      </c>
      <c r="AF904" s="72">
        <v>0.946194225721785</v>
      </c>
      <c r="AG904" s="72">
        <v>0.922947204566092</v>
      </c>
      <c r="AH904" s="74">
        <v>0.92</v>
      </c>
      <c r="AI904" s="72">
        <v>0.934174100276838</v>
      </c>
      <c r="AJ904" s="72">
        <v>0.946651532349603</v>
      </c>
      <c r="AK904" s="72">
        <v>0.985049269452939</v>
      </c>
      <c r="AL904" s="72">
        <v>0.961852462017207</v>
      </c>
      <c r="AM904" s="71">
        <v>0.99</v>
      </c>
      <c r="AN904" s="76">
        <v>1</v>
      </c>
      <c r="AO904" s="76">
        <v>1</v>
      </c>
      <c r="AP904" s="76">
        <v>1</v>
      </c>
      <c r="AQ904" s="76">
        <v>1</v>
      </c>
      <c r="AR904" s="96">
        <v>0.0656418488929858</v>
      </c>
      <c r="AS904" s="80">
        <v>0.147058823529412</v>
      </c>
      <c r="AT904" s="80">
        <v>0</v>
      </c>
      <c r="AU904" s="80">
        <v>0.0571428571428571</v>
      </c>
      <c r="AV904" s="80">
        <v>0.0615942028985507</v>
      </c>
      <c r="AW904" s="36"/>
      <c r="AX904" s="34"/>
    </row>
    <row r="905" ht="14.5" spans="1:50">
      <c r="A905" s="32"/>
      <c r="B905" s="36"/>
      <c r="C905" s="115" t="s">
        <v>949</v>
      </c>
      <c r="D905" s="69" t="s">
        <v>23</v>
      </c>
      <c r="E905" s="118" t="s">
        <v>955</v>
      </c>
      <c r="F905" s="119" t="s">
        <v>955</v>
      </c>
      <c r="G905" s="119" t="s">
        <v>955</v>
      </c>
      <c r="H905" s="119" t="s">
        <v>955</v>
      </c>
      <c r="I905" s="71">
        <v>0.9</v>
      </c>
      <c r="J905" s="72">
        <v>0</v>
      </c>
      <c r="K905" s="72">
        <v>0</v>
      </c>
      <c r="L905" s="73">
        <v>0</v>
      </c>
      <c r="M905" s="72">
        <v>0</v>
      </c>
      <c r="N905" s="74">
        <v>0.9</v>
      </c>
      <c r="O905" s="72">
        <v>0</v>
      </c>
      <c r="P905" s="72">
        <v>0</v>
      </c>
      <c r="Q905" s="72">
        <v>0</v>
      </c>
      <c r="R905" s="72">
        <v>0</v>
      </c>
      <c r="S905" s="74">
        <v>0.9</v>
      </c>
      <c r="T905" s="72">
        <v>0</v>
      </c>
      <c r="U905" s="72">
        <v>0</v>
      </c>
      <c r="V905" s="72">
        <v>0</v>
      </c>
      <c r="W905" s="72">
        <v>1</v>
      </c>
      <c r="X905" s="74">
        <v>0.92</v>
      </c>
      <c r="Y905" s="74">
        <v>0</v>
      </c>
      <c r="Z905" s="74">
        <v>0</v>
      </c>
      <c r="AA905" s="74">
        <v>0</v>
      </c>
      <c r="AB905" s="74">
        <v>0</v>
      </c>
      <c r="AC905" s="74">
        <v>0.92</v>
      </c>
      <c r="AD905" s="72">
        <v>0.952586206896552</v>
      </c>
      <c r="AE905" s="72">
        <v>0.895973154362416</v>
      </c>
      <c r="AF905" s="72">
        <v>0.969957081545064</v>
      </c>
      <c r="AG905" s="72">
        <v>0.937665782493369</v>
      </c>
      <c r="AH905" s="74">
        <v>0.92</v>
      </c>
      <c r="AI905" s="72">
        <v>0</v>
      </c>
      <c r="AJ905" s="72">
        <v>0</v>
      </c>
      <c r="AK905" s="72">
        <v>0</v>
      </c>
      <c r="AL905" s="72">
        <v>1</v>
      </c>
      <c r="AM905" s="71">
        <v>0.99</v>
      </c>
      <c r="AN905" s="76">
        <v>1</v>
      </c>
      <c r="AO905" s="76">
        <v>1</v>
      </c>
      <c r="AP905" s="76">
        <v>1</v>
      </c>
      <c r="AQ905" s="76">
        <v>1</v>
      </c>
      <c r="AR905" s="96">
        <v>0.0656418488929858</v>
      </c>
      <c r="AS905" s="80">
        <v>0</v>
      </c>
      <c r="AT905" s="80">
        <v>0</v>
      </c>
      <c r="AU905" s="80">
        <v>0</v>
      </c>
      <c r="AV905" s="80">
        <v>0</v>
      </c>
      <c r="AW905" s="36"/>
      <c r="AX905" s="34"/>
    </row>
    <row r="906" ht="14.5" spans="1:50">
      <c r="A906" s="32"/>
      <c r="B906" s="36"/>
      <c r="C906" s="115" t="s">
        <v>949</v>
      </c>
      <c r="D906" s="69" t="s">
        <v>23</v>
      </c>
      <c r="E906" s="120" t="s">
        <v>956</v>
      </c>
      <c r="F906" s="121" t="s">
        <v>956</v>
      </c>
      <c r="G906" s="121" t="s">
        <v>956</v>
      </c>
      <c r="H906" s="121" t="s">
        <v>956</v>
      </c>
      <c r="I906" s="71">
        <v>0.9</v>
      </c>
      <c r="J906" s="72">
        <v>0.888888888888889</v>
      </c>
      <c r="K906" s="72">
        <v>0.888888888888889</v>
      </c>
      <c r="L906" s="73">
        <v>0.897435897435897</v>
      </c>
      <c r="M906" s="72">
        <v>0.888888888888889</v>
      </c>
      <c r="N906" s="74">
        <v>0.9</v>
      </c>
      <c r="O906" s="72">
        <v>0.823122840087967</v>
      </c>
      <c r="P906" s="72">
        <v>0.870189370800244</v>
      </c>
      <c r="Q906" s="72">
        <v>0.847755367599219</v>
      </c>
      <c r="R906" s="72">
        <v>0.848725253326602</v>
      </c>
      <c r="S906" s="74">
        <v>0.9</v>
      </c>
      <c r="T906" s="72">
        <v>0.845114671693371</v>
      </c>
      <c r="U906" s="72">
        <v>0.884239462431277</v>
      </c>
      <c r="V906" s="72">
        <v>0.914443721535459</v>
      </c>
      <c r="W906" s="72">
        <v>0.89646965489885</v>
      </c>
      <c r="X906" s="74">
        <v>0.92</v>
      </c>
      <c r="Y906" s="74">
        <v>0.898765432098765</v>
      </c>
      <c r="Z906" s="74">
        <v>0.918722786647315</v>
      </c>
      <c r="AA906" s="74">
        <v>0.928010471204188</v>
      </c>
      <c r="AB906" s="74">
        <v>0.931839115750691</v>
      </c>
      <c r="AC906" s="74">
        <v>0.92</v>
      </c>
      <c r="AD906" s="72">
        <v>0.95072217502124</v>
      </c>
      <c r="AE906" s="72">
        <v>0.963441818992421</v>
      </c>
      <c r="AF906" s="72">
        <v>0.940940940940941</v>
      </c>
      <c r="AG906" s="72">
        <v>0.956250251782621</v>
      </c>
      <c r="AH906" s="74">
        <v>0.92</v>
      </c>
      <c r="AI906" s="72">
        <v>0.870272977710994</v>
      </c>
      <c r="AJ906" s="72">
        <v>0.90489404641776</v>
      </c>
      <c r="AK906" s="72">
        <v>0.93225638353309</v>
      </c>
      <c r="AL906" s="72">
        <v>0.918973370707779</v>
      </c>
      <c r="AM906" s="71">
        <v>0.99</v>
      </c>
      <c r="AN906" s="76">
        <v>1</v>
      </c>
      <c r="AO906" s="76">
        <v>1</v>
      </c>
      <c r="AP906" s="76">
        <v>1</v>
      </c>
      <c r="AQ906" s="76">
        <v>1</v>
      </c>
      <c r="AR906" s="96">
        <v>0.0656418488929858</v>
      </c>
      <c r="AS906" s="80">
        <v>0.0204081632653061</v>
      </c>
      <c r="AT906" s="80">
        <v>0.024390243902439</v>
      </c>
      <c r="AU906" s="80">
        <v>0.04</v>
      </c>
      <c r="AV906" s="80">
        <v>0.0558375634517767</v>
      </c>
      <c r="AW906" s="36"/>
      <c r="AX906" s="34"/>
    </row>
    <row r="907" ht="14.5" spans="1:50">
      <c r="A907" s="32"/>
      <c r="B907" s="36"/>
      <c r="C907" s="115" t="s">
        <v>949</v>
      </c>
      <c r="D907" s="69" t="s">
        <v>23</v>
      </c>
      <c r="E907" s="120" t="s">
        <v>957</v>
      </c>
      <c r="F907" s="121" t="s">
        <v>957</v>
      </c>
      <c r="G907" s="121" t="s">
        <v>957</v>
      </c>
      <c r="H907" s="121" t="s">
        <v>957</v>
      </c>
      <c r="I907" s="71">
        <v>0.9</v>
      </c>
      <c r="J907" s="72">
        <v>0</v>
      </c>
      <c r="K907" s="72">
        <v>0</v>
      </c>
      <c r="L907" s="73">
        <v>0</v>
      </c>
      <c r="M907" s="72">
        <v>0</v>
      </c>
      <c r="N907" s="74">
        <v>0.9</v>
      </c>
      <c r="O907" s="72">
        <v>0</v>
      </c>
      <c r="P907" s="72">
        <v>0</v>
      </c>
      <c r="Q907" s="72">
        <v>0</v>
      </c>
      <c r="R907" s="72">
        <v>0</v>
      </c>
      <c r="S907" s="74">
        <v>0.9</v>
      </c>
      <c r="T907" s="72">
        <v>0</v>
      </c>
      <c r="U907" s="72">
        <v>0</v>
      </c>
      <c r="V907" s="72">
        <v>0</v>
      </c>
      <c r="W907" s="72">
        <v>0</v>
      </c>
      <c r="X907" s="74">
        <v>0.92</v>
      </c>
      <c r="Y907" s="74">
        <v>0</v>
      </c>
      <c r="Z907" s="74">
        <v>0</v>
      </c>
      <c r="AA907" s="74">
        <v>0</v>
      </c>
      <c r="AB907" s="74">
        <v>0</v>
      </c>
      <c r="AC907" s="74">
        <v>0.92</v>
      </c>
      <c r="AD907" s="72">
        <v>0.875776397515528</v>
      </c>
      <c r="AE907" s="72">
        <v>0.902748414376321</v>
      </c>
      <c r="AF907" s="72">
        <v>0.957040572792363</v>
      </c>
      <c r="AG907" s="72">
        <v>0.950157397691501</v>
      </c>
      <c r="AH907" s="74">
        <v>0.92</v>
      </c>
      <c r="AI907" s="72">
        <v>0</v>
      </c>
      <c r="AJ907" s="72">
        <v>0</v>
      </c>
      <c r="AK907" s="72">
        <v>0</v>
      </c>
      <c r="AL907" s="72">
        <v>0</v>
      </c>
      <c r="AM907" s="71">
        <v>0.99</v>
      </c>
      <c r="AN907" s="76">
        <v>1</v>
      </c>
      <c r="AO907" s="76">
        <v>1</v>
      </c>
      <c r="AP907" s="76">
        <v>1</v>
      </c>
      <c r="AQ907" s="76">
        <v>1</v>
      </c>
      <c r="AR907" s="96">
        <v>0.0656418488929858</v>
      </c>
      <c r="AS907" s="80">
        <v>0</v>
      </c>
      <c r="AT907" s="80">
        <v>0</v>
      </c>
      <c r="AU907" s="80">
        <v>0</v>
      </c>
      <c r="AV907" s="80">
        <v>0</v>
      </c>
      <c r="AW907" s="36"/>
      <c r="AX907" s="34"/>
    </row>
    <row r="908" ht="14.5" spans="1:50">
      <c r="A908" s="32"/>
      <c r="B908" s="36"/>
      <c r="C908" s="115" t="s">
        <v>949</v>
      </c>
      <c r="D908" s="69" t="s">
        <v>23</v>
      </c>
      <c r="E908" s="120" t="s">
        <v>958</v>
      </c>
      <c r="F908" s="121" t="s">
        <v>958</v>
      </c>
      <c r="G908" s="121" t="s">
        <v>958</v>
      </c>
      <c r="H908" s="121" t="s">
        <v>958</v>
      </c>
      <c r="I908" s="71">
        <v>0.9</v>
      </c>
      <c r="J908" s="72">
        <v>0.941176470588235</v>
      </c>
      <c r="K908" s="72">
        <v>0.75</v>
      </c>
      <c r="L908" s="73">
        <v>0.833333333333333</v>
      </c>
      <c r="M908" s="72">
        <v>0.839285714285714</v>
      </c>
      <c r="N908" s="74">
        <v>0.9</v>
      </c>
      <c r="O908" s="72">
        <v>0.875292740046838</v>
      </c>
      <c r="P908" s="72">
        <v>0.857685009487666</v>
      </c>
      <c r="Q908" s="72">
        <v>0.899944413563091</v>
      </c>
      <c r="R908" s="72">
        <v>0.832983832780897</v>
      </c>
      <c r="S908" s="74">
        <v>0.9</v>
      </c>
      <c r="T908" s="72">
        <v>0.889344262295082</v>
      </c>
      <c r="U908" s="72">
        <v>0.912713472485769</v>
      </c>
      <c r="V908" s="72">
        <v>0.910505836575875</v>
      </c>
      <c r="W908" s="72">
        <v>0.910167083812487</v>
      </c>
      <c r="X908" s="74">
        <v>0.92</v>
      </c>
      <c r="Y908" s="74">
        <v>0.834932821497121</v>
      </c>
      <c r="Z908" s="74">
        <v>0.92179700499168</v>
      </c>
      <c r="AA908" s="74">
        <v>0.889168765743073</v>
      </c>
      <c r="AB908" s="74">
        <v>0.900660689004247</v>
      </c>
      <c r="AC908" s="74">
        <v>0.92</v>
      </c>
      <c r="AD908" s="72">
        <v>0.94238683127572</v>
      </c>
      <c r="AE908" s="72">
        <v>0.878637770897833</v>
      </c>
      <c r="AF908" s="72">
        <v>0.894005847953216</v>
      </c>
      <c r="AG908" s="72">
        <v>0.889900718931873</v>
      </c>
      <c r="AH908" s="74">
        <v>0.92</v>
      </c>
      <c r="AI908" s="72">
        <v>0.901749663526245</v>
      </c>
      <c r="AJ908" s="72">
        <v>0.940879926672777</v>
      </c>
      <c r="AK908" s="72">
        <v>0.932149362477231</v>
      </c>
      <c r="AL908" s="72">
        <v>0.932709494269793</v>
      </c>
      <c r="AM908" s="71">
        <v>0.99</v>
      </c>
      <c r="AN908" s="76">
        <v>0</v>
      </c>
      <c r="AO908" s="76">
        <v>1</v>
      </c>
      <c r="AP908" s="76">
        <v>1</v>
      </c>
      <c r="AQ908" s="76">
        <v>1</v>
      </c>
      <c r="AR908" s="96">
        <v>0.0656418488929858</v>
      </c>
      <c r="AS908" s="80">
        <v>0.0196078431372549</v>
      </c>
      <c r="AT908" s="80">
        <v>0</v>
      </c>
      <c r="AU908" s="80">
        <v>0.05</v>
      </c>
      <c r="AV908" s="80">
        <v>0.027355623100304</v>
      </c>
      <c r="AW908" s="36"/>
      <c r="AX908" s="34"/>
    </row>
    <row r="909" ht="14.5" spans="1:50">
      <c r="A909" s="32"/>
      <c r="B909" s="36"/>
      <c r="C909" s="115" t="s">
        <v>949</v>
      </c>
      <c r="D909" s="69" t="s">
        <v>23</v>
      </c>
      <c r="E909" s="118" t="s">
        <v>959</v>
      </c>
      <c r="F909" s="119" t="s">
        <v>959</v>
      </c>
      <c r="G909" s="119" t="s">
        <v>959</v>
      </c>
      <c r="H909" s="119" t="s">
        <v>959</v>
      </c>
      <c r="I909" s="71">
        <v>0.9</v>
      </c>
      <c r="J909" s="72">
        <v>0</v>
      </c>
      <c r="K909" s="72">
        <v>0</v>
      </c>
      <c r="L909" s="73">
        <v>0</v>
      </c>
      <c r="M909" s="72">
        <v>0</v>
      </c>
      <c r="N909" s="74">
        <v>0.9</v>
      </c>
      <c r="O909" s="72">
        <v>0</v>
      </c>
      <c r="P909" s="72">
        <v>0</v>
      </c>
      <c r="Q909" s="72">
        <v>0</v>
      </c>
      <c r="R909" s="72">
        <v>0</v>
      </c>
      <c r="S909" s="74">
        <v>0.9</v>
      </c>
      <c r="T909" s="72">
        <v>0</v>
      </c>
      <c r="U909" s="72">
        <v>0</v>
      </c>
      <c r="V909" s="72">
        <v>0</v>
      </c>
      <c r="W909" s="72">
        <v>0</v>
      </c>
      <c r="X909" s="74">
        <v>0.92</v>
      </c>
      <c r="Y909" s="74">
        <v>0</v>
      </c>
      <c r="Z909" s="74">
        <v>0</v>
      </c>
      <c r="AA909" s="74">
        <v>0</v>
      </c>
      <c r="AB909" s="74">
        <v>0</v>
      </c>
      <c r="AC909" s="74">
        <v>0.92</v>
      </c>
      <c r="AD909" s="72">
        <v>1</v>
      </c>
      <c r="AE909" s="72">
        <v>1</v>
      </c>
      <c r="AF909" s="72">
        <v>1</v>
      </c>
      <c r="AG909" s="72">
        <v>0.888980263157895</v>
      </c>
      <c r="AH909" s="74">
        <v>0.92</v>
      </c>
      <c r="AI909" s="72">
        <v>0</v>
      </c>
      <c r="AJ909" s="72">
        <v>0</v>
      </c>
      <c r="AK909" s="72">
        <v>0</v>
      </c>
      <c r="AL909" s="72">
        <v>0</v>
      </c>
      <c r="AM909" s="71">
        <v>0.99</v>
      </c>
      <c r="AN909" s="76">
        <v>1</v>
      </c>
      <c r="AO909" s="76">
        <v>0</v>
      </c>
      <c r="AP909" s="76">
        <v>1</v>
      </c>
      <c r="AQ909" s="76">
        <v>1</v>
      </c>
      <c r="AR909" s="96">
        <v>0.0656418488929858</v>
      </c>
      <c r="AS909" s="80">
        <v>0</v>
      </c>
      <c r="AT909" s="80">
        <v>0</v>
      </c>
      <c r="AU909" s="80">
        <v>0</v>
      </c>
      <c r="AV909" s="80">
        <v>0</v>
      </c>
      <c r="AW909" s="36"/>
      <c r="AX909" s="34"/>
    </row>
    <row r="910" ht="14.5" spans="1:50">
      <c r="A910" s="32"/>
      <c r="B910" s="36"/>
      <c r="C910" s="115" t="s">
        <v>949</v>
      </c>
      <c r="D910" s="69" t="s">
        <v>23</v>
      </c>
      <c r="E910" s="118" t="s">
        <v>960</v>
      </c>
      <c r="F910" s="119" t="s">
        <v>960</v>
      </c>
      <c r="G910" s="119" t="s">
        <v>960</v>
      </c>
      <c r="H910" s="119" t="s">
        <v>960</v>
      </c>
      <c r="I910" s="71">
        <v>0.9</v>
      </c>
      <c r="J910" s="72">
        <v>0.529411764705882</v>
      </c>
      <c r="K910" s="72">
        <v>0.722222222222222</v>
      </c>
      <c r="L910" s="73">
        <v>0.888888888888889</v>
      </c>
      <c r="M910" s="72">
        <v>0.74390243902439</v>
      </c>
      <c r="N910" s="74">
        <v>0.9</v>
      </c>
      <c r="O910" s="72">
        <v>0.549364248317128</v>
      </c>
      <c r="P910" s="72">
        <v>0.853473227206946</v>
      </c>
      <c r="Q910" s="72">
        <v>0.871804954777821</v>
      </c>
      <c r="R910" s="72">
        <v>0.771116138763198</v>
      </c>
      <c r="S910" s="74">
        <v>0.9</v>
      </c>
      <c r="T910" s="72">
        <v>0.642857142857143</v>
      </c>
      <c r="U910" s="72">
        <v>0.826700434153401</v>
      </c>
      <c r="V910" s="72">
        <v>0.858041683051514</v>
      </c>
      <c r="W910" s="72">
        <v>0.73403720462544</v>
      </c>
      <c r="X910" s="74">
        <v>0.92</v>
      </c>
      <c r="Y910" s="74">
        <v>0</v>
      </c>
      <c r="Z910" s="74">
        <v>0</v>
      </c>
      <c r="AA910" s="74">
        <v>0</v>
      </c>
      <c r="AB910" s="74">
        <v>0</v>
      </c>
      <c r="AC910" s="74">
        <v>0.92</v>
      </c>
      <c r="AD910" s="72">
        <v>0.998314796090327</v>
      </c>
      <c r="AE910" s="72">
        <v>0.914470349721237</v>
      </c>
      <c r="AF910" s="72">
        <v>0.90924464487035</v>
      </c>
      <c r="AG910" s="72">
        <v>0.937023510297038</v>
      </c>
      <c r="AH910" s="74">
        <v>0.92</v>
      </c>
      <c r="AI910" s="72">
        <v>0.842616822429907</v>
      </c>
      <c r="AJ910" s="72">
        <v>0.950434153400868</v>
      </c>
      <c r="AK910" s="72">
        <v>0.967361384191899</v>
      </c>
      <c r="AL910" s="72">
        <v>0.935327134120801</v>
      </c>
      <c r="AM910" s="71">
        <v>0.99</v>
      </c>
      <c r="AN910" s="76">
        <v>1</v>
      </c>
      <c r="AO910" s="76">
        <v>1</v>
      </c>
      <c r="AP910" s="76">
        <v>1</v>
      </c>
      <c r="AQ910" s="76">
        <v>1</v>
      </c>
      <c r="AR910" s="96">
        <v>0.0656418488929858</v>
      </c>
      <c r="AS910" s="80">
        <v>0.181818181818182</v>
      </c>
      <c r="AT910" s="80">
        <v>0</v>
      </c>
      <c r="AU910" s="80">
        <v>0.15</v>
      </c>
      <c r="AV910" s="80">
        <v>0.0545454545454545</v>
      </c>
      <c r="AW910" s="36"/>
      <c r="AX910" s="34"/>
    </row>
    <row r="911" ht="14.5" spans="1:50">
      <c r="A911" s="32"/>
      <c r="B911" s="36"/>
      <c r="C911" s="115" t="s">
        <v>949</v>
      </c>
      <c r="D911" s="69" t="s">
        <v>23</v>
      </c>
      <c r="E911" s="118" t="s">
        <v>961</v>
      </c>
      <c r="F911" s="119" t="s">
        <v>961</v>
      </c>
      <c r="G911" s="119" t="s">
        <v>961</v>
      </c>
      <c r="H911" s="119" t="s">
        <v>961</v>
      </c>
      <c r="I911" s="71">
        <v>0.9</v>
      </c>
      <c r="J911" s="72">
        <v>0.785714285714286</v>
      </c>
      <c r="K911" s="72">
        <v>0.862068965517241</v>
      </c>
      <c r="L911" s="73">
        <v>0.933333333333333</v>
      </c>
      <c r="M911" s="72">
        <v>0.865942028985507</v>
      </c>
      <c r="N911" s="74">
        <v>0.9</v>
      </c>
      <c r="O911" s="72">
        <v>0.898960945897528</v>
      </c>
      <c r="P911" s="72">
        <v>0.971208570472046</v>
      </c>
      <c r="Q911" s="72">
        <v>0.967674661105318</v>
      </c>
      <c r="R911" s="72">
        <v>0.967182947400705</v>
      </c>
      <c r="S911" s="74">
        <v>0.9</v>
      </c>
      <c r="T911" s="72">
        <v>0.892153350053744</v>
      </c>
      <c r="U911" s="72">
        <v>0.913625711416137</v>
      </c>
      <c r="V911" s="72">
        <v>0.907542579075426</v>
      </c>
      <c r="W911" s="72">
        <v>0.902622297193682</v>
      </c>
      <c r="X911" s="74">
        <v>0.92</v>
      </c>
      <c r="Y911" s="74">
        <v>0</v>
      </c>
      <c r="Z911" s="74">
        <v>0</v>
      </c>
      <c r="AA911" s="74">
        <v>0</v>
      </c>
      <c r="AB911" s="74">
        <v>1</v>
      </c>
      <c r="AC911" s="74">
        <v>0.92</v>
      </c>
      <c r="AD911" s="72">
        <v>1</v>
      </c>
      <c r="AE911" s="72">
        <v>0.999415546464056</v>
      </c>
      <c r="AF911" s="72">
        <v>0.990766389658356</v>
      </c>
      <c r="AG911" s="72">
        <v>0.998343622948351</v>
      </c>
      <c r="AH911" s="74">
        <v>0.92</v>
      </c>
      <c r="AI911" s="72">
        <v>0.94267287710498</v>
      </c>
      <c r="AJ911" s="72">
        <v>0.954804151322397</v>
      </c>
      <c r="AK911" s="72">
        <v>0.932244614315497</v>
      </c>
      <c r="AL911" s="72">
        <v>0.943609599018631</v>
      </c>
      <c r="AM911" s="71">
        <v>0.99</v>
      </c>
      <c r="AN911" s="76">
        <v>1</v>
      </c>
      <c r="AO911" s="76">
        <v>1</v>
      </c>
      <c r="AP911" s="76">
        <v>1</v>
      </c>
      <c r="AQ911" s="76">
        <v>1</v>
      </c>
      <c r="AR911" s="96">
        <v>0.0656418488929858</v>
      </c>
      <c r="AS911" s="80">
        <v>0</v>
      </c>
      <c r="AT911" s="80">
        <v>0.263157894736842</v>
      </c>
      <c r="AU911" s="80">
        <v>0.285714285714286</v>
      </c>
      <c r="AV911" s="80">
        <v>0.109375</v>
      </c>
      <c r="AW911" s="36"/>
      <c r="AX911" s="34"/>
    </row>
    <row r="912" ht="14.5" spans="1:50">
      <c r="A912" s="32"/>
      <c r="B912" s="36"/>
      <c r="C912" s="115" t="s">
        <v>949</v>
      </c>
      <c r="D912" s="69" t="s">
        <v>23</v>
      </c>
      <c r="E912" s="122" t="s">
        <v>962</v>
      </c>
      <c r="F912" s="123" t="s">
        <v>962</v>
      </c>
      <c r="G912" s="123" t="s">
        <v>962</v>
      </c>
      <c r="H912" s="123" t="s">
        <v>962</v>
      </c>
      <c r="I912" s="71">
        <v>0.9</v>
      </c>
      <c r="J912" s="72">
        <v>0.611111111111111</v>
      </c>
      <c r="K912" s="72">
        <v>1</v>
      </c>
      <c r="L912" s="73">
        <v>0.842105263157895</v>
      </c>
      <c r="M912" s="72">
        <v>0.888198757763975</v>
      </c>
      <c r="N912" s="74">
        <v>0.9</v>
      </c>
      <c r="O912" s="72">
        <v>0.881398884946782</v>
      </c>
      <c r="P912" s="72">
        <v>0.897486446525382</v>
      </c>
      <c r="Q912" s="72">
        <v>0.874806800618238</v>
      </c>
      <c r="R912" s="72">
        <v>0.8399389382032</v>
      </c>
      <c r="S912" s="74">
        <v>0.9</v>
      </c>
      <c r="T912" s="72">
        <v>0.897617840851495</v>
      </c>
      <c r="U912" s="72">
        <v>0.883686545096106</v>
      </c>
      <c r="V912" s="72">
        <v>0.910870685213807</v>
      </c>
      <c r="W912" s="72">
        <v>0.847345508000226</v>
      </c>
      <c r="X912" s="74">
        <v>0.92</v>
      </c>
      <c r="Y912" s="74">
        <v>0</v>
      </c>
      <c r="Z912" s="74">
        <v>0</v>
      </c>
      <c r="AA912" s="74">
        <v>0</v>
      </c>
      <c r="AB912" s="74">
        <v>0</v>
      </c>
      <c r="AC912" s="74">
        <v>0.92</v>
      </c>
      <c r="AD912" s="72">
        <v>0.99656121045392</v>
      </c>
      <c r="AE912" s="72">
        <v>0.997003424657534</v>
      </c>
      <c r="AF912" s="72">
        <v>0.999322033898305</v>
      </c>
      <c r="AG912" s="72">
        <v>0.998336962977628</v>
      </c>
      <c r="AH912" s="74">
        <v>0.92</v>
      </c>
      <c r="AI912" s="72">
        <v>0.935288169868554</v>
      </c>
      <c r="AJ912" s="72">
        <v>0.93943870014771</v>
      </c>
      <c r="AK912" s="72">
        <v>0.943444730077121</v>
      </c>
      <c r="AL912" s="72">
        <v>0.93688251566646</v>
      </c>
      <c r="AM912" s="71">
        <v>0.99</v>
      </c>
      <c r="AN912" s="76">
        <v>1</v>
      </c>
      <c r="AO912" s="76">
        <v>1</v>
      </c>
      <c r="AP912" s="76">
        <v>1</v>
      </c>
      <c r="AQ912" s="76">
        <v>1</v>
      </c>
      <c r="AR912" s="96">
        <v>0.0656418488929858</v>
      </c>
      <c r="AS912" s="80">
        <v>0.153846153846154</v>
      </c>
      <c r="AT912" s="80">
        <v>0.25</v>
      </c>
      <c r="AU912" s="80">
        <v>0.1</v>
      </c>
      <c r="AV912" s="80">
        <v>0.103896103896104</v>
      </c>
      <c r="AW912" s="36"/>
      <c r="AX912" s="34"/>
    </row>
    <row r="913" ht="14.5" spans="1:50">
      <c r="A913" s="32"/>
      <c r="B913" s="36"/>
      <c r="C913" s="115" t="s">
        <v>949</v>
      </c>
      <c r="D913" s="69" t="s">
        <v>23</v>
      </c>
      <c r="E913" s="118" t="s">
        <v>963</v>
      </c>
      <c r="F913" s="119" t="s">
        <v>963</v>
      </c>
      <c r="G913" s="119" t="s">
        <v>963</v>
      </c>
      <c r="H913" s="119" t="s">
        <v>963</v>
      </c>
      <c r="I913" s="71">
        <v>0.9</v>
      </c>
      <c r="J913" s="72">
        <v>0.972222222222222</v>
      </c>
      <c r="K913" s="72">
        <v>0.875</v>
      </c>
      <c r="L913" s="73">
        <v>0.894736842105263</v>
      </c>
      <c r="M913" s="72">
        <v>0.903133903133903</v>
      </c>
      <c r="N913" s="74">
        <v>0.9</v>
      </c>
      <c r="O913" s="72">
        <v>0.892145369284877</v>
      </c>
      <c r="P913" s="72">
        <v>0.936679714483076</v>
      </c>
      <c r="Q913" s="72">
        <v>0.92413613925695</v>
      </c>
      <c r="R913" s="72">
        <v>0.915035716359835</v>
      </c>
      <c r="S913" s="74">
        <v>0.9</v>
      </c>
      <c r="T913" s="72">
        <v>0.889800703399766</v>
      </c>
      <c r="U913" s="72">
        <v>0.943357126410315</v>
      </c>
      <c r="V913" s="72">
        <v>0.928812678617823</v>
      </c>
      <c r="W913" s="72">
        <v>0.913729020268308</v>
      </c>
      <c r="X913" s="74">
        <v>0.92</v>
      </c>
      <c r="Y913" s="74">
        <v>0</v>
      </c>
      <c r="Z913" s="74">
        <v>0</v>
      </c>
      <c r="AA913" s="74">
        <v>0</v>
      </c>
      <c r="AB913" s="74">
        <v>0</v>
      </c>
      <c r="AC913" s="74">
        <v>0.92</v>
      </c>
      <c r="AD913" s="72">
        <v>0.998082717063818</v>
      </c>
      <c r="AE913" s="72">
        <v>0.996385542168675</v>
      </c>
      <c r="AF913" s="72">
        <v>0.998626373626374</v>
      </c>
      <c r="AG913" s="72">
        <v>0.995473031412745</v>
      </c>
      <c r="AH913" s="74">
        <v>0.92</v>
      </c>
      <c r="AI913" s="72">
        <v>0.939301617061167</v>
      </c>
      <c r="AJ913" s="72">
        <v>0.965001151277919</v>
      </c>
      <c r="AK913" s="72">
        <v>0.963116883116883</v>
      </c>
      <c r="AL913" s="72">
        <v>0.956332384878927</v>
      </c>
      <c r="AM913" s="71">
        <v>0.99</v>
      </c>
      <c r="AN913" s="76">
        <v>1</v>
      </c>
      <c r="AO913" s="76">
        <v>1</v>
      </c>
      <c r="AP913" s="76">
        <v>1</v>
      </c>
      <c r="AQ913" s="76">
        <v>1</v>
      </c>
      <c r="AR913" s="96">
        <v>0.0656418488929858</v>
      </c>
      <c r="AS913" s="80">
        <v>0</v>
      </c>
      <c r="AT913" s="80">
        <v>0</v>
      </c>
      <c r="AU913" s="80">
        <v>0</v>
      </c>
      <c r="AV913" s="80">
        <v>0.0390625</v>
      </c>
      <c r="AW913" s="36"/>
      <c r="AX913" s="34"/>
    </row>
    <row r="914" ht="14.5" spans="1:50">
      <c r="A914" s="32"/>
      <c r="B914" s="36"/>
      <c r="C914" s="115" t="s">
        <v>949</v>
      </c>
      <c r="D914" s="69" t="s">
        <v>23</v>
      </c>
      <c r="E914" s="122" t="s">
        <v>964</v>
      </c>
      <c r="F914" s="123" t="s">
        <v>964</v>
      </c>
      <c r="G914" s="123" t="s">
        <v>964</v>
      </c>
      <c r="H914" s="123" t="s">
        <v>964</v>
      </c>
      <c r="I914" s="71">
        <v>0.9</v>
      </c>
      <c r="J914" s="72">
        <v>1</v>
      </c>
      <c r="K914" s="72">
        <v>1</v>
      </c>
      <c r="L914" s="73">
        <v>0.9</v>
      </c>
      <c r="M914" s="72">
        <v>0.925925925925926</v>
      </c>
      <c r="N914" s="74">
        <v>0.9</v>
      </c>
      <c r="O914" s="72">
        <v>0.943563728598605</v>
      </c>
      <c r="P914" s="72">
        <v>0.825609756097561</v>
      </c>
      <c r="Q914" s="72">
        <v>0.856959589480436</v>
      </c>
      <c r="R914" s="72">
        <v>0.922787456445993</v>
      </c>
      <c r="S914" s="74">
        <v>0.9</v>
      </c>
      <c r="T914" s="72">
        <v>0.907419150285352</v>
      </c>
      <c r="U914" s="72">
        <v>0.882926829268293</v>
      </c>
      <c r="V914" s="72">
        <v>0.802437459910199</v>
      </c>
      <c r="W914" s="72">
        <v>0.884459930313589</v>
      </c>
      <c r="X914" s="74">
        <v>0.92</v>
      </c>
      <c r="Y914" s="74">
        <v>0</v>
      </c>
      <c r="Z914" s="74">
        <v>0</v>
      </c>
      <c r="AA914" s="74">
        <v>0</v>
      </c>
      <c r="AB914" s="74">
        <v>0</v>
      </c>
      <c r="AC914" s="74">
        <v>0.92</v>
      </c>
      <c r="AD914" s="72">
        <v>0.994962216624685</v>
      </c>
      <c r="AE914" s="72">
        <v>1</v>
      </c>
      <c r="AF914" s="72">
        <v>0.974609375</v>
      </c>
      <c r="AG914" s="72">
        <v>0.995440126883426</v>
      </c>
      <c r="AH914" s="74">
        <v>0.92</v>
      </c>
      <c r="AI914" s="72">
        <v>0.930881420418516</v>
      </c>
      <c r="AJ914" s="72">
        <v>0.93719512195122</v>
      </c>
      <c r="AK914" s="72">
        <v>0.860808210391276</v>
      </c>
      <c r="AL914" s="72">
        <v>0.93707755557104</v>
      </c>
      <c r="AM914" s="71">
        <v>0.99</v>
      </c>
      <c r="AN914" s="76">
        <v>1</v>
      </c>
      <c r="AO914" s="76">
        <v>1</v>
      </c>
      <c r="AP914" s="76">
        <v>1</v>
      </c>
      <c r="AQ914" s="76">
        <v>1</v>
      </c>
      <c r="AR914" s="96">
        <v>0.0656418488929858</v>
      </c>
      <c r="AS914" s="80">
        <v>0.111111111111111</v>
      </c>
      <c r="AT914" s="80">
        <v>0</v>
      </c>
      <c r="AU914" s="80">
        <v>0</v>
      </c>
      <c r="AV914" s="80">
        <v>0.0289855072463768</v>
      </c>
      <c r="AW914" s="36"/>
      <c r="AX914" s="34"/>
    </row>
    <row r="915" ht="14.5" spans="1:50">
      <c r="A915" s="32"/>
      <c r="B915" s="36"/>
      <c r="C915" s="115" t="s">
        <v>949</v>
      </c>
      <c r="D915" s="69" t="s">
        <v>23</v>
      </c>
      <c r="E915" s="118" t="s">
        <v>965</v>
      </c>
      <c r="F915" s="119" t="s">
        <v>965</v>
      </c>
      <c r="G915" s="119" t="s">
        <v>965</v>
      </c>
      <c r="H915" s="119" t="s">
        <v>965</v>
      </c>
      <c r="I915" s="71">
        <v>0.9</v>
      </c>
      <c r="J915" s="72">
        <v>0.777777777777778</v>
      </c>
      <c r="K915" s="72">
        <v>0.777777777777778</v>
      </c>
      <c r="L915" s="73">
        <v>0.818181818181818</v>
      </c>
      <c r="M915" s="72">
        <v>0.807909604519774</v>
      </c>
      <c r="N915" s="74">
        <v>0.9</v>
      </c>
      <c r="O915" s="72">
        <v>0.893345085940943</v>
      </c>
      <c r="P915" s="72">
        <v>0.925392115303095</v>
      </c>
      <c r="Q915" s="72">
        <v>0.97144217039505</v>
      </c>
      <c r="R915" s="72">
        <v>0.925869522499509</v>
      </c>
      <c r="S915" s="74">
        <v>0.9</v>
      </c>
      <c r="T915" s="72">
        <v>0.854120758043191</v>
      </c>
      <c r="U915" s="72">
        <v>0.853751589656634</v>
      </c>
      <c r="V915" s="72">
        <v>0.906711089957163</v>
      </c>
      <c r="W915" s="72">
        <v>0.845647474945962</v>
      </c>
      <c r="X915" s="74">
        <v>0.92</v>
      </c>
      <c r="Y915" s="74">
        <v>0</v>
      </c>
      <c r="Z915" s="74">
        <v>0</v>
      </c>
      <c r="AA915" s="74">
        <v>0</v>
      </c>
      <c r="AB915" s="74">
        <v>0</v>
      </c>
      <c r="AC915" s="74">
        <v>0.92</v>
      </c>
      <c r="AD915" s="72">
        <v>0.998296422487223</v>
      </c>
      <c r="AE915" s="72">
        <v>0.99674569967457</v>
      </c>
      <c r="AF915" s="72">
        <v>0.994024754588135</v>
      </c>
      <c r="AG915" s="72">
        <v>0.992897291773122</v>
      </c>
      <c r="AH915" s="74">
        <v>0.92</v>
      </c>
      <c r="AI915" s="72">
        <v>0.916262670780079</v>
      </c>
      <c r="AJ915" s="72">
        <v>0.91437049597287</v>
      </c>
      <c r="AK915" s="72">
        <v>0.952879581151832</v>
      </c>
      <c r="AL915" s="72">
        <v>0.942430494154632</v>
      </c>
      <c r="AM915" s="71">
        <v>0.99</v>
      </c>
      <c r="AN915" s="76">
        <v>1</v>
      </c>
      <c r="AO915" s="76">
        <v>1</v>
      </c>
      <c r="AP915" s="76">
        <v>1</v>
      </c>
      <c r="AQ915" s="76">
        <v>1</v>
      </c>
      <c r="AR915" s="96">
        <v>0.0656418488929858</v>
      </c>
      <c r="AS915" s="80">
        <v>0</v>
      </c>
      <c r="AT915" s="80">
        <v>0</v>
      </c>
      <c r="AU915" s="80">
        <v>0</v>
      </c>
      <c r="AV915" s="80">
        <v>0.0287081339712919</v>
      </c>
      <c r="AW915" s="36"/>
      <c r="AX915" s="34"/>
    </row>
    <row r="916" ht="14.5" spans="1:50">
      <c r="A916" s="32"/>
      <c r="B916" s="36"/>
      <c r="C916" s="115" t="s">
        <v>949</v>
      </c>
      <c r="D916" s="69" t="s">
        <v>23</v>
      </c>
      <c r="E916" s="118" t="s">
        <v>966</v>
      </c>
      <c r="F916" s="119" t="s">
        <v>966</v>
      </c>
      <c r="G916" s="119" t="s">
        <v>966</v>
      </c>
      <c r="H916" s="119" t="s">
        <v>966</v>
      </c>
      <c r="I916" s="71">
        <v>0.9</v>
      </c>
      <c r="J916" s="72">
        <v>0.931034482758621</v>
      </c>
      <c r="K916" s="72">
        <v>0.870967741935484</v>
      </c>
      <c r="L916" s="73">
        <v>0.8125</v>
      </c>
      <c r="M916" s="72">
        <v>0.838129496402878</v>
      </c>
      <c r="N916" s="74">
        <v>0.9</v>
      </c>
      <c r="O916" s="72">
        <v>0.826736566186107</v>
      </c>
      <c r="P916" s="72">
        <v>0.913253012048193</v>
      </c>
      <c r="Q916" s="72">
        <v>0.93965300477747</v>
      </c>
      <c r="R916" s="72">
        <v>0.890770705632862</v>
      </c>
      <c r="S916" s="74">
        <v>0.9</v>
      </c>
      <c r="T916" s="72">
        <v>0.822280471821756</v>
      </c>
      <c r="U916" s="72">
        <v>0.904953145917001</v>
      </c>
      <c r="V916" s="72">
        <v>0.926829268292683</v>
      </c>
      <c r="W916" s="72">
        <v>0.895128257269849</v>
      </c>
      <c r="X916" s="74">
        <v>0.92</v>
      </c>
      <c r="Y916" s="74">
        <v>0</v>
      </c>
      <c r="Z916" s="74">
        <v>0</v>
      </c>
      <c r="AA916" s="74">
        <v>0</v>
      </c>
      <c r="AB916" s="74">
        <v>0.5</v>
      </c>
      <c r="AC916" s="74">
        <v>0.92</v>
      </c>
      <c r="AD916" s="72">
        <v>0.997796474358974</v>
      </c>
      <c r="AE916" s="72">
        <v>0.998388540734109</v>
      </c>
      <c r="AF916" s="72">
        <v>0.97148380860319</v>
      </c>
      <c r="AG916" s="72">
        <v>0.994331650005153</v>
      </c>
      <c r="AH916" s="74">
        <v>0.92</v>
      </c>
      <c r="AI916" s="72">
        <v>0.876342677495415</v>
      </c>
      <c r="AJ916" s="72">
        <v>0.952610441767068</v>
      </c>
      <c r="AK916" s="72">
        <v>0.963298139768728</v>
      </c>
      <c r="AL916" s="72">
        <v>0.943155081767218</v>
      </c>
      <c r="AM916" s="71">
        <v>0.99</v>
      </c>
      <c r="AN916" s="76">
        <v>1</v>
      </c>
      <c r="AO916" s="76">
        <v>1</v>
      </c>
      <c r="AP916" s="76">
        <v>1</v>
      </c>
      <c r="AQ916" s="76">
        <v>1</v>
      </c>
      <c r="AR916" s="96">
        <v>0.0656418488929858</v>
      </c>
      <c r="AS916" s="80">
        <v>0</v>
      </c>
      <c r="AT916" s="80">
        <v>0.19047619047619</v>
      </c>
      <c r="AU916" s="80">
        <v>0.0714285714285714</v>
      </c>
      <c r="AV916" s="80">
        <v>0.04</v>
      </c>
      <c r="AW916" s="36"/>
      <c r="AX916" s="34"/>
    </row>
    <row r="917" ht="14.5" spans="1:50">
      <c r="A917" s="32"/>
      <c r="B917" s="36"/>
      <c r="C917" s="115" t="s">
        <v>949</v>
      </c>
      <c r="D917" s="69" t="s">
        <v>23</v>
      </c>
      <c r="E917" s="118" t="s">
        <v>967</v>
      </c>
      <c r="F917" s="119" t="s">
        <v>967</v>
      </c>
      <c r="G917" s="119" t="s">
        <v>967</v>
      </c>
      <c r="H917" s="119" t="s">
        <v>967</v>
      </c>
      <c r="I917" s="71">
        <v>0.9</v>
      </c>
      <c r="J917" s="72">
        <v>0.972972972972973</v>
      </c>
      <c r="K917" s="72">
        <v>0.945945945945946</v>
      </c>
      <c r="L917" s="73">
        <v>0.945945945945946</v>
      </c>
      <c r="M917" s="72">
        <v>0.952380952380952</v>
      </c>
      <c r="N917" s="74">
        <v>0.9</v>
      </c>
      <c r="O917" s="72">
        <v>0.925320886814469</v>
      </c>
      <c r="P917" s="72">
        <v>0.927655376520881</v>
      </c>
      <c r="Q917" s="72">
        <v>0.906427221172023</v>
      </c>
      <c r="R917" s="72">
        <v>0.930926216640502</v>
      </c>
      <c r="S917" s="74">
        <v>0.9</v>
      </c>
      <c r="T917" s="72">
        <v>0.883605600933489</v>
      </c>
      <c r="U917" s="72">
        <v>0.894113778362381</v>
      </c>
      <c r="V917" s="72">
        <v>0.858223062381853</v>
      </c>
      <c r="W917" s="72">
        <v>0.885507349793064</v>
      </c>
      <c r="X917" s="74">
        <v>0.92</v>
      </c>
      <c r="Y917" s="74">
        <v>0.873581847649919</v>
      </c>
      <c r="Z917" s="74">
        <v>0.868092691622103</v>
      </c>
      <c r="AA917" s="74">
        <v>0.878581173260573</v>
      </c>
      <c r="AB917" s="74">
        <v>0.860309641097818</v>
      </c>
      <c r="AC917" s="74">
        <v>0.92</v>
      </c>
      <c r="AD917" s="72">
        <v>0.999494012481025</v>
      </c>
      <c r="AE917" s="72">
        <v>0.9053876478318</v>
      </c>
      <c r="AF917" s="72">
        <v>0.999086257309941</v>
      </c>
      <c r="AG917" s="72">
        <v>0.97195430992095</v>
      </c>
      <c r="AH917" s="74">
        <v>0.92</v>
      </c>
      <c r="AI917" s="72">
        <v>0.938689740420272</v>
      </c>
      <c r="AJ917" s="72">
        <v>0.943102969747433</v>
      </c>
      <c r="AK917" s="72">
        <v>0.94575230296827</v>
      </c>
      <c r="AL917" s="72">
        <v>0.938486178668881</v>
      </c>
      <c r="AM917" s="71">
        <v>0.99</v>
      </c>
      <c r="AN917" s="76">
        <v>1</v>
      </c>
      <c r="AO917" s="76">
        <v>1</v>
      </c>
      <c r="AP917" s="76">
        <v>1</v>
      </c>
      <c r="AQ917" s="76">
        <v>1</v>
      </c>
      <c r="AR917" s="96">
        <v>0.0656418488929858</v>
      </c>
      <c r="AS917" s="80">
        <v>0.0666666666666667</v>
      </c>
      <c r="AT917" s="80">
        <v>0.333333333333333</v>
      </c>
      <c r="AU917" s="80">
        <v>0</v>
      </c>
      <c r="AV917" s="80">
        <v>0.104166666666667</v>
      </c>
      <c r="AW917" s="36"/>
      <c r="AX917" s="34"/>
    </row>
    <row r="918" ht="14.5" spans="1:50">
      <c r="A918" s="32"/>
      <c r="B918" s="36"/>
      <c r="C918" s="115" t="s">
        <v>949</v>
      </c>
      <c r="D918" s="69" t="s">
        <v>23</v>
      </c>
      <c r="E918" s="118" t="s">
        <v>968</v>
      </c>
      <c r="F918" s="119" t="s">
        <v>968</v>
      </c>
      <c r="G918" s="119" t="s">
        <v>968</v>
      </c>
      <c r="H918" s="119" t="s">
        <v>968</v>
      </c>
      <c r="I918" s="71">
        <v>0.9</v>
      </c>
      <c r="J918" s="72">
        <v>0.8</v>
      </c>
      <c r="K918" s="72">
        <v>0.833333333333333</v>
      </c>
      <c r="L918" s="73">
        <v>0.833333333333333</v>
      </c>
      <c r="M918" s="72">
        <v>0.897959183673469</v>
      </c>
      <c r="N918" s="74">
        <v>0.9</v>
      </c>
      <c r="O918" s="72">
        <v>0.964882943143813</v>
      </c>
      <c r="P918" s="72">
        <v>0.976635514018692</v>
      </c>
      <c r="Q918" s="72">
        <v>0.892384105960265</v>
      </c>
      <c r="R918" s="72">
        <v>0.925797503467406</v>
      </c>
      <c r="S918" s="74">
        <v>0.9</v>
      </c>
      <c r="T918" s="72">
        <v>0.834448160535117</v>
      </c>
      <c r="U918" s="72">
        <v>0.912772585669782</v>
      </c>
      <c r="V918" s="72">
        <v>0.905629139072848</v>
      </c>
      <c r="W918" s="72">
        <v>0.853155339805825</v>
      </c>
      <c r="X918" s="74">
        <v>0.92</v>
      </c>
      <c r="Y918" s="74">
        <v>0</v>
      </c>
      <c r="Z918" s="74">
        <v>0</v>
      </c>
      <c r="AA918" s="74">
        <v>0</v>
      </c>
      <c r="AB918" s="74">
        <v>0</v>
      </c>
      <c r="AC918" s="74">
        <v>0.92</v>
      </c>
      <c r="AD918" s="72">
        <v>0.995535714285714</v>
      </c>
      <c r="AE918" s="72">
        <v>0.99358059914408</v>
      </c>
      <c r="AF918" s="72">
        <v>0.997881355932203</v>
      </c>
      <c r="AG918" s="72">
        <v>0.996325030624745</v>
      </c>
      <c r="AH918" s="74">
        <v>0.92</v>
      </c>
      <c r="AI918" s="72">
        <v>0.939799331103679</v>
      </c>
      <c r="AJ918" s="72">
        <v>0.97196261682243</v>
      </c>
      <c r="AK918" s="72">
        <v>0.958745874587459</v>
      </c>
      <c r="AL918" s="72">
        <v>0.95340377619955</v>
      </c>
      <c r="AM918" s="71">
        <v>0.99</v>
      </c>
      <c r="AN918" s="76">
        <v>1</v>
      </c>
      <c r="AO918" s="76">
        <v>1</v>
      </c>
      <c r="AP918" s="76">
        <v>1</v>
      </c>
      <c r="AQ918" s="76">
        <v>1</v>
      </c>
      <c r="AR918" s="96">
        <v>0.0656418488929858</v>
      </c>
      <c r="AS918" s="80">
        <v>0</v>
      </c>
      <c r="AT918" s="80">
        <v>0</v>
      </c>
      <c r="AU918" s="80">
        <v>0</v>
      </c>
      <c r="AV918" s="80">
        <v>0</v>
      </c>
      <c r="AW918" s="36"/>
      <c r="AX918" s="34"/>
    </row>
    <row r="919" ht="14.5" spans="1:50">
      <c r="A919" s="32"/>
      <c r="B919" s="36"/>
      <c r="C919" s="115" t="s">
        <v>949</v>
      </c>
      <c r="D919" s="69" t="s">
        <v>23</v>
      </c>
      <c r="E919" s="118" t="s">
        <v>969</v>
      </c>
      <c r="F919" s="119" t="s">
        <v>969</v>
      </c>
      <c r="G919" s="119" t="s">
        <v>969</v>
      </c>
      <c r="H919" s="119" t="s">
        <v>969</v>
      </c>
      <c r="I919" s="71">
        <v>0.9</v>
      </c>
      <c r="J919" s="72">
        <v>0.909090909090909</v>
      </c>
      <c r="K919" s="72">
        <v>0.888888888888889</v>
      </c>
      <c r="L919" s="73">
        <v>0.918918918918919</v>
      </c>
      <c r="M919" s="72">
        <v>0.925233644859813</v>
      </c>
      <c r="N919" s="74">
        <v>0.9</v>
      </c>
      <c r="O919" s="72">
        <v>0.935464595159845</v>
      </c>
      <c r="P919" s="72">
        <v>0.958660844250364</v>
      </c>
      <c r="Q919" s="72">
        <v>0.960895616524756</v>
      </c>
      <c r="R919" s="72">
        <v>0.955682557065124</v>
      </c>
      <c r="S919" s="74">
        <v>0.9</v>
      </c>
      <c r="T919" s="72">
        <v>0.850911263818345</v>
      </c>
      <c r="U919" s="72">
        <v>0.927219796215429</v>
      </c>
      <c r="V919" s="72">
        <v>0.919899085461999</v>
      </c>
      <c r="W919" s="72">
        <v>0.903528284452962</v>
      </c>
      <c r="X919" s="74">
        <v>0.92</v>
      </c>
      <c r="Y919" s="74">
        <v>0</v>
      </c>
      <c r="Z919" s="74">
        <v>0</v>
      </c>
      <c r="AA919" s="74">
        <v>0</v>
      </c>
      <c r="AB919" s="74">
        <v>0</v>
      </c>
      <c r="AC919" s="74">
        <v>0.92</v>
      </c>
      <c r="AD919" s="72">
        <v>0.99116781157998</v>
      </c>
      <c r="AE919" s="72">
        <v>0.998373983739837</v>
      </c>
      <c r="AF919" s="72">
        <v>0.997592019263846</v>
      </c>
      <c r="AG919" s="72">
        <v>0.995691751789313</v>
      </c>
      <c r="AH919" s="74">
        <v>0.92</v>
      </c>
      <c r="AI919" s="72">
        <v>0.914550343591276</v>
      </c>
      <c r="AJ919" s="72">
        <v>0.952838427947598</v>
      </c>
      <c r="AK919" s="72">
        <v>0.948596657205929</v>
      </c>
      <c r="AL919" s="72">
        <v>0.940866470467456</v>
      </c>
      <c r="AM919" s="71">
        <v>0.99</v>
      </c>
      <c r="AN919" s="76">
        <v>1</v>
      </c>
      <c r="AO919" s="76">
        <v>1</v>
      </c>
      <c r="AP919" s="76">
        <v>1</v>
      </c>
      <c r="AQ919" s="76">
        <v>1</v>
      </c>
      <c r="AR919" s="96">
        <v>0.0656418488929858</v>
      </c>
      <c r="AS919" s="80">
        <v>0</v>
      </c>
      <c r="AT919" s="80">
        <v>0</v>
      </c>
      <c r="AU919" s="80">
        <v>0.1</v>
      </c>
      <c r="AV919" s="80">
        <v>0.0421052631578947</v>
      </c>
      <c r="AW919" s="36"/>
      <c r="AX919" s="34"/>
    </row>
    <row r="920" ht="14.5" spans="1:50">
      <c r="A920" s="32"/>
      <c r="B920" s="36"/>
      <c r="C920" s="115" t="s">
        <v>949</v>
      </c>
      <c r="D920" s="69" t="s">
        <v>23</v>
      </c>
      <c r="E920" s="122" t="s">
        <v>970</v>
      </c>
      <c r="F920" s="123" t="s">
        <v>970</v>
      </c>
      <c r="G920" s="123" t="s">
        <v>970</v>
      </c>
      <c r="H920" s="123" t="s">
        <v>970</v>
      </c>
      <c r="I920" s="71">
        <v>0.9</v>
      </c>
      <c r="J920" s="72">
        <v>0.9375</v>
      </c>
      <c r="K920" s="72">
        <v>0.882352941176471</v>
      </c>
      <c r="L920" s="73">
        <v>0.80952380952381</v>
      </c>
      <c r="M920" s="72">
        <v>0.875</v>
      </c>
      <c r="N920" s="74">
        <v>0.9</v>
      </c>
      <c r="O920" s="72">
        <v>0.920345489443378</v>
      </c>
      <c r="P920" s="72">
        <v>0.897681451612903</v>
      </c>
      <c r="Q920" s="72">
        <v>0.956945156330087</v>
      </c>
      <c r="R920" s="72">
        <v>0.933152817735658</v>
      </c>
      <c r="S920" s="74">
        <v>0.9</v>
      </c>
      <c r="T920" s="72">
        <v>0.783109404990403</v>
      </c>
      <c r="U920" s="72">
        <v>0.824596774193548</v>
      </c>
      <c r="V920" s="72">
        <v>0.900051255766274</v>
      </c>
      <c r="W920" s="72">
        <v>0.794832741016528</v>
      </c>
      <c r="X920" s="74">
        <v>0.92</v>
      </c>
      <c r="Y920" s="74">
        <v>0</v>
      </c>
      <c r="Z920" s="74">
        <v>0</v>
      </c>
      <c r="AA920" s="74">
        <v>0</v>
      </c>
      <c r="AB920" s="74">
        <v>0</v>
      </c>
      <c r="AC920" s="74">
        <v>0.92</v>
      </c>
      <c r="AD920" s="72">
        <v>0.997576345128454</v>
      </c>
      <c r="AE920" s="72">
        <v>0.98531810766721</v>
      </c>
      <c r="AF920" s="72">
        <v>0.817699115044248</v>
      </c>
      <c r="AG920" s="72">
        <v>0.972492029361608</v>
      </c>
      <c r="AH920" s="74">
        <v>0.92</v>
      </c>
      <c r="AI920" s="72">
        <v>0.866122840690979</v>
      </c>
      <c r="AJ920" s="72">
        <v>0.902721774193548</v>
      </c>
      <c r="AK920" s="72">
        <v>0.954894925679139</v>
      </c>
      <c r="AL920" s="72">
        <v>0.925094477973941</v>
      </c>
      <c r="AM920" s="71">
        <v>0.99</v>
      </c>
      <c r="AN920" s="76">
        <v>1</v>
      </c>
      <c r="AO920" s="76">
        <v>1</v>
      </c>
      <c r="AP920" s="76">
        <v>1</v>
      </c>
      <c r="AQ920" s="76">
        <v>1</v>
      </c>
      <c r="AR920" s="96">
        <v>0.0656418488929858</v>
      </c>
      <c r="AS920" s="80">
        <v>0</v>
      </c>
      <c r="AT920" s="80">
        <v>0</v>
      </c>
      <c r="AU920" s="80">
        <v>0</v>
      </c>
      <c r="AV920" s="80">
        <v>0.0512820512820513</v>
      </c>
      <c r="AW920" s="36"/>
      <c r="AX920" s="34"/>
    </row>
    <row r="921" ht="14.5" spans="1:50">
      <c r="A921" s="32"/>
      <c r="B921" s="36"/>
      <c r="C921" s="115" t="s">
        <v>949</v>
      </c>
      <c r="D921" s="69" t="s">
        <v>23</v>
      </c>
      <c r="E921" s="118" t="s">
        <v>971</v>
      </c>
      <c r="F921" s="119" t="s">
        <v>971</v>
      </c>
      <c r="G921" s="119" t="s">
        <v>971</v>
      </c>
      <c r="H921" s="119" t="s">
        <v>971</v>
      </c>
      <c r="I921" s="71">
        <v>0.9</v>
      </c>
      <c r="J921" s="72">
        <v>0.886792452830189</v>
      </c>
      <c r="K921" s="72">
        <v>0.933333333333333</v>
      </c>
      <c r="L921" s="73">
        <v>0.863636363636364</v>
      </c>
      <c r="M921" s="72">
        <v>0.881578947368421</v>
      </c>
      <c r="N921" s="74">
        <v>0.9</v>
      </c>
      <c r="O921" s="72">
        <v>0.843273691186216</v>
      </c>
      <c r="P921" s="72">
        <v>0.901388224030637</v>
      </c>
      <c r="Q921" s="72">
        <v>0.939427012278308</v>
      </c>
      <c r="R921" s="72">
        <v>0.895029144242508</v>
      </c>
      <c r="S921" s="74">
        <v>0.9</v>
      </c>
      <c r="T921" s="72">
        <v>0.723658051689861</v>
      </c>
      <c r="U921" s="72">
        <v>0.845220998883038</v>
      </c>
      <c r="V921" s="72">
        <v>0.893178717598909</v>
      </c>
      <c r="W921" s="72">
        <v>0.830533537371688</v>
      </c>
      <c r="X921" s="74">
        <v>0.92</v>
      </c>
      <c r="Y921" s="74">
        <v>0</v>
      </c>
      <c r="Z921" s="74">
        <v>0</v>
      </c>
      <c r="AA921" s="74">
        <v>0</v>
      </c>
      <c r="AB921" s="74">
        <v>0.5</v>
      </c>
      <c r="AC921" s="74">
        <v>0.92</v>
      </c>
      <c r="AD921" s="72">
        <v>0.993168232280102</v>
      </c>
      <c r="AE921" s="72">
        <v>0.997556505803299</v>
      </c>
      <c r="AF921" s="72">
        <v>0.996133023975251</v>
      </c>
      <c r="AG921" s="72">
        <v>0.981832009464256</v>
      </c>
      <c r="AH921" s="74">
        <v>0.92</v>
      </c>
      <c r="AI921" s="72">
        <v>0.860361106509856</v>
      </c>
      <c r="AJ921" s="72">
        <v>0.911919578745811</v>
      </c>
      <c r="AK921" s="72">
        <v>0.948567530695771</v>
      </c>
      <c r="AL921" s="72">
        <v>0.923369210137203</v>
      </c>
      <c r="AM921" s="71">
        <v>0.99</v>
      </c>
      <c r="AN921" s="76">
        <v>1</v>
      </c>
      <c r="AO921" s="76">
        <v>1</v>
      </c>
      <c r="AP921" s="76">
        <v>1</v>
      </c>
      <c r="AQ921" s="76">
        <v>1</v>
      </c>
      <c r="AR921" s="96">
        <v>0.0656418488929858</v>
      </c>
      <c r="AS921" s="80">
        <v>0.0434782608695652</v>
      </c>
      <c r="AT921" s="80">
        <v>0.107142857142857</v>
      </c>
      <c r="AU921" s="80">
        <v>0</v>
      </c>
      <c r="AV921" s="80">
        <v>0.0338983050847458</v>
      </c>
      <c r="AW921" s="36"/>
      <c r="AX921" s="34"/>
    </row>
    <row r="922" ht="14.5" spans="1:50">
      <c r="A922" s="32"/>
      <c r="B922" s="36"/>
      <c r="C922" s="115" t="s">
        <v>949</v>
      </c>
      <c r="D922" s="69" t="s">
        <v>23</v>
      </c>
      <c r="E922" s="118" t="s">
        <v>972</v>
      </c>
      <c r="F922" s="119" t="s">
        <v>972</v>
      </c>
      <c r="G922" s="119" t="s">
        <v>972</v>
      </c>
      <c r="H922" s="119" t="s">
        <v>972</v>
      </c>
      <c r="I922" s="71">
        <v>0.9</v>
      </c>
      <c r="J922" s="72">
        <v>1</v>
      </c>
      <c r="K922" s="72">
        <v>0.975609756097561</v>
      </c>
      <c r="L922" s="73">
        <v>1</v>
      </c>
      <c r="M922" s="72">
        <v>0.994832041343669</v>
      </c>
      <c r="N922" s="74">
        <v>0.9</v>
      </c>
      <c r="O922" s="72">
        <v>0.962206108547572</v>
      </c>
      <c r="P922" s="72">
        <v>0.982892335766423</v>
      </c>
      <c r="Q922" s="72">
        <v>0.980884557721139</v>
      </c>
      <c r="R922" s="72">
        <v>0.977447306791569</v>
      </c>
      <c r="S922" s="74">
        <v>0.9</v>
      </c>
      <c r="T922" s="72">
        <v>0.922874093605801</v>
      </c>
      <c r="U922" s="72">
        <v>0.938640510948905</v>
      </c>
      <c r="V922" s="72">
        <v>0.943778110944528</v>
      </c>
      <c r="W922" s="72">
        <v>0.938196721311475</v>
      </c>
      <c r="X922" s="74">
        <v>0.92</v>
      </c>
      <c r="Y922" s="74">
        <v>0</v>
      </c>
      <c r="Z922" s="74">
        <v>0</v>
      </c>
      <c r="AA922" s="74">
        <v>0</v>
      </c>
      <c r="AB922" s="74">
        <v>0.5</v>
      </c>
      <c r="AC922" s="74">
        <v>0.92</v>
      </c>
      <c r="AD922" s="72">
        <v>0.99835661462613</v>
      </c>
      <c r="AE922" s="72">
        <v>0.99154334038055</v>
      </c>
      <c r="AF922" s="72">
        <v>0.996131528046422</v>
      </c>
      <c r="AG922" s="72">
        <v>0.990224032586558</v>
      </c>
      <c r="AH922" s="74">
        <v>0.92</v>
      </c>
      <c r="AI922" s="72">
        <v>0.958260105448155</v>
      </c>
      <c r="AJ922" s="72">
        <v>0.980383211678832</v>
      </c>
      <c r="AK922" s="72">
        <v>0.984257871064468</v>
      </c>
      <c r="AL922" s="72">
        <v>0.974662201718849</v>
      </c>
      <c r="AM922" s="71">
        <v>0.99</v>
      </c>
      <c r="AN922" s="76">
        <v>1</v>
      </c>
      <c r="AO922" s="76">
        <v>1</v>
      </c>
      <c r="AP922" s="76">
        <v>1</v>
      </c>
      <c r="AQ922" s="76">
        <v>1</v>
      </c>
      <c r="AR922" s="96">
        <v>0.0656418488929858</v>
      </c>
      <c r="AS922" s="80">
        <v>0.2</v>
      </c>
      <c r="AT922" s="80">
        <v>0.0526315789473684</v>
      </c>
      <c r="AU922" s="80">
        <v>0.0769230769230769</v>
      </c>
      <c r="AV922" s="80">
        <v>0.0660377358490566</v>
      </c>
      <c r="AW922" s="36"/>
      <c r="AX922" s="34"/>
    </row>
    <row r="923" ht="14.5" spans="1:50">
      <c r="A923" s="32"/>
      <c r="B923" s="36"/>
      <c r="C923" s="115" t="s">
        <v>949</v>
      </c>
      <c r="D923" s="69" t="s">
        <v>23</v>
      </c>
      <c r="E923" s="118" t="s">
        <v>973</v>
      </c>
      <c r="F923" s="119" t="s">
        <v>973</v>
      </c>
      <c r="G923" s="119" t="s">
        <v>973</v>
      </c>
      <c r="H923" s="119" t="s">
        <v>973</v>
      </c>
      <c r="I923" s="71">
        <v>0.9</v>
      </c>
      <c r="J923" s="72">
        <v>0.941176470588235</v>
      </c>
      <c r="K923" s="72">
        <v>0.945945945945946</v>
      </c>
      <c r="L923" s="73">
        <v>0.970588235294118</v>
      </c>
      <c r="M923" s="72">
        <v>0.964968152866242</v>
      </c>
      <c r="N923" s="74">
        <v>0.9</v>
      </c>
      <c r="O923" s="72">
        <v>0.926502732240437</v>
      </c>
      <c r="P923" s="72">
        <v>0.934642356241234</v>
      </c>
      <c r="Q923" s="72">
        <v>0.952704284710841</v>
      </c>
      <c r="R923" s="72">
        <v>0.941683354572486</v>
      </c>
      <c r="S923" s="74">
        <v>0.9</v>
      </c>
      <c r="T923" s="72">
        <v>0.889890710382514</v>
      </c>
      <c r="U923" s="72">
        <v>0.930434782608696</v>
      </c>
      <c r="V923" s="72">
        <v>0.929056427066261</v>
      </c>
      <c r="W923" s="72">
        <v>0.905121670004248</v>
      </c>
      <c r="X923" s="74">
        <v>0.92</v>
      </c>
      <c r="Y923" s="74">
        <v>0</v>
      </c>
      <c r="Z923" s="74">
        <v>0</v>
      </c>
      <c r="AA923" s="74">
        <v>0</v>
      </c>
      <c r="AB923" s="74">
        <v>0</v>
      </c>
      <c r="AC923" s="74">
        <v>0.92</v>
      </c>
      <c r="AD923" s="72">
        <v>0.993739703459638</v>
      </c>
      <c r="AE923" s="72">
        <v>0.987957083424568</v>
      </c>
      <c r="AF923" s="72">
        <v>0.986658195679797</v>
      </c>
      <c r="AG923" s="72">
        <v>0.984303426372687</v>
      </c>
      <c r="AH923" s="74">
        <v>0.92</v>
      </c>
      <c r="AI923" s="72">
        <v>0.942896174863388</v>
      </c>
      <c r="AJ923" s="72">
        <v>0.960168302945302</v>
      </c>
      <c r="AK923" s="72">
        <v>0.972378277153558</v>
      </c>
      <c r="AL923" s="72">
        <v>0.956069294014138</v>
      </c>
      <c r="AM923" s="71">
        <v>0.99</v>
      </c>
      <c r="AN923" s="76">
        <v>1</v>
      </c>
      <c r="AO923" s="76">
        <v>1</v>
      </c>
      <c r="AP923" s="76">
        <v>1</v>
      </c>
      <c r="AQ923" s="76">
        <v>1</v>
      </c>
      <c r="AR923" s="96">
        <v>0.0656418488929858</v>
      </c>
      <c r="AS923" s="80">
        <v>0</v>
      </c>
      <c r="AT923" s="80">
        <v>0.1</v>
      </c>
      <c r="AU923" s="80">
        <v>0</v>
      </c>
      <c r="AV923" s="80">
        <v>0.0315789473684211</v>
      </c>
      <c r="AW923" s="36"/>
      <c r="AX923" s="34"/>
    </row>
    <row r="924" ht="14.5" spans="1:50">
      <c r="A924" s="32"/>
      <c r="B924" s="36"/>
      <c r="C924" s="115" t="s">
        <v>949</v>
      </c>
      <c r="D924" s="69" t="s">
        <v>23</v>
      </c>
      <c r="E924" s="122" t="s">
        <v>974</v>
      </c>
      <c r="F924" s="123" t="s">
        <v>974</v>
      </c>
      <c r="G924" s="123" t="s">
        <v>974</v>
      </c>
      <c r="H924" s="123" t="s">
        <v>974</v>
      </c>
      <c r="I924" s="71">
        <v>0.9</v>
      </c>
      <c r="J924" s="72">
        <v>0.875</v>
      </c>
      <c r="K924" s="72">
        <v>0.866666666666667</v>
      </c>
      <c r="L924" s="73">
        <v>0.895833333333333</v>
      </c>
      <c r="M924" s="72">
        <v>0.915601023017903</v>
      </c>
      <c r="N924" s="74">
        <v>0.9</v>
      </c>
      <c r="O924" s="72">
        <v>0.910087103118854</v>
      </c>
      <c r="P924" s="72">
        <v>0.944730077120823</v>
      </c>
      <c r="Q924" s="72">
        <v>0.955034423407917</v>
      </c>
      <c r="R924" s="72">
        <v>0.941471851810523</v>
      </c>
      <c r="S924" s="74">
        <v>0.9</v>
      </c>
      <c r="T924" s="72">
        <v>0.86822141050857</v>
      </c>
      <c r="U924" s="72">
        <v>0.924678663239075</v>
      </c>
      <c r="V924" s="72">
        <v>0.91802925989673</v>
      </c>
      <c r="W924" s="72">
        <v>0.903615466160799</v>
      </c>
      <c r="X924" s="74">
        <v>0.92</v>
      </c>
      <c r="Y924" s="74">
        <v>0</v>
      </c>
      <c r="Z924" s="74">
        <v>0</v>
      </c>
      <c r="AA924" s="74">
        <v>0</v>
      </c>
      <c r="AB924" s="74">
        <v>0</v>
      </c>
      <c r="AC924" s="74">
        <v>0.92</v>
      </c>
      <c r="AD924" s="72">
        <v>0.997063142437592</v>
      </c>
      <c r="AE924" s="72">
        <v>0.814725407362704</v>
      </c>
      <c r="AF924" s="72">
        <v>0.864336492890995</v>
      </c>
      <c r="AG924" s="72">
        <v>0.915204114432658</v>
      </c>
      <c r="AH924" s="74">
        <v>0.92</v>
      </c>
      <c r="AI924" s="72">
        <v>0.937060972183198</v>
      </c>
      <c r="AJ924" s="72">
        <v>0.973521850899743</v>
      </c>
      <c r="AK924" s="72">
        <v>0.977409638554217</v>
      </c>
      <c r="AL924" s="72">
        <v>0.968364671093009</v>
      </c>
      <c r="AM924" s="71">
        <v>0.99</v>
      </c>
      <c r="AN924" s="76">
        <v>1</v>
      </c>
      <c r="AO924" s="76">
        <v>1</v>
      </c>
      <c r="AP924" s="76">
        <v>1</v>
      </c>
      <c r="AQ924" s="76">
        <v>1</v>
      </c>
      <c r="AR924" s="96">
        <v>0.0656418488929858</v>
      </c>
      <c r="AS924" s="80">
        <v>0</v>
      </c>
      <c r="AT924" s="80">
        <v>0.0434782608695652</v>
      </c>
      <c r="AU924" s="80">
        <v>0.05</v>
      </c>
      <c r="AV924" s="80">
        <v>0.0235294117647059</v>
      </c>
      <c r="AW924" s="36"/>
      <c r="AX924" s="34"/>
    </row>
    <row r="925" ht="14.5" spans="1:50">
      <c r="A925" s="32"/>
      <c r="B925" s="36"/>
      <c r="C925" s="115" t="s">
        <v>949</v>
      </c>
      <c r="D925" s="69" t="s">
        <v>23</v>
      </c>
      <c r="E925" s="118" t="s">
        <v>975</v>
      </c>
      <c r="F925" s="119" t="s">
        <v>975</v>
      </c>
      <c r="G925" s="119" t="s">
        <v>975</v>
      </c>
      <c r="H925" s="119" t="s">
        <v>975</v>
      </c>
      <c r="I925" s="71">
        <v>0.9</v>
      </c>
      <c r="J925" s="72">
        <v>0.954545454545455</v>
      </c>
      <c r="K925" s="72">
        <v>0.985714285714286</v>
      </c>
      <c r="L925" s="73">
        <v>0.986301369863014</v>
      </c>
      <c r="M925" s="72">
        <v>0.977346278317152</v>
      </c>
      <c r="N925" s="74">
        <v>0.9</v>
      </c>
      <c r="O925" s="72">
        <v>0.978212207133264</v>
      </c>
      <c r="P925" s="72">
        <v>0.975972178311729</v>
      </c>
      <c r="Q925" s="72">
        <v>0.977304782664444</v>
      </c>
      <c r="R925" s="72">
        <v>0.978893883134649</v>
      </c>
      <c r="S925" s="74">
        <v>0.9</v>
      </c>
      <c r="T925" s="72">
        <v>0.953141322190718</v>
      </c>
      <c r="U925" s="72">
        <v>0.96063863420803</v>
      </c>
      <c r="V925" s="72">
        <v>0.958456212334915</v>
      </c>
      <c r="W925" s="72">
        <v>0.954481792717087</v>
      </c>
      <c r="X925" s="74">
        <v>0.92</v>
      </c>
      <c r="Y925" s="74">
        <v>0</v>
      </c>
      <c r="Z925" s="74">
        <v>1</v>
      </c>
      <c r="AA925" s="74">
        <v>0</v>
      </c>
      <c r="AB925" s="74">
        <v>1</v>
      </c>
      <c r="AC925" s="74">
        <v>0.92</v>
      </c>
      <c r="AD925" s="72">
        <v>0.987160346372051</v>
      </c>
      <c r="AE925" s="72">
        <v>0.983582527118147</v>
      </c>
      <c r="AF925" s="72">
        <v>0.987832272557095</v>
      </c>
      <c r="AG925" s="72">
        <v>0.981485245477559</v>
      </c>
      <c r="AH925" s="74">
        <v>0.92</v>
      </c>
      <c r="AI925" s="72">
        <v>0.979564439140811</v>
      </c>
      <c r="AJ925" s="72">
        <v>0.987199747155499</v>
      </c>
      <c r="AK925" s="72">
        <v>0.988460058981921</v>
      </c>
      <c r="AL925" s="72">
        <v>0.985524237539283</v>
      </c>
      <c r="AM925" s="71">
        <v>0.99</v>
      </c>
      <c r="AN925" s="76">
        <v>1</v>
      </c>
      <c r="AO925" s="76">
        <v>1</v>
      </c>
      <c r="AP925" s="76">
        <v>1</v>
      </c>
      <c r="AQ925" s="76">
        <v>1</v>
      </c>
      <c r="AR925" s="96">
        <v>0.0656418488929858</v>
      </c>
      <c r="AS925" s="80">
        <v>0.0454545454545455</v>
      </c>
      <c r="AT925" s="80">
        <v>0.0689655172413793</v>
      </c>
      <c r="AU925" s="80">
        <v>0</v>
      </c>
      <c r="AV925" s="80">
        <v>0.0341880341880342</v>
      </c>
      <c r="AW925" s="36"/>
      <c r="AX925" s="34"/>
    </row>
    <row r="926" ht="14.5" spans="1:50">
      <c r="A926" s="32"/>
      <c r="B926" s="36"/>
      <c r="C926" s="115" t="s">
        <v>949</v>
      </c>
      <c r="D926" s="69" t="s">
        <v>23</v>
      </c>
      <c r="E926" s="118" t="s">
        <v>976</v>
      </c>
      <c r="F926" s="119" t="s">
        <v>976</v>
      </c>
      <c r="G926" s="119" t="s">
        <v>976</v>
      </c>
      <c r="H926" s="119" t="s">
        <v>976</v>
      </c>
      <c r="I926" s="71">
        <v>0.9</v>
      </c>
      <c r="J926" s="72">
        <v>0.959183673469388</v>
      </c>
      <c r="K926" s="72">
        <v>0.959183673469388</v>
      </c>
      <c r="L926" s="73">
        <v>1</v>
      </c>
      <c r="M926" s="72">
        <v>0.97926267281106</v>
      </c>
      <c r="N926" s="74">
        <v>0.9</v>
      </c>
      <c r="O926" s="72">
        <v>0.977326498422713</v>
      </c>
      <c r="P926" s="72">
        <v>0.96346516007533</v>
      </c>
      <c r="Q926" s="72">
        <v>0.957225248317847</v>
      </c>
      <c r="R926" s="72">
        <v>0.950653272654825</v>
      </c>
      <c r="S926" s="74">
        <v>0.9</v>
      </c>
      <c r="T926" s="72">
        <v>0.92961356466877</v>
      </c>
      <c r="U926" s="72">
        <v>0.96195856873823</v>
      </c>
      <c r="V926" s="72">
        <v>0.946811919256649</v>
      </c>
      <c r="W926" s="72">
        <v>0.916049745192207</v>
      </c>
      <c r="X926" s="74">
        <v>0.92</v>
      </c>
      <c r="Y926" s="74">
        <v>0</v>
      </c>
      <c r="Z926" s="74">
        <v>0</v>
      </c>
      <c r="AA926" s="74">
        <v>0</v>
      </c>
      <c r="AB926" s="74">
        <v>0</v>
      </c>
      <c r="AC926" s="74">
        <v>0.92</v>
      </c>
      <c r="AD926" s="72">
        <v>0.837016574585635</v>
      </c>
      <c r="AE926" s="72">
        <v>0.785501800532331</v>
      </c>
      <c r="AF926" s="72">
        <v>0.742604924887719</v>
      </c>
      <c r="AG926" s="72">
        <v>0.704244604316547</v>
      </c>
      <c r="AH926" s="74">
        <v>0.92</v>
      </c>
      <c r="AI926" s="72">
        <v>0.975749211356467</v>
      </c>
      <c r="AJ926" s="72">
        <v>0.990020711730371</v>
      </c>
      <c r="AK926" s="72">
        <v>0.989429852658552</v>
      </c>
      <c r="AL926" s="72">
        <v>0.97129497609662</v>
      </c>
      <c r="AM926" s="71">
        <v>0.99</v>
      </c>
      <c r="AN926" s="76">
        <v>1</v>
      </c>
      <c r="AO926" s="76">
        <v>1</v>
      </c>
      <c r="AP926" s="76">
        <v>1</v>
      </c>
      <c r="AQ926" s="76">
        <v>1</v>
      </c>
      <c r="AR926" s="96">
        <v>0.0656418488929858</v>
      </c>
      <c r="AS926" s="80">
        <v>0.0476190476190476</v>
      </c>
      <c r="AT926" s="80">
        <v>0</v>
      </c>
      <c r="AU926" s="80">
        <v>0.0625</v>
      </c>
      <c r="AV926" s="80">
        <v>0.0310880829015544</v>
      </c>
      <c r="AW926" s="36"/>
      <c r="AX926" s="34"/>
    </row>
    <row r="927" ht="14.5" spans="1:50">
      <c r="A927" s="32"/>
      <c r="B927" s="36"/>
      <c r="C927" s="115" t="s">
        <v>949</v>
      </c>
      <c r="D927" s="69" t="s">
        <v>23</v>
      </c>
      <c r="E927" s="118" t="s">
        <v>977</v>
      </c>
      <c r="F927" s="119" t="s">
        <v>977</v>
      </c>
      <c r="G927" s="119" t="s">
        <v>977</v>
      </c>
      <c r="H927" s="119" t="s">
        <v>977</v>
      </c>
      <c r="I927" s="71">
        <v>0.9</v>
      </c>
      <c r="J927" s="72">
        <v>1</v>
      </c>
      <c r="K927" s="72">
        <v>1</v>
      </c>
      <c r="L927" s="73">
        <v>1</v>
      </c>
      <c r="M927" s="72">
        <v>0.993273542600897</v>
      </c>
      <c r="N927" s="74">
        <v>0.9</v>
      </c>
      <c r="O927" s="72">
        <v>0.979555946361838</v>
      </c>
      <c r="P927" s="72">
        <v>0.987463837994214</v>
      </c>
      <c r="Q927" s="72">
        <v>0.989754098360656</v>
      </c>
      <c r="R927" s="72">
        <v>0.985034958337324</v>
      </c>
      <c r="S927" s="74">
        <v>0.9</v>
      </c>
      <c r="T927" s="72">
        <v>0.93427126841064</v>
      </c>
      <c r="U927" s="72">
        <v>0.964079074252652</v>
      </c>
      <c r="V927" s="72">
        <v>0.965722801788376</v>
      </c>
      <c r="W927" s="72">
        <v>0.953620342879035</v>
      </c>
      <c r="X927" s="74">
        <v>0.92</v>
      </c>
      <c r="Y927" s="74">
        <v>0</v>
      </c>
      <c r="Z927" s="74">
        <v>0</v>
      </c>
      <c r="AA927" s="74">
        <v>0</v>
      </c>
      <c r="AB927" s="74">
        <v>0.666666666666667</v>
      </c>
      <c r="AC927" s="74">
        <v>0.92</v>
      </c>
      <c r="AD927" s="72">
        <v>0.991618648507072</v>
      </c>
      <c r="AE927" s="72">
        <v>0.985333333333333</v>
      </c>
      <c r="AF927" s="72">
        <v>0.99615595826469</v>
      </c>
      <c r="AG927" s="72">
        <v>0.987815491731941</v>
      </c>
      <c r="AH927" s="74">
        <v>0.92</v>
      </c>
      <c r="AI927" s="72">
        <v>0.980443858492639</v>
      </c>
      <c r="AJ927" s="72">
        <v>0.984811957569913</v>
      </c>
      <c r="AK927" s="72">
        <v>0.991058122205663</v>
      </c>
      <c r="AL927" s="72">
        <v>0.987384195533</v>
      </c>
      <c r="AM927" s="71">
        <v>0.99</v>
      </c>
      <c r="AN927" s="76">
        <v>1</v>
      </c>
      <c r="AO927" s="76">
        <v>1</v>
      </c>
      <c r="AP927" s="76">
        <v>1</v>
      </c>
      <c r="AQ927" s="76">
        <v>1</v>
      </c>
      <c r="AR927" s="96">
        <v>0.0656418488929858</v>
      </c>
      <c r="AS927" s="80">
        <v>0</v>
      </c>
      <c r="AT927" s="80">
        <v>0.0769230769230769</v>
      </c>
      <c r="AU927" s="80">
        <v>0</v>
      </c>
      <c r="AV927" s="80">
        <v>0.0241935483870968</v>
      </c>
      <c r="AW927" s="36"/>
      <c r="AX927" s="34"/>
    </row>
    <row r="928" ht="14.5" spans="1:50">
      <c r="A928" s="32"/>
      <c r="B928" s="36"/>
      <c r="C928" s="115" t="s">
        <v>949</v>
      </c>
      <c r="D928" s="69" t="s">
        <v>23</v>
      </c>
      <c r="E928" s="118" t="s">
        <v>978</v>
      </c>
      <c r="F928" s="119" t="s">
        <v>978</v>
      </c>
      <c r="G928" s="119" t="s">
        <v>978</v>
      </c>
      <c r="H928" s="119" t="s">
        <v>978</v>
      </c>
      <c r="I928" s="71">
        <v>0.9</v>
      </c>
      <c r="J928" s="72">
        <v>1</v>
      </c>
      <c r="K928" s="72">
        <v>0.978723404255319</v>
      </c>
      <c r="L928" s="73">
        <v>0.957446808510638</v>
      </c>
      <c r="M928" s="72">
        <v>0.980535279805353</v>
      </c>
      <c r="N928" s="74">
        <v>0.9</v>
      </c>
      <c r="O928" s="72">
        <v>0.91897233201581</v>
      </c>
      <c r="P928" s="72">
        <v>0.910651186269561</v>
      </c>
      <c r="Q928" s="72">
        <v>0.923948887056884</v>
      </c>
      <c r="R928" s="72">
        <v>0.941268081511984</v>
      </c>
      <c r="S928" s="74">
        <v>0.9</v>
      </c>
      <c r="T928" s="72">
        <v>0.895009881422925</v>
      </c>
      <c r="U928" s="72">
        <v>0.920242301867744</v>
      </c>
      <c r="V928" s="72">
        <v>0.922300082440231</v>
      </c>
      <c r="W928" s="72">
        <v>0.923160173160173</v>
      </c>
      <c r="X928" s="74">
        <v>0.92</v>
      </c>
      <c r="Y928" s="74">
        <v>0</v>
      </c>
      <c r="Z928" s="74">
        <v>0</v>
      </c>
      <c r="AA928" s="74">
        <v>0</v>
      </c>
      <c r="AB928" s="74">
        <v>0</v>
      </c>
      <c r="AC928" s="74">
        <v>0.92</v>
      </c>
      <c r="AD928" s="72">
        <v>0.930817610062893</v>
      </c>
      <c r="AE928" s="72">
        <v>0.920980926430518</v>
      </c>
      <c r="AF928" s="72">
        <v>0.995145631067961</v>
      </c>
      <c r="AG928" s="72">
        <v>0.974897928323</v>
      </c>
      <c r="AH928" s="74">
        <v>0.92</v>
      </c>
      <c r="AI928" s="72">
        <v>0.942440711462451</v>
      </c>
      <c r="AJ928" s="72">
        <v>0.943477163764825</v>
      </c>
      <c r="AK928" s="72">
        <v>0.963321656707191</v>
      </c>
      <c r="AL928" s="72">
        <v>0.955580775422946</v>
      </c>
      <c r="AM928" s="71">
        <v>0.99</v>
      </c>
      <c r="AN928" s="76">
        <v>1</v>
      </c>
      <c r="AO928" s="76">
        <v>1</v>
      </c>
      <c r="AP928" s="76">
        <v>1</v>
      </c>
      <c r="AQ928" s="76">
        <v>1</v>
      </c>
      <c r="AR928" s="96">
        <v>0.0656418488929858</v>
      </c>
      <c r="AS928" s="80">
        <v>0.133333333333333</v>
      </c>
      <c r="AT928" s="80">
        <v>0</v>
      </c>
      <c r="AU928" s="80">
        <v>0.166666666666667</v>
      </c>
      <c r="AV928" s="80">
        <v>0.0779220779220779</v>
      </c>
      <c r="AW928" s="36"/>
      <c r="AX928" s="34"/>
    </row>
    <row r="929" ht="14.5" spans="1:50">
      <c r="A929" s="32"/>
      <c r="B929" s="36"/>
      <c r="C929" s="115" t="s">
        <v>949</v>
      </c>
      <c r="D929" s="69" t="s">
        <v>23</v>
      </c>
      <c r="E929" s="118" t="s">
        <v>979</v>
      </c>
      <c r="F929" s="119" t="s">
        <v>979</v>
      </c>
      <c r="G929" s="119" t="s">
        <v>979</v>
      </c>
      <c r="H929" s="119" t="s">
        <v>979</v>
      </c>
      <c r="I929" s="71">
        <v>0.9</v>
      </c>
      <c r="J929" s="72">
        <v>0.947368421052632</v>
      </c>
      <c r="K929" s="72">
        <v>0.974358974358974</v>
      </c>
      <c r="L929" s="73">
        <v>0.925</v>
      </c>
      <c r="M929" s="72">
        <v>0.953296703296703</v>
      </c>
      <c r="N929" s="74">
        <v>0.9</v>
      </c>
      <c r="O929" s="72">
        <v>0.925715695952616</v>
      </c>
      <c r="P929" s="72">
        <v>0.947641392936527</v>
      </c>
      <c r="Q929" s="72">
        <v>0.873334699733552</v>
      </c>
      <c r="R929" s="72">
        <v>0.952411201101053</v>
      </c>
      <c r="S929" s="74">
        <v>0.9</v>
      </c>
      <c r="T929" s="72">
        <v>0.877097729516288</v>
      </c>
      <c r="U929" s="72">
        <v>0.90392689552976</v>
      </c>
      <c r="V929" s="72">
        <v>0.902029104324657</v>
      </c>
      <c r="W929" s="72">
        <v>0.916997512042772</v>
      </c>
      <c r="X929" s="74">
        <v>0.92</v>
      </c>
      <c r="Y929" s="74">
        <v>0</v>
      </c>
      <c r="Z929" s="74">
        <v>0</v>
      </c>
      <c r="AA929" s="74">
        <v>1</v>
      </c>
      <c r="AB929" s="74">
        <v>0.666666666666667</v>
      </c>
      <c r="AC929" s="74">
        <v>0.92</v>
      </c>
      <c r="AD929" s="72">
        <v>0.996920708237105</v>
      </c>
      <c r="AE929" s="72">
        <v>0.98019985196151</v>
      </c>
      <c r="AF929" s="72">
        <v>0.990523368511738</v>
      </c>
      <c r="AG929" s="72">
        <v>0.973203162162774</v>
      </c>
      <c r="AH929" s="74">
        <v>0.92</v>
      </c>
      <c r="AI929" s="72">
        <v>0.951147298297557</v>
      </c>
      <c r="AJ929" s="72">
        <v>0.971358024691358</v>
      </c>
      <c r="AK929" s="72">
        <v>0.978283138701086</v>
      </c>
      <c r="AL929" s="72">
        <v>0.972321452197613</v>
      </c>
      <c r="AM929" s="71">
        <v>0.99</v>
      </c>
      <c r="AN929" s="76">
        <v>1</v>
      </c>
      <c r="AO929" s="76">
        <v>1</v>
      </c>
      <c r="AP929" s="76">
        <v>1</v>
      </c>
      <c r="AQ929" s="76">
        <v>1</v>
      </c>
      <c r="AR929" s="96">
        <v>0.0656418488929858</v>
      </c>
      <c r="AS929" s="80">
        <v>0</v>
      </c>
      <c r="AT929" s="80">
        <v>0.0526315789473684</v>
      </c>
      <c r="AU929" s="80">
        <v>0.05</v>
      </c>
      <c r="AV929" s="80">
        <v>0.0496894409937888</v>
      </c>
      <c r="AW929" s="36"/>
      <c r="AX929" s="34"/>
    </row>
    <row r="930" ht="14.5" spans="1:50">
      <c r="A930" s="32"/>
      <c r="B930" s="36"/>
      <c r="C930" s="115" t="s">
        <v>949</v>
      </c>
      <c r="D930" s="69" t="s">
        <v>23</v>
      </c>
      <c r="E930" s="118" t="s">
        <v>980</v>
      </c>
      <c r="F930" s="119" t="s">
        <v>980</v>
      </c>
      <c r="G930" s="119" t="s">
        <v>980</v>
      </c>
      <c r="H930" s="119" t="s">
        <v>980</v>
      </c>
      <c r="I930" s="71">
        <v>0.9</v>
      </c>
      <c r="J930" s="72">
        <v>1</v>
      </c>
      <c r="K930" s="72">
        <v>1</v>
      </c>
      <c r="L930" s="73">
        <v>1</v>
      </c>
      <c r="M930" s="72">
        <v>0.995348837209302</v>
      </c>
      <c r="N930" s="74">
        <v>0.9</v>
      </c>
      <c r="O930" s="72">
        <v>0.962012320328542</v>
      </c>
      <c r="P930" s="72">
        <v>0.975054229934924</v>
      </c>
      <c r="Q930" s="72">
        <v>0.983108108108108</v>
      </c>
      <c r="R930" s="72">
        <v>0.972885732730794</v>
      </c>
      <c r="S930" s="74">
        <v>0.9</v>
      </c>
      <c r="T930" s="72">
        <v>0.913757700205339</v>
      </c>
      <c r="U930" s="72">
        <v>0.941973969631236</v>
      </c>
      <c r="V930" s="72">
        <v>0.942084942084942</v>
      </c>
      <c r="W930" s="72">
        <v>0.925993309466518</v>
      </c>
      <c r="X930" s="74">
        <v>0.92</v>
      </c>
      <c r="Y930" s="74">
        <v>0.922659430122117</v>
      </c>
      <c r="Z930" s="74">
        <v>0.9106463878327</v>
      </c>
      <c r="AA930" s="74">
        <v>0.938101788170564</v>
      </c>
      <c r="AB930" s="74">
        <v>0.918902802623733</v>
      </c>
      <c r="AC930" s="74">
        <v>0.92</v>
      </c>
      <c r="AD930" s="72">
        <v>0.997906489881368</v>
      </c>
      <c r="AE930" s="72">
        <v>0.987735077677841</v>
      </c>
      <c r="AF930" s="72">
        <v>0.997029702970297</v>
      </c>
      <c r="AG930" s="72">
        <v>0.994234531040873</v>
      </c>
      <c r="AH930" s="74">
        <v>0.92</v>
      </c>
      <c r="AI930" s="72">
        <v>0.944506517690875</v>
      </c>
      <c r="AJ930" s="72">
        <v>0.957383966244726</v>
      </c>
      <c r="AK930" s="72">
        <v>0.969989281886388</v>
      </c>
      <c r="AL930" s="72">
        <v>0.954610526315789</v>
      </c>
      <c r="AM930" s="71">
        <v>0.99</v>
      </c>
      <c r="AN930" s="76">
        <v>1</v>
      </c>
      <c r="AO930" s="76">
        <v>1</v>
      </c>
      <c r="AP930" s="76">
        <v>1</v>
      </c>
      <c r="AQ930" s="76">
        <v>1</v>
      </c>
      <c r="AR930" s="96">
        <v>0.0656418488929858</v>
      </c>
      <c r="AS930" s="80">
        <v>0</v>
      </c>
      <c r="AT930" s="80">
        <v>0</v>
      </c>
      <c r="AU930" s="80">
        <v>0</v>
      </c>
      <c r="AV930" s="80">
        <v>0.0862068965517241</v>
      </c>
      <c r="AW930" s="36"/>
      <c r="AX930" s="34"/>
    </row>
    <row r="931" ht="14.5" spans="1:50">
      <c r="A931" s="32"/>
      <c r="B931" s="36"/>
      <c r="C931" s="115" t="s">
        <v>949</v>
      </c>
      <c r="D931" s="69" t="s">
        <v>23</v>
      </c>
      <c r="E931" s="118" t="s">
        <v>981</v>
      </c>
      <c r="F931" s="119" t="s">
        <v>981</v>
      </c>
      <c r="G931" s="119" t="s">
        <v>981</v>
      </c>
      <c r="H931" s="119" t="s">
        <v>981</v>
      </c>
      <c r="I931" s="71">
        <v>0.9</v>
      </c>
      <c r="J931" s="72">
        <v>0.918918918918919</v>
      </c>
      <c r="K931" s="72">
        <v>0.972972972972973</v>
      </c>
      <c r="L931" s="73">
        <v>0.948717948717949</v>
      </c>
      <c r="M931" s="72">
        <v>0.938775510204082</v>
      </c>
      <c r="N931" s="74">
        <v>0.9</v>
      </c>
      <c r="O931" s="72">
        <v>0.939176688251619</v>
      </c>
      <c r="P931" s="72">
        <v>0.943817637577711</v>
      </c>
      <c r="Q931" s="72">
        <v>0.979471583349173</v>
      </c>
      <c r="R931" s="72">
        <v>0.958980127484064</v>
      </c>
      <c r="S931" s="74">
        <v>0.9</v>
      </c>
      <c r="T931" s="72">
        <v>0.891535615171138</v>
      </c>
      <c r="U931" s="72">
        <v>0.896615242919641</v>
      </c>
      <c r="V931" s="72">
        <v>0.925299372742825</v>
      </c>
      <c r="W931" s="72">
        <v>0.914210723659543</v>
      </c>
      <c r="X931" s="74">
        <v>0.92</v>
      </c>
      <c r="Y931" s="74">
        <v>0</v>
      </c>
      <c r="Z931" s="74">
        <v>0</v>
      </c>
      <c r="AA931" s="74">
        <v>0</v>
      </c>
      <c r="AB931" s="74">
        <v>0.5</v>
      </c>
      <c r="AC931" s="74">
        <v>0.92</v>
      </c>
      <c r="AD931" s="72">
        <v>0.993850520340587</v>
      </c>
      <c r="AE931" s="72">
        <v>0.997013651877133</v>
      </c>
      <c r="AF931" s="72">
        <v>0.998526281316522</v>
      </c>
      <c r="AG931" s="72">
        <v>0.995769149092572</v>
      </c>
      <c r="AH931" s="74">
        <v>0.92</v>
      </c>
      <c r="AI931" s="72">
        <v>0.959296947271045</v>
      </c>
      <c r="AJ931" s="72">
        <v>0.960635359116022</v>
      </c>
      <c r="AK931" s="72">
        <v>0.975289868846227</v>
      </c>
      <c r="AL931" s="72">
        <v>0.964957884475993</v>
      </c>
      <c r="AM931" s="71">
        <v>0.99</v>
      </c>
      <c r="AN931" s="76">
        <v>1</v>
      </c>
      <c r="AO931" s="76">
        <v>1</v>
      </c>
      <c r="AP931" s="76">
        <v>1</v>
      </c>
      <c r="AQ931" s="76">
        <v>1</v>
      </c>
      <c r="AR931" s="96">
        <v>0.0656418488929858</v>
      </c>
      <c r="AS931" s="80">
        <v>0</v>
      </c>
      <c r="AT931" s="80">
        <v>0.0625</v>
      </c>
      <c r="AU931" s="80">
        <v>0</v>
      </c>
      <c r="AV931" s="80">
        <v>0.0495049504950495</v>
      </c>
      <c r="AW931" s="36"/>
      <c r="AX931" s="34"/>
    </row>
    <row r="932" ht="14.5" spans="1:50">
      <c r="A932" s="32"/>
      <c r="B932" s="36"/>
      <c r="C932" s="115" t="s">
        <v>949</v>
      </c>
      <c r="D932" s="69" t="s">
        <v>23</v>
      </c>
      <c r="E932" s="122" t="s">
        <v>982</v>
      </c>
      <c r="F932" s="123" t="s">
        <v>982</v>
      </c>
      <c r="G932" s="123" t="s">
        <v>982</v>
      </c>
      <c r="H932" s="123" t="s">
        <v>982</v>
      </c>
      <c r="I932" s="71">
        <v>0.9</v>
      </c>
      <c r="J932" s="72">
        <v>1</v>
      </c>
      <c r="K932" s="72">
        <v>1</v>
      </c>
      <c r="L932" s="73">
        <v>1</v>
      </c>
      <c r="M932" s="72">
        <v>0.995535714285714</v>
      </c>
      <c r="N932" s="74">
        <v>0.9</v>
      </c>
      <c r="O932" s="72">
        <v>0.992511013215859</v>
      </c>
      <c r="P932" s="72">
        <v>0.980120203421174</v>
      </c>
      <c r="Q932" s="72">
        <v>0.990990990990991</v>
      </c>
      <c r="R932" s="72">
        <v>0.988512289780078</v>
      </c>
      <c r="S932" s="74">
        <v>0.9</v>
      </c>
      <c r="T932" s="72">
        <v>0.945814977973568</v>
      </c>
      <c r="U932" s="72">
        <v>0.953305594082293</v>
      </c>
      <c r="V932" s="72">
        <v>0.959049959049959</v>
      </c>
      <c r="W932" s="72">
        <v>0.944372574385511</v>
      </c>
      <c r="X932" s="74">
        <v>0.92</v>
      </c>
      <c r="Y932" s="74">
        <v>0.930868167202572</v>
      </c>
      <c r="Z932" s="74">
        <v>0.943478260869565</v>
      </c>
      <c r="AA932" s="74">
        <v>0.934990439770555</v>
      </c>
      <c r="AB932" s="74">
        <v>0.941894353369763</v>
      </c>
      <c r="AC932" s="74">
        <v>0.92</v>
      </c>
      <c r="AD932" s="72">
        <v>0.990507635163021</v>
      </c>
      <c r="AE932" s="72">
        <v>0.991048593350384</v>
      </c>
      <c r="AF932" s="72">
        <v>0.995340710541642</v>
      </c>
      <c r="AG932" s="72">
        <v>0.988847196164269</v>
      </c>
      <c r="AH932" s="74">
        <v>0.92</v>
      </c>
      <c r="AI932" s="72">
        <v>0.976486860304288</v>
      </c>
      <c r="AJ932" s="72">
        <v>0.977506671749905</v>
      </c>
      <c r="AK932" s="72">
        <v>0.985834738617201</v>
      </c>
      <c r="AL932" s="72">
        <v>0.97977030022164</v>
      </c>
      <c r="AM932" s="71">
        <v>0.99</v>
      </c>
      <c r="AN932" s="76">
        <v>1</v>
      </c>
      <c r="AO932" s="76">
        <v>1</v>
      </c>
      <c r="AP932" s="76">
        <v>1</v>
      </c>
      <c r="AQ932" s="76">
        <v>1</v>
      </c>
      <c r="AR932" s="96">
        <v>0.0656418488929858</v>
      </c>
      <c r="AS932" s="80">
        <v>0</v>
      </c>
      <c r="AT932" s="80">
        <v>0.111111111111111</v>
      </c>
      <c r="AU932" s="80">
        <v>0</v>
      </c>
      <c r="AV932" s="80">
        <v>0.0609756097560976</v>
      </c>
      <c r="AW932" s="36"/>
      <c r="AX932" s="34"/>
    </row>
    <row r="933" ht="14.5" spans="1:50">
      <c r="A933" s="32"/>
      <c r="B933" s="36"/>
      <c r="C933" s="115" t="s">
        <v>949</v>
      </c>
      <c r="D933" s="69" t="s">
        <v>23</v>
      </c>
      <c r="E933" s="118" t="s">
        <v>983</v>
      </c>
      <c r="F933" s="119" t="s">
        <v>983</v>
      </c>
      <c r="G933" s="119" t="s">
        <v>983</v>
      </c>
      <c r="H933" s="119" t="s">
        <v>983</v>
      </c>
      <c r="I933" s="71">
        <v>0.9</v>
      </c>
      <c r="J933" s="72">
        <v>0.977272727272727</v>
      </c>
      <c r="K933" s="72">
        <v>0.956521739130435</v>
      </c>
      <c r="L933" s="73">
        <v>0.952380952380952</v>
      </c>
      <c r="M933" s="72">
        <v>0.948717948717949</v>
      </c>
      <c r="N933" s="74">
        <v>0.9</v>
      </c>
      <c r="O933" s="72">
        <v>0.970244655058409</v>
      </c>
      <c r="P933" s="72">
        <v>0.97305032196518</v>
      </c>
      <c r="Q933" s="72">
        <v>0.92798089288995</v>
      </c>
      <c r="R933" s="72">
        <v>0.95850214280696</v>
      </c>
      <c r="S933" s="74">
        <v>0.9</v>
      </c>
      <c r="T933" s="72">
        <v>0.914260524575711</v>
      </c>
      <c r="U933" s="72">
        <v>0.945623658478416</v>
      </c>
      <c r="V933" s="72">
        <v>0.91952967113724</v>
      </c>
      <c r="W933" s="72">
        <v>0.93140675862392</v>
      </c>
      <c r="X933" s="74">
        <v>0.92</v>
      </c>
      <c r="Y933" s="74">
        <v>0</v>
      </c>
      <c r="Z933" s="74">
        <v>0</v>
      </c>
      <c r="AA933" s="74">
        <v>0</v>
      </c>
      <c r="AB933" s="74">
        <v>0</v>
      </c>
      <c r="AC933" s="74">
        <v>0.92</v>
      </c>
      <c r="AD933" s="72">
        <v>0.98996138996139</v>
      </c>
      <c r="AE933" s="72">
        <v>0.985106382978723</v>
      </c>
      <c r="AF933" s="72">
        <v>0.990503323836657</v>
      </c>
      <c r="AG933" s="72">
        <v>0.983573274270949</v>
      </c>
      <c r="AH933" s="74">
        <v>0.92</v>
      </c>
      <c r="AI933" s="72">
        <v>0.951079770824152</v>
      </c>
      <c r="AJ933" s="72">
        <v>0.966150178784267</v>
      </c>
      <c r="AK933" s="72">
        <v>0.945087235996327</v>
      </c>
      <c r="AL933" s="72">
        <v>0.955979113494275</v>
      </c>
      <c r="AM933" s="71">
        <v>0.99</v>
      </c>
      <c r="AN933" s="76">
        <v>1</v>
      </c>
      <c r="AO933" s="76">
        <v>1</v>
      </c>
      <c r="AP933" s="76">
        <v>1</v>
      </c>
      <c r="AQ933" s="76">
        <v>1</v>
      </c>
      <c r="AR933" s="96">
        <v>0.0656418488929858</v>
      </c>
      <c r="AS933" s="80">
        <v>0.0909090909090909</v>
      </c>
      <c r="AT933" s="80">
        <v>0.0833333333333333</v>
      </c>
      <c r="AU933" s="80">
        <v>0.0769230769230769</v>
      </c>
      <c r="AV933" s="80">
        <v>0.0810810810810811</v>
      </c>
      <c r="AW933" s="36"/>
      <c r="AX933" s="34"/>
    </row>
    <row r="934" ht="14.5" spans="1:50">
      <c r="A934" s="32"/>
      <c r="B934" s="36"/>
      <c r="C934" s="115" t="s">
        <v>949</v>
      </c>
      <c r="D934" s="69" t="s">
        <v>23</v>
      </c>
      <c r="E934" s="118" t="s">
        <v>22</v>
      </c>
      <c r="F934" s="119" t="s">
        <v>22</v>
      </c>
      <c r="G934" s="119" t="s">
        <v>22</v>
      </c>
      <c r="H934" s="119" t="s">
        <v>22</v>
      </c>
      <c r="I934" s="71">
        <v>0.9</v>
      </c>
      <c r="J934" s="72">
        <v>0.884615384615385</v>
      </c>
      <c r="K934" s="72">
        <v>0.891891891891892</v>
      </c>
      <c r="L934" s="73">
        <v>0.868421052631579</v>
      </c>
      <c r="M934" s="72">
        <v>0.820754716981132</v>
      </c>
      <c r="N934" s="74">
        <v>0.9</v>
      </c>
      <c r="O934" s="72">
        <v>0.806775407779172</v>
      </c>
      <c r="P934" s="72">
        <v>0.953662182361734</v>
      </c>
      <c r="Q934" s="72">
        <v>0.94264645637034</v>
      </c>
      <c r="R934" s="72">
        <v>0.898689837139478</v>
      </c>
      <c r="S934" s="74">
        <v>0.9</v>
      </c>
      <c r="T934" s="72">
        <v>0.771225428690924</v>
      </c>
      <c r="U934" s="72">
        <v>0.897982062780269</v>
      </c>
      <c r="V934" s="72">
        <v>0.925850061450225</v>
      </c>
      <c r="W934" s="72">
        <v>0.87339641524884</v>
      </c>
      <c r="X934" s="74">
        <v>0.92</v>
      </c>
      <c r="Y934" s="74">
        <v>0.757823129251701</v>
      </c>
      <c r="Z934" s="74">
        <v>0.884826325411335</v>
      </c>
      <c r="AA934" s="74">
        <v>0.925373134328358</v>
      </c>
      <c r="AB934" s="74">
        <v>0.850053172633818</v>
      </c>
      <c r="AC934" s="74">
        <v>0.92</v>
      </c>
      <c r="AD934" s="72">
        <v>0.993429330350902</v>
      </c>
      <c r="AE934" s="72">
        <v>0.993623367273475</v>
      </c>
      <c r="AF934" s="72">
        <v>0.996154393960974</v>
      </c>
      <c r="AG934" s="72">
        <v>0.966312289451809</v>
      </c>
      <c r="AH934" s="74">
        <v>0.92</v>
      </c>
      <c r="AI934" s="72">
        <v>0.842660697153822</v>
      </c>
      <c r="AJ934" s="72">
        <v>0.937635743096494</v>
      </c>
      <c r="AK934" s="72">
        <v>0.961760925449871</v>
      </c>
      <c r="AL934" s="72">
        <v>0.924393774882374</v>
      </c>
      <c r="AM934" s="71">
        <v>0.99</v>
      </c>
      <c r="AN934" s="76">
        <v>1</v>
      </c>
      <c r="AO934" s="76">
        <v>1</v>
      </c>
      <c r="AP934" s="76">
        <v>1</v>
      </c>
      <c r="AQ934" s="76">
        <v>1</v>
      </c>
      <c r="AR934" s="96">
        <v>0.0656418488929858</v>
      </c>
      <c r="AS934" s="80">
        <v>0.0689655172413793</v>
      </c>
      <c r="AT934" s="80">
        <v>0</v>
      </c>
      <c r="AU934" s="80">
        <v>0.0476190476190476</v>
      </c>
      <c r="AV934" s="80">
        <v>0.0572390572390572</v>
      </c>
      <c r="AW934" s="36"/>
      <c r="AX934" s="34"/>
    </row>
    <row r="935" ht="14.5" spans="1:50">
      <c r="A935" s="32"/>
      <c r="B935" s="36"/>
      <c r="C935" s="115" t="s">
        <v>949</v>
      </c>
      <c r="D935" s="69" t="s">
        <v>23</v>
      </c>
      <c r="E935" s="118" t="s">
        <v>984</v>
      </c>
      <c r="F935" s="119" t="s">
        <v>984</v>
      </c>
      <c r="G935" s="119" t="s">
        <v>984</v>
      </c>
      <c r="H935" s="119" t="s">
        <v>984</v>
      </c>
      <c r="I935" s="71">
        <v>0.9</v>
      </c>
      <c r="J935" s="72">
        <v>0.954545454545455</v>
      </c>
      <c r="K935" s="72">
        <v>0.875</v>
      </c>
      <c r="L935" s="73">
        <v>0.96</v>
      </c>
      <c r="M935" s="72">
        <v>0.954545454545455</v>
      </c>
      <c r="N935" s="74">
        <v>0.9</v>
      </c>
      <c r="O935" s="72">
        <v>0.870175438596491</v>
      </c>
      <c r="P935" s="72">
        <v>0.850955414012739</v>
      </c>
      <c r="Q935" s="72">
        <v>0.88135593220339</v>
      </c>
      <c r="R935" s="72">
        <v>0.896841936518115</v>
      </c>
      <c r="S935" s="74">
        <v>0.9</v>
      </c>
      <c r="T935" s="72">
        <v>0.706666666666667</v>
      </c>
      <c r="U935" s="72">
        <v>0.821019108280255</v>
      </c>
      <c r="V935" s="72">
        <v>0.890198968312454</v>
      </c>
      <c r="W935" s="72">
        <v>0.835043283103559</v>
      </c>
      <c r="X935" s="74">
        <v>0.92</v>
      </c>
      <c r="Y935" s="74">
        <v>0.778969957081545</v>
      </c>
      <c r="Z935" s="74">
        <v>0.921621621621622</v>
      </c>
      <c r="AA935" s="74">
        <v>0.91830985915493</v>
      </c>
      <c r="AB935" s="74">
        <v>0.899004683840749</v>
      </c>
      <c r="AC935" s="74">
        <v>0.92</v>
      </c>
      <c r="AD935" s="72">
        <v>0.991518889745567</v>
      </c>
      <c r="AE935" s="72">
        <v>0.988295537673738</v>
      </c>
      <c r="AF935" s="72">
        <v>0.98845836768343</v>
      </c>
      <c r="AG935" s="72">
        <v>0.974628858691383</v>
      </c>
      <c r="AH935" s="74">
        <v>0.92</v>
      </c>
      <c r="AI935" s="72">
        <v>0.856689582231624</v>
      </c>
      <c r="AJ935" s="72">
        <v>0.934054611025245</v>
      </c>
      <c r="AK935" s="72">
        <v>0.95268691588785</v>
      </c>
      <c r="AL935" s="72">
        <v>0.932234316994903</v>
      </c>
      <c r="AM935" s="71">
        <v>0.99</v>
      </c>
      <c r="AN935" s="76">
        <v>1</v>
      </c>
      <c r="AO935" s="76">
        <v>1</v>
      </c>
      <c r="AP935" s="76">
        <v>1</v>
      </c>
      <c r="AQ935" s="76">
        <v>1</v>
      </c>
      <c r="AR935" s="96">
        <v>0.0656418488929858</v>
      </c>
      <c r="AS935" s="80">
        <v>0.142857142857143</v>
      </c>
      <c r="AT935" s="80">
        <v>0</v>
      </c>
      <c r="AU935" s="80">
        <v>0</v>
      </c>
      <c r="AV935" s="80">
        <v>0.085427135678392</v>
      </c>
      <c r="AW935" s="36"/>
      <c r="AX935" s="34"/>
    </row>
    <row r="936" ht="14.5" spans="1:50">
      <c r="A936" s="32"/>
      <c r="B936" s="36"/>
      <c r="C936" s="115" t="s">
        <v>949</v>
      </c>
      <c r="D936" s="69" t="s">
        <v>23</v>
      </c>
      <c r="E936" s="118" t="s">
        <v>985</v>
      </c>
      <c r="F936" s="119" t="s">
        <v>985</v>
      </c>
      <c r="G936" s="119" t="s">
        <v>985</v>
      </c>
      <c r="H936" s="119" t="s">
        <v>985</v>
      </c>
      <c r="I936" s="71">
        <v>0.9</v>
      </c>
      <c r="J936" s="72">
        <v>0</v>
      </c>
      <c r="K936" s="72">
        <v>0</v>
      </c>
      <c r="L936" s="73">
        <v>0</v>
      </c>
      <c r="M936" s="72">
        <v>0</v>
      </c>
      <c r="N936" s="74">
        <v>0.9</v>
      </c>
      <c r="O936" s="72">
        <v>0</v>
      </c>
      <c r="P936" s="72">
        <v>0</v>
      </c>
      <c r="Q936" s="72">
        <v>0</v>
      </c>
      <c r="R936" s="72">
        <v>0</v>
      </c>
      <c r="S936" s="74">
        <v>0.9</v>
      </c>
      <c r="T936" s="72">
        <v>0</v>
      </c>
      <c r="U936" s="72">
        <v>1</v>
      </c>
      <c r="V936" s="72">
        <v>0</v>
      </c>
      <c r="W936" s="72">
        <v>1</v>
      </c>
      <c r="X936" s="74">
        <v>0.92</v>
      </c>
      <c r="Y936" s="74">
        <v>0</v>
      </c>
      <c r="Z936" s="74">
        <v>0</v>
      </c>
      <c r="AA936" s="74">
        <v>0</v>
      </c>
      <c r="AB936" s="74">
        <v>0</v>
      </c>
      <c r="AC936" s="74">
        <v>0.92</v>
      </c>
      <c r="AD936" s="72">
        <v>0.996466431095406</v>
      </c>
      <c r="AE936" s="72">
        <v>1</v>
      </c>
      <c r="AF936" s="72">
        <v>1</v>
      </c>
      <c r="AG936" s="72">
        <v>0.99911190053286</v>
      </c>
      <c r="AH936" s="74">
        <v>0.92</v>
      </c>
      <c r="AI936" s="72">
        <v>0</v>
      </c>
      <c r="AJ936" s="72">
        <v>1</v>
      </c>
      <c r="AK936" s="72">
        <v>0</v>
      </c>
      <c r="AL936" s="72">
        <v>1</v>
      </c>
      <c r="AM936" s="71">
        <v>0.99</v>
      </c>
      <c r="AN936" s="76">
        <v>0</v>
      </c>
      <c r="AO936" s="76">
        <v>1</v>
      </c>
      <c r="AP936" s="76">
        <v>1</v>
      </c>
      <c r="AQ936" s="76">
        <v>1</v>
      </c>
      <c r="AR936" s="96">
        <v>0.0656418488929858</v>
      </c>
      <c r="AS936" s="80">
        <v>0</v>
      </c>
      <c r="AT936" s="80">
        <v>0</v>
      </c>
      <c r="AU936" s="80">
        <v>0</v>
      </c>
      <c r="AV936" s="80">
        <v>0</v>
      </c>
      <c r="AW936" s="36"/>
      <c r="AX936" s="34"/>
    </row>
    <row r="937" ht="14.5" spans="1:50">
      <c r="A937" s="32"/>
      <c r="B937" s="36"/>
      <c r="C937" s="115" t="s">
        <v>949</v>
      </c>
      <c r="D937" s="69" t="s">
        <v>23</v>
      </c>
      <c r="E937" s="122" t="s">
        <v>986</v>
      </c>
      <c r="F937" s="123" t="s">
        <v>986</v>
      </c>
      <c r="G937" s="123" t="s">
        <v>986</v>
      </c>
      <c r="H937" s="123" t="s">
        <v>986</v>
      </c>
      <c r="I937" s="71">
        <v>0.9</v>
      </c>
      <c r="J937" s="72">
        <v>0.652173913043478</v>
      </c>
      <c r="K937" s="72">
        <v>0.793103448275862</v>
      </c>
      <c r="L937" s="73">
        <v>0.714285714285714</v>
      </c>
      <c r="M937" s="72">
        <v>0.77431906614786</v>
      </c>
      <c r="N937" s="74">
        <v>0.9</v>
      </c>
      <c r="O937" s="72">
        <v>0.923968474733426</v>
      </c>
      <c r="P937" s="72">
        <v>0.844842657342657</v>
      </c>
      <c r="Q937" s="72">
        <v>0.861545988258317</v>
      </c>
      <c r="R937" s="72">
        <v>0.8904931862427</v>
      </c>
      <c r="S937" s="74">
        <v>0.9</v>
      </c>
      <c r="T937" s="72">
        <v>0.748261474269819</v>
      </c>
      <c r="U937" s="72">
        <v>0.864073426573427</v>
      </c>
      <c r="V937" s="72">
        <v>0.874755381604697</v>
      </c>
      <c r="W937" s="72">
        <v>0.842634652822842</v>
      </c>
      <c r="X937" s="74">
        <v>0.92</v>
      </c>
      <c r="Y937" s="74">
        <v>0.839313572542902</v>
      </c>
      <c r="Z937" s="74">
        <v>0.925925925925926</v>
      </c>
      <c r="AA937" s="74">
        <v>0.920473773265651</v>
      </c>
      <c r="AB937" s="74">
        <v>0.890643742502999</v>
      </c>
      <c r="AC937" s="74">
        <v>0.92</v>
      </c>
      <c r="AD937" s="72">
        <v>0.995820779473224</v>
      </c>
      <c r="AE937" s="72">
        <v>0.99437386569873</v>
      </c>
      <c r="AF937" s="72">
        <v>0.996480462052161</v>
      </c>
      <c r="AG937" s="72">
        <v>0.991267778101193</v>
      </c>
      <c r="AH937" s="74">
        <v>0.92</v>
      </c>
      <c r="AI937" s="72">
        <v>0.871336669049321</v>
      </c>
      <c r="AJ937" s="72">
        <v>0.945376651196001</v>
      </c>
      <c r="AK937" s="72">
        <v>0.952941176470588</v>
      </c>
      <c r="AL937" s="72">
        <v>0.928759894459103</v>
      </c>
      <c r="AM937" s="71">
        <v>0.99</v>
      </c>
      <c r="AN937" s="76">
        <v>1</v>
      </c>
      <c r="AO937" s="76">
        <v>0.998394863563403</v>
      </c>
      <c r="AP937" s="76">
        <v>1</v>
      </c>
      <c r="AQ937" s="76">
        <v>0.999624060150376</v>
      </c>
      <c r="AR937" s="96">
        <v>0.0656418488929858</v>
      </c>
      <c r="AS937" s="80">
        <v>0.0888888888888889</v>
      </c>
      <c r="AT937" s="80">
        <v>0.05</v>
      </c>
      <c r="AU937" s="80">
        <v>0.08</v>
      </c>
      <c r="AV937" s="80">
        <v>0.0683229813664596</v>
      </c>
      <c r="AW937" s="36"/>
      <c r="AX937" s="34"/>
    </row>
    <row r="938" ht="14.5" spans="1:50">
      <c r="A938" s="32"/>
      <c r="B938" s="36"/>
      <c r="C938" s="115" t="s">
        <v>949</v>
      </c>
      <c r="D938" s="69" t="s">
        <v>23</v>
      </c>
      <c r="E938" s="122" t="s">
        <v>987</v>
      </c>
      <c r="F938" s="123" t="s">
        <v>987</v>
      </c>
      <c r="G938" s="123" t="s">
        <v>987</v>
      </c>
      <c r="H938" s="123" t="s">
        <v>987</v>
      </c>
      <c r="I938" s="71">
        <v>0.9</v>
      </c>
      <c r="J938" s="72">
        <v>1</v>
      </c>
      <c r="K938" s="72">
        <v>1</v>
      </c>
      <c r="L938" s="73">
        <v>0.833333333333333</v>
      </c>
      <c r="M938" s="72">
        <v>0.950819672131147</v>
      </c>
      <c r="N938" s="74">
        <v>0.9</v>
      </c>
      <c r="O938" s="72">
        <v>0.857726344452008</v>
      </c>
      <c r="P938" s="72">
        <v>0.935128518971848</v>
      </c>
      <c r="Q938" s="72">
        <v>0.883984867591425</v>
      </c>
      <c r="R938" s="72">
        <v>0.920485878232357</v>
      </c>
      <c r="S938" s="74">
        <v>0.9</v>
      </c>
      <c r="T938" s="72">
        <v>0.846834581347856</v>
      </c>
      <c r="U938" s="72">
        <v>0.896572827417381</v>
      </c>
      <c r="V938" s="72">
        <v>0.898486759142497</v>
      </c>
      <c r="W938" s="72">
        <v>0.896415530218347</v>
      </c>
      <c r="X938" s="74">
        <v>0.92</v>
      </c>
      <c r="Y938" s="74">
        <v>0.773242630385488</v>
      </c>
      <c r="Z938" s="74">
        <v>0.882521489971347</v>
      </c>
      <c r="AA938" s="74">
        <v>0.816438356164384</v>
      </c>
      <c r="AB938" s="74">
        <v>0.873834498834499</v>
      </c>
      <c r="AC938" s="74">
        <v>0.92</v>
      </c>
      <c r="AD938" s="72">
        <v>0.994868505452213</v>
      </c>
      <c r="AE938" s="72">
        <v>0.981086028065894</v>
      </c>
      <c r="AF938" s="72">
        <v>0.992172211350294</v>
      </c>
      <c r="AG938" s="72">
        <v>0.983569688261386</v>
      </c>
      <c r="AH938" s="74">
        <v>0.92</v>
      </c>
      <c r="AI938" s="72">
        <v>0.867224255096707</v>
      </c>
      <c r="AJ938" s="72">
        <v>0.927025666834424</v>
      </c>
      <c r="AK938" s="72">
        <v>0.926191696565864</v>
      </c>
      <c r="AL938" s="72">
        <v>0.935321616663708</v>
      </c>
      <c r="AM938" s="71">
        <v>0.99</v>
      </c>
      <c r="AN938" s="76">
        <v>1</v>
      </c>
      <c r="AO938" s="76">
        <v>1</v>
      </c>
      <c r="AP938" s="76">
        <v>1</v>
      </c>
      <c r="AQ938" s="76">
        <v>1</v>
      </c>
      <c r="AR938" s="96">
        <v>0.0656418488929858</v>
      </c>
      <c r="AS938" s="80">
        <v>0</v>
      </c>
      <c r="AT938" s="80">
        <v>0.0357142857142857</v>
      </c>
      <c r="AU938" s="80">
        <v>0</v>
      </c>
      <c r="AV938" s="80">
        <v>-0.00714285714285714</v>
      </c>
      <c r="AW938" s="36"/>
      <c r="AX938" s="34"/>
    </row>
    <row r="939" ht="14.5" spans="1:50">
      <c r="A939" s="32"/>
      <c r="B939" s="36"/>
      <c r="C939" s="115" t="s">
        <v>949</v>
      </c>
      <c r="D939" s="69" t="s">
        <v>23</v>
      </c>
      <c r="E939" s="118" t="s">
        <v>988</v>
      </c>
      <c r="F939" s="119" t="s">
        <v>988</v>
      </c>
      <c r="G939" s="119" t="s">
        <v>988</v>
      </c>
      <c r="H939" s="119" t="s">
        <v>988</v>
      </c>
      <c r="I939" s="71">
        <v>0.9</v>
      </c>
      <c r="J939" s="72">
        <v>0</v>
      </c>
      <c r="K939" s="72">
        <v>0</v>
      </c>
      <c r="L939" s="73">
        <v>0</v>
      </c>
      <c r="M939" s="72">
        <v>0</v>
      </c>
      <c r="N939" s="74">
        <v>0.9</v>
      </c>
      <c r="O939" s="72">
        <v>0</v>
      </c>
      <c r="P939" s="72">
        <v>0</v>
      </c>
      <c r="Q939" s="72">
        <v>0</v>
      </c>
      <c r="R939" s="72">
        <v>0</v>
      </c>
      <c r="S939" s="74">
        <v>0.9</v>
      </c>
      <c r="T939" s="72">
        <v>0</v>
      </c>
      <c r="U939" s="72">
        <v>0</v>
      </c>
      <c r="V939" s="72">
        <v>0</v>
      </c>
      <c r="W939" s="72">
        <v>0</v>
      </c>
      <c r="X939" s="74">
        <v>0.92</v>
      </c>
      <c r="Y939" s="74">
        <v>0</v>
      </c>
      <c r="Z939" s="74">
        <v>0</v>
      </c>
      <c r="AA939" s="74">
        <v>0</v>
      </c>
      <c r="AB939" s="74">
        <v>0</v>
      </c>
      <c r="AC939" s="74">
        <v>0.92</v>
      </c>
      <c r="AD939" s="72">
        <v>0.986301369863014</v>
      </c>
      <c r="AE939" s="72">
        <v>1</v>
      </c>
      <c r="AF939" s="72">
        <v>1</v>
      </c>
      <c r="AG939" s="72">
        <v>0.991255961844197</v>
      </c>
      <c r="AH939" s="74">
        <v>0.92</v>
      </c>
      <c r="AI939" s="72">
        <v>0</v>
      </c>
      <c r="AJ939" s="72">
        <v>0</v>
      </c>
      <c r="AK939" s="72">
        <v>0</v>
      </c>
      <c r="AL939" s="72">
        <v>0</v>
      </c>
      <c r="AM939" s="71">
        <v>0.99</v>
      </c>
      <c r="AN939" s="76">
        <v>0</v>
      </c>
      <c r="AO939" s="76">
        <v>1</v>
      </c>
      <c r="AP939" s="76">
        <v>1</v>
      </c>
      <c r="AQ939" s="76">
        <v>1</v>
      </c>
      <c r="AR939" s="96">
        <v>0.0656418488929858</v>
      </c>
      <c r="AS939" s="80">
        <v>0</v>
      </c>
      <c r="AT939" s="80">
        <v>0</v>
      </c>
      <c r="AU939" s="80">
        <v>0</v>
      </c>
      <c r="AV939" s="80">
        <v>0</v>
      </c>
      <c r="AW939" s="36"/>
      <c r="AX939" s="34"/>
    </row>
    <row r="940" ht="14.5" spans="1:50">
      <c r="A940" s="32"/>
      <c r="B940" s="36"/>
      <c r="C940" s="115" t="s">
        <v>949</v>
      </c>
      <c r="D940" s="69" t="s">
        <v>23</v>
      </c>
      <c r="E940" s="118" t="s">
        <v>989</v>
      </c>
      <c r="F940" s="119" t="s">
        <v>989</v>
      </c>
      <c r="G940" s="119" t="s">
        <v>989</v>
      </c>
      <c r="H940" s="119" t="s">
        <v>989</v>
      </c>
      <c r="I940" s="71">
        <v>0.9</v>
      </c>
      <c r="J940" s="72">
        <v>0</v>
      </c>
      <c r="K940" s="72">
        <v>0</v>
      </c>
      <c r="L940" s="73">
        <v>0</v>
      </c>
      <c r="M940" s="72">
        <v>0</v>
      </c>
      <c r="N940" s="74">
        <v>0.9</v>
      </c>
      <c r="O940" s="72">
        <v>0</v>
      </c>
      <c r="P940" s="72">
        <v>0</v>
      </c>
      <c r="Q940" s="72">
        <v>0</v>
      </c>
      <c r="R940" s="72">
        <v>0</v>
      </c>
      <c r="S940" s="74">
        <v>0.9</v>
      </c>
      <c r="T940" s="72">
        <v>0</v>
      </c>
      <c r="U940" s="72">
        <v>0</v>
      </c>
      <c r="V940" s="72">
        <v>0</v>
      </c>
      <c r="W940" s="72">
        <v>0</v>
      </c>
      <c r="X940" s="74">
        <v>0.92</v>
      </c>
      <c r="Y940" s="74">
        <v>0</v>
      </c>
      <c r="Z940" s="74">
        <v>0</v>
      </c>
      <c r="AA940" s="74">
        <v>0</v>
      </c>
      <c r="AB940" s="74">
        <v>0</v>
      </c>
      <c r="AC940" s="74">
        <v>0.92</v>
      </c>
      <c r="AD940" s="72">
        <v>1</v>
      </c>
      <c r="AE940" s="72">
        <v>1</v>
      </c>
      <c r="AF940" s="72">
        <v>1</v>
      </c>
      <c r="AG940" s="72">
        <v>0.999455040871935</v>
      </c>
      <c r="AH940" s="74">
        <v>0.92</v>
      </c>
      <c r="AI940" s="72">
        <v>0</v>
      </c>
      <c r="AJ940" s="72">
        <v>0</v>
      </c>
      <c r="AK940" s="72">
        <v>0</v>
      </c>
      <c r="AL940" s="72">
        <v>0</v>
      </c>
      <c r="AM940" s="71">
        <v>0.99</v>
      </c>
      <c r="AN940" s="76">
        <v>1</v>
      </c>
      <c r="AO940" s="76">
        <v>1</v>
      </c>
      <c r="AP940" s="76">
        <v>1</v>
      </c>
      <c r="AQ940" s="76">
        <v>1</v>
      </c>
      <c r="AR940" s="96">
        <v>0.0656418488929858</v>
      </c>
      <c r="AS940" s="80">
        <v>0</v>
      </c>
      <c r="AT940" s="80">
        <v>0</v>
      </c>
      <c r="AU940" s="80">
        <v>0</v>
      </c>
      <c r="AV940" s="80">
        <v>0</v>
      </c>
      <c r="AW940" s="36"/>
      <c r="AX940" s="34"/>
    </row>
    <row r="941" ht="14.5" spans="1:50">
      <c r="A941" s="32"/>
      <c r="B941" s="36"/>
      <c r="C941" s="115" t="s">
        <v>949</v>
      </c>
      <c r="D941" s="69" t="s">
        <v>23</v>
      </c>
      <c r="E941" s="118" t="s">
        <v>990</v>
      </c>
      <c r="F941" s="119" t="s">
        <v>990</v>
      </c>
      <c r="G941" s="119" t="s">
        <v>990</v>
      </c>
      <c r="H941" s="119" t="s">
        <v>990</v>
      </c>
      <c r="I941" s="71">
        <v>0.9</v>
      </c>
      <c r="J941" s="72">
        <v>0.941176470588235</v>
      </c>
      <c r="K941" s="72">
        <v>0.842105263157895</v>
      </c>
      <c r="L941" s="73">
        <v>0.95</v>
      </c>
      <c r="M941" s="72">
        <v>0.92814371257485</v>
      </c>
      <c r="N941" s="74">
        <v>0.9</v>
      </c>
      <c r="O941" s="72">
        <v>0.951537258989057</v>
      </c>
      <c r="P941" s="72">
        <v>0.967084639498433</v>
      </c>
      <c r="Q941" s="72">
        <v>0.963492063492064</v>
      </c>
      <c r="R941" s="72">
        <v>0.959048272706475</v>
      </c>
      <c r="S941" s="74">
        <v>0.9</v>
      </c>
      <c r="T941" s="72">
        <v>0.911933298593017</v>
      </c>
      <c r="U941" s="72">
        <v>0.939393939393939</v>
      </c>
      <c r="V941" s="72">
        <v>0.927513227513228</v>
      </c>
      <c r="W941" s="72">
        <v>0.920670327156257</v>
      </c>
      <c r="X941" s="74">
        <v>0.92</v>
      </c>
      <c r="Y941" s="74">
        <v>0.924242424242424</v>
      </c>
      <c r="Z941" s="74">
        <v>0.957142857142857</v>
      </c>
      <c r="AA941" s="74">
        <v>0.962800875273523</v>
      </c>
      <c r="AB941" s="74">
        <v>0.954235361000568</v>
      </c>
      <c r="AC941" s="74">
        <v>0.92</v>
      </c>
      <c r="AD941" s="72">
        <v>0.99937106918239</v>
      </c>
      <c r="AE941" s="72">
        <v>0.998571614076094</v>
      </c>
      <c r="AF941" s="72">
        <v>0.99890844589985</v>
      </c>
      <c r="AG941" s="72">
        <v>0.993966532428071</v>
      </c>
      <c r="AH941" s="74">
        <v>0.92</v>
      </c>
      <c r="AI941" s="72">
        <v>0.953347732181425</v>
      </c>
      <c r="AJ941" s="72">
        <v>0.973564266180492</v>
      </c>
      <c r="AK941" s="72">
        <v>0.976991904559012</v>
      </c>
      <c r="AL941" s="72">
        <v>0.971865181376749</v>
      </c>
      <c r="AM941" s="71">
        <v>0.99</v>
      </c>
      <c r="AN941" s="76">
        <v>1</v>
      </c>
      <c r="AO941" s="76">
        <v>1</v>
      </c>
      <c r="AP941" s="76">
        <v>1</v>
      </c>
      <c r="AQ941" s="76">
        <v>1</v>
      </c>
      <c r="AR941" s="96">
        <v>0.0656418488929858</v>
      </c>
      <c r="AS941" s="80">
        <v>0</v>
      </c>
      <c r="AT941" s="80">
        <v>0.2</v>
      </c>
      <c r="AU941" s="80">
        <v>0</v>
      </c>
      <c r="AV941" s="80">
        <v>0.0357142857142857</v>
      </c>
      <c r="AW941" s="36"/>
      <c r="AX941" s="34"/>
    </row>
    <row r="942" ht="14.5" spans="1:50">
      <c r="A942" s="32"/>
      <c r="B942" s="36"/>
      <c r="C942" s="115" t="s">
        <v>949</v>
      </c>
      <c r="D942" s="69" t="s">
        <v>23</v>
      </c>
      <c r="E942" s="118" t="s">
        <v>991</v>
      </c>
      <c r="F942" s="119" t="s">
        <v>991</v>
      </c>
      <c r="G942" s="119" t="s">
        <v>991</v>
      </c>
      <c r="H942" s="119" t="s">
        <v>991</v>
      </c>
      <c r="I942" s="71">
        <v>0.9</v>
      </c>
      <c r="J942" s="72">
        <v>0.962962962962963</v>
      </c>
      <c r="K942" s="72">
        <v>1</v>
      </c>
      <c r="L942" s="73">
        <v>1</v>
      </c>
      <c r="M942" s="72">
        <v>0.98443579766537</v>
      </c>
      <c r="N942" s="74">
        <v>0.9</v>
      </c>
      <c r="O942" s="72">
        <v>0.80257639304973</v>
      </c>
      <c r="P942" s="72">
        <v>0.962987442167878</v>
      </c>
      <c r="Q942" s="72">
        <v>0.978071589809739</v>
      </c>
      <c r="R942" s="72">
        <v>0.925839271154596</v>
      </c>
      <c r="S942" s="74">
        <v>0.9</v>
      </c>
      <c r="T942" s="72">
        <v>0.819053325344518</v>
      </c>
      <c r="U942" s="72">
        <v>0.905816259087905</v>
      </c>
      <c r="V942" s="72">
        <v>0.917445985166075</v>
      </c>
      <c r="W942" s="72">
        <v>0.891807579141409</v>
      </c>
      <c r="X942" s="74">
        <v>0.92</v>
      </c>
      <c r="Y942" s="74">
        <v>0.923623445825932</v>
      </c>
      <c r="Z942" s="74">
        <v>0.946196660482375</v>
      </c>
      <c r="AA942" s="74">
        <v>0.947721179624665</v>
      </c>
      <c r="AB942" s="74">
        <v>0.945062967694835</v>
      </c>
      <c r="AC942" s="74">
        <v>0.92</v>
      </c>
      <c r="AD942" s="72">
        <v>0.999813398022019</v>
      </c>
      <c r="AE942" s="72">
        <v>0.999673735725938</v>
      </c>
      <c r="AF942" s="72">
        <v>0.999642154231526</v>
      </c>
      <c r="AG942" s="72">
        <v>0.998716103178617</v>
      </c>
      <c r="AH942" s="74">
        <v>0.92</v>
      </c>
      <c r="AI942" s="72">
        <v>0.950525506280441</v>
      </c>
      <c r="AJ942" s="72">
        <v>0.97531556802244</v>
      </c>
      <c r="AK942" s="72">
        <v>0.972446061866389</v>
      </c>
      <c r="AL942" s="72">
        <v>0.969960521238386</v>
      </c>
      <c r="AM942" s="71">
        <v>0.99</v>
      </c>
      <c r="AN942" s="76">
        <v>1</v>
      </c>
      <c r="AO942" s="76">
        <v>1</v>
      </c>
      <c r="AP942" s="76">
        <v>1</v>
      </c>
      <c r="AQ942" s="76">
        <v>1</v>
      </c>
      <c r="AR942" s="96">
        <v>0.0656418488929858</v>
      </c>
      <c r="AS942" s="80">
        <v>0</v>
      </c>
      <c r="AT942" s="80">
        <v>0.0625</v>
      </c>
      <c r="AU942" s="80">
        <v>0.0555555555555556</v>
      </c>
      <c r="AV942" s="80">
        <v>0.0364963503649635</v>
      </c>
      <c r="AW942" s="36"/>
      <c r="AX942" s="34"/>
    </row>
    <row r="943" ht="14.5" spans="1:50">
      <c r="A943" s="32"/>
      <c r="B943" s="36"/>
      <c r="C943" s="115" t="s">
        <v>949</v>
      </c>
      <c r="D943" s="69" t="s">
        <v>23</v>
      </c>
      <c r="E943" s="118" t="s">
        <v>992</v>
      </c>
      <c r="F943" s="119" t="s">
        <v>992</v>
      </c>
      <c r="G943" s="119" t="s">
        <v>992</v>
      </c>
      <c r="H943" s="119" t="s">
        <v>992</v>
      </c>
      <c r="I943" s="71">
        <v>0.9</v>
      </c>
      <c r="J943" s="72">
        <v>0.931818181818182</v>
      </c>
      <c r="K943" s="72">
        <v>1</v>
      </c>
      <c r="L943" s="73">
        <v>0.957446808510638</v>
      </c>
      <c r="M943" s="72">
        <v>0.955555555555556</v>
      </c>
      <c r="N943" s="74">
        <v>0.9</v>
      </c>
      <c r="O943" s="72">
        <v>0.913644214162349</v>
      </c>
      <c r="P943" s="72">
        <v>0.937451336620815</v>
      </c>
      <c r="Q943" s="72">
        <v>0.949006977992485</v>
      </c>
      <c r="R943" s="72">
        <v>0.928597949333105</v>
      </c>
      <c r="S943" s="74">
        <v>0.9</v>
      </c>
      <c r="T943" s="72">
        <v>0.861584011843079</v>
      </c>
      <c r="U943" s="72">
        <v>0.905009083830781</v>
      </c>
      <c r="V943" s="72">
        <v>0.922973698336017</v>
      </c>
      <c r="W943" s="72">
        <v>0.886385056978836</v>
      </c>
      <c r="X943" s="74">
        <v>0.92</v>
      </c>
      <c r="Y943" s="74">
        <v>0.658536585365854</v>
      </c>
      <c r="Z943" s="74">
        <v>0.846153846153846</v>
      </c>
      <c r="AA943" s="74">
        <v>0.910813823857302</v>
      </c>
      <c r="AB943" s="74">
        <v>0.833647844389607</v>
      </c>
      <c r="AC943" s="74">
        <v>0.92</v>
      </c>
      <c r="AD943" s="72">
        <v>0.998317631224764</v>
      </c>
      <c r="AE943" s="72">
        <v>0.998936547323644</v>
      </c>
      <c r="AF943" s="72">
        <v>0.997227356746765</v>
      </c>
      <c r="AG943" s="72">
        <v>0.997922312556459</v>
      </c>
      <c r="AH943" s="74">
        <v>0.92</v>
      </c>
      <c r="AI943" s="72">
        <v>0.895306859205776</v>
      </c>
      <c r="AJ943" s="72">
        <v>0.94203549764098</v>
      </c>
      <c r="AK943" s="72">
        <v>0.960856401384083</v>
      </c>
      <c r="AL943" s="72">
        <v>0.941281733155182</v>
      </c>
      <c r="AM943" s="71">
        <v>0.99</v>
      </c>
      <c r="AN943" s="76">
        <v>1</v>
      </c>
      <c r="AO943" s="76">
        <v>1</v>
      </c>
      <c r="AP943" s="76">
        <v>1</v>
      </c>
      <c r="AQ943" s="76">
        <v>1</v>
      </c>
      <c r="AR943" s="96">
        <v>0.0656418488929858</v>
      </c>
      <c r="AS943" s="80">
        <v>0</v>
      </c>
      <c r="AT943" s="80">
        <v>0.111111111111111</v>
      </c>
      <c r="AU943" s="80">
        <v>0.0476190476190476</v>
      </c>
      <c r="AV943" s="80">
        <v>0.0540540540540541</v>
      </c>
      <c r="AW943" s="36"/>
      <c r="AX943" s="34"/>
    </row>
    <row r="944" ht="14.5" spans="1:50">
      <c r="A944" s="32"/>
      <c r="B944" s="36"/>
      <c r="C944" s="115" t="s">
        <v>949</v>
      </c>
      <c r="D944" s="69" t="s">
        <v>23</v>
      </c>
      <c r="E944" s="118" t="s">
        <v>993</v>
      </c>
      <c r="F944" s="119" t="s">
        <v>993</v>
      </c>
      <c r="G944" s="119" t="s">
        <v>993</v>
      </c>
      <c r="H944" s="119" t="s">
        <v>993</v>
      </c>
      <c r="I944" s="71">
        <v>0.9</v>
      </c>
      <c r="J944" s="72">
        <v>0.833333333333333</v>
      </c>
      <c r="K944" s="72">
        <v>1</v>
      </c>
      <c r="L944" s="73">
        <v>0.954545454545455</v>
      </c>
      <c r="M944" s="72">
        <v>0.971590909090909</v>
      </c>
      <c r="N944" s="74">
        <v>0.9</v>
      </c>
      <c r="O944" s="72">
        <v>0.915237134207871</v>
      </c>
      <c r="P944" s="72">
        <v>0.92515923566879</v>
      </c>
      <c r="Q944" s="72">
        <v>0.959804454101032</v>
      </c>
      <c r="R944" s="72">
        <v>0.945323308270677</v>
      </c>
      <c r="S944" s="74">
        <v>0.9</v>
      </c>
      <c r="T944" s="72">
        <v>0.8970736629667</v>
      </c>
      <c r="U944" s="72">
        <v>0.908704883227176</v>
      </c>
      <c r="V944" s="72">
        <v>0.936990765888104</v>
      </c>
      <c r="W944" s="72">
        <v>0.923488721804511</v>
      </c>
      <c r="X944" s="74">
        <v>0.92</v>
      </c>
      <c r="Y944" s="74">
        <v>0.710914454277286</v>
      </c>
      <c r="Z944" s="74">
        <v>0.778481012658228</v>
      </c>
      <c r="AA944" s="74">
        <v>0.757211538461538</v>
      </c>
      <c r="AB944" s="74">
        <v>0.752869897959184</v>
      </c>
      <c r="AC944" s="74">
        <v>0.92</v>
      </c>
      <c r="AD944" s="72">
        <v>0.999405469678954</v>
      </c>
      <c r="AE944" s="72">
        <v>0.995740653099858</v>
      </c>
      <c r="AF944" s="72">
        <v>0.999435665914221</v>
      </c>
      <c r="AG944" s="72">
        <v>0.998792548298068</v>
      </c>
      <c r="AH944" s="74">
        <v>0.92</v>
      </c>
      <c r="AI944" s="72">
        <v>0.919431279620853</v>
      </c>
      <c r="AJ944" s="72">
        <v>0.945024988641527</v>
      </c>
      <c r="AK944" s="72">
        <v>0.940186087727071</v>
      </c>
      <c r="AL944" s="72">
        <v>0.93725966403562</v>
      </c>
      <c r="AM944" s="71">
        <v>0.99</v>
      </c>
      <c r="AN944" s="76">
        <v>1</v>
      </c>
      <c r="AO944" s="76">
        <v>1</v>
      </c>
      <c r="AP944" s="76">
        <v>1</v>
      </c>
      <c r="AQ944" s="76">
        <v>1</v>
      </c>
      <c r="AR944" s="96">
        <v>0.0656418488929858</v>
      </c>
      <c r="AS944" s="80">
        <v>0</v>
      </c>
      <c r="AT944" s="80">
        <v>0</v>
      </c>
      <c r="AU944" s="80">
        <v>0</v>
      </c>
      <c r="AV944" s="80">
        <v>0.0153846153846154</v>
      </c>
      <c r="AW944" s="36"/>
      <c r="AX944" s="34"/>
    </row>
    <row r="945" ht="14.5" spans="1:50">
      <c r="A945" s="32"/>
      <c r="B945" s="36"/>
      <c r="C945" s="115" t="s">
        <v>949</v>
      </c>
      <c r="D945" s="69" t="s">
        <v>23</v>
      </c>
      <c r="E945" s="118" t="s">
        <v>994</v>
      </c>
      <c r="F945" s="119" t="s">
        <v>994</v>
      </c>
      <c r="G945" s="119" t="s">
        <v>994</v>
      </c>
      <c r="H945" s="119" t="s">
        <v>994</v>
      </c>
      <c r="I945" s="71">
        <v>0.9</v>
      </c>
      <c r="J945" s="72">
        <v>0.942857142857143</v>
      </c>
      <c r="K945" s="72">
        <v>0.891891891891892</v>
      </c>
      <c r="L945" s="73">
        <v>0.894736842105263</v>
      </c>
      <c r="M945" s="72">
        <v>0.890909090909091</v>
      </c>
      <c r="N945" s="74">
        <v>0.9</v>
      </c>
      <c r="O945" s="72">
        <v>0.932425862907146</v>
      </c>
      <c r="P945" s="72">
        <v>0.958156629912355</v>
      </c>
      <c r="Q945" s="72">
        <v>0.954707658523195</v>
      </c>
      <c r="R945" s="72">
        <v>0.94714832280452</v>
      </c>
      <c r="S945" s="74">
        <v>0.9</v>
      </c>
      <c r="T945" s="72">
        <v>0.893777345649003</v>
      </c>
      <c r="U945" s="72">
        <v>0.912637828668363</v>
      </c>
      <c r="V945" s="72">
        <v>0.937688718089487</v>
      </c>
      <c r="W945" s="72">
        <v>0.920663166948424</v>
      </c>
      <c r="X945" s="74">
        <v>0.92</v>
      </c>
      <c r="Y945" s="74">
        <v>0.813295615275813</v>
      </c>
      <c r="Z945" s="74">
        <v>0.792703150912106</v>
      </c>
      <c r="AA945" s="74">
        <v>0.851380042462845</v>
      </c>
      <c r="AB945" s="74">
        <v>0.842316602316602</v>
      </c>
      <c r="AC945" s="74">
        <v>0.92</v>
      </c>
      <c r="AD945" s="72">
        <v>0.999517258025585</v>
      </c>
      <c r="AE945" s="72">
        <v>0.999405822935235</v>
      </c>
      <c r="AF945" s="72">
        <v>0.999175767566454</v>
      </c>
      <c r="AG945" s="72">
        <v>0.998946050984784</v>
      </c>
      <c r="AH945" s="74">
        <v>0.92</v>
      </c>
      <c r="AI945" s="72">
        <v>0.919726197884256</v>
      </c>
      <c r="AJ945" s="72">
        <v>0.9379526798648</v>
      </c>
      <c r="AK945" s="72">
        <v>0.951820361892304</v>
      </c>
      <c r="AL945" s="72">
        <v>0.948458993557374</v>
      </c>
      <c r="AM945" s="71">
        <v>0.99</v>
      </c>
      <c r="AN945" s="76">
        <v>1</v>
      </c>
      <c r="AO945" s="76">
        <v>1</v>
      </c>
      <c r="AP945" s="76">
        <v>1</v>
      </c>
      <c r="AQ945" s="76">
        <v>1</v>
      </c>
      <c r="AR945" s="96">
        <v>0.0656418488929858</v>
      </c>
      <c r="AS945" s="80">
        <v>0.05</v>
      </c>
      <c r="AT945" s="80">
        <v>0</v>
      </c>
      <c r="AU945" s="80">
        <v>0</v>
      </c>
      <c r="AV945" s="80">
        <v>0.0588235294117647</v>
      </c>
      <c r="AW945" s="36"/>
      <c r="AX945" s="34"/>
    </row>
    <row r="946" ht="14.5" spans="1:50">
      <c r="A946" s="32"/>
      <c r="B946" s="36"/>
      <c r="C946" s="115" t="s">
        <v>949</v>
      </c>
      <c r="D946" s="69" t="s">
        <v>23</v>
      </c>
      <c r="E946" s="118" t="s">
        <v>995</v>
      </c>
      <c r="F946" s="119" t="s">
        <v>995</v>
      </c>
      <c r="G946" s="119" t="s">
        <v>995</v>
      </c>
      <c r="H946" s="119" t="s">
        <v>995</v>
      </c>
      <c r="I946" s="71">
        <v>0.9</v>
      </c>
      <c r="J946" s="72">
        <v>1</v>
      </c>
      <c r="K946" s="72">
        <v>0.958333333333333</v>
      </c>
      <c r="L946" s="73">
        <v>1</v>
      </c>
      <c r="M946" s="72">
        <v>0.991150442477876</v>
      </c>
      <c r="N946" s="74">
        <v>0.9</v>
      </c>
      <c r="O946" s="72">
        <v>0.976867151354924</v>
      </c>
      <c r="P946" s="72">
        <v>0.983695652173913</v>
      </c>
      <c r="Q946" s="72">
        <v>0.984934086629002</v>
      </c>
      <c r="R946" s="72">
        <v>0.98212979010206</v>
      </c>
      <c r="S946" s="74">
        <v>0.9</v>
      </c>
      <c r="T946" s="72">
        <v>0.944811632518176</v>
      </c>
      <c r="U946" s="72">
        <v>0.952536231884058</v>
      </c>
      <c r="V946" s="72">
        <v>0.95894538606403</v>
      </c>
      <c r="W946" s="72">
        <v>0.958174465626805</v>
      </c>
      <c r="X946" s="74">
        <v>0.92</v>
      </c>
      <c r="Y946" s="74">
        <v>0.970749542961609</v>
      </c>
      <c r="Z946" s="74">
        <v>0.979007633587786</v>
      </c>
      <c r="AA946" s="74">
        <v>0.985294117647059</v>
      </c>
      <c r="AB946" s="74">
        <v>0.979080286468149</v>
      </c>
      <c r="AC946" s="74">
        <v>0.92</v>
      </c>
      <c r="AD946" s="72">
        <v>0.997783933518006</v>
      </c>
      <c r="AE946" s="72">
        <v>0.987898503578399</v>
      </c>
      <c r="AF946" s="72">
        <v>0.993040340250032</v>
      </c>
      <c r="AG946" s="72">
        <v>0.98703094747841</v>
      </c>
      <c r="AH946" s="74">
        <v>0.92</v>
      </c>
      <c r="AI946" s="72">
        <v>0.976796197931227</v>
      </c>
      <c r="AJ946" s="72">
        <v>0.988131466828971</v>
      </c>
      <c r="AK946" s="72">
        <v>0.991779213153259</v>
      </c>
      <c r="AL946" s="72">
        <v>0.98801304181051</v>
      </c>
      <c r="AM946" s="71">
        <v>0.99</v>
      </c>
      <c r="AN946" s="76">
        <v>1</v>
      </c>
      <c r="AO946" s="76">
        <v>1</v>
      </c>
      <c r="AP946" s="76">
        <v>1</v>
      </c>
      <c r="AQ946" s="76">
        <v>1</v>
      </c>
      <c r="AR946" s="96">
        <v>0.0656418488929858</v>
      </c>
      <c r="AS946" s="80">
        <v>0.0833333333333333</v>
      </c>
      <c r="AT946" s="80">
        <v>0</v>
      </c>
      <c r="AU946" s="80">
        <v>0.037037037037037</v>
      </c>
      <c r="AV946" s="80">
        <v>0.0285714285714286</v>
      </c>
      <c r="AW946" s="36"/>
      <c r="AX946" s="34"/>
    </row>
    <row r="947" ht="14.5" spans="1:50">
      <c r="A947" s="32"/>
      <c r="B947" s="36"/>
      <c r="C947" s="115" t="s">
        <v>949</v>
      </c>
      <c r="D947" s="69" t="s">
        <v>23</v>
      </c>
      <c r="E947" s="118" t="s">
        <v>996</v>
      </c>
      <c r="F947" s="119" t="s">
        <v>996</v>
      </c>
      <c r="G947" s="119" t="s">
        <v>996</v>
      </c>
      <c r="H947" s="119" t="s">
        <v>996</v>
      </c>
      <c r="I947" s="71">
        <v>0.9</v>
      </c>
      <c r="J947" s="72">
        <v>1</v>
      </c>
      <c r="K947" s="72">
        <v>1</v>
      </c>
      <c r="L947" s="73">
        <v>0.931034482758621</v>
      </c>
      <c r="M947" s="72">
        <v>0.919117647058823</v>
      </c>
      <c r="N947" s="74">
        <v>0.9</v>
      </c>
      <c r="O947" s="72">
        <v>0.945750452079566</v>
      </c>
      <c r="P947" s="72">
        <v>0.955708285605193</v>
      </c>
      <c r="Q947" s="72">
        <v>0.964876033057851</v>
      </c>
      <c r="R947" s="72">
        <v>0.919823826220816</v>
      </c>
      <c r="S947" s="74">
        <v>0.9</v>
      </c>
      <c r="T947" s="72">
        <v>0.911030741410488</v>
      </c>
      <c r="U947" s="72">
        <v>0.945399007254677</v>
      </c>
      <c r="V947" s="72">
        <v>0.948347107438017</v>
      </c>
      <c r="W947" s="72">
        <v>0.901522278286154</v>
      </c>
      <c r="X947" s="74">
        <v>0.92</v>
      </c>
      <c r="Y947" s="74">
        <v>0.846315789473684</v>
      </c>
      <c r="Z947" s="74">
        <v>0.889447236180904</v>
      </c>
      <c r="AA947" s="74">
        <v>0.911433172302738</v>
      </c>
      <c r="AB947" s="74">
        <v>0.842723004694836</v>
      </c>
      <c r="AC947" s="74">
        <v>0.92</v>
      </c>
      <c r="AD947" s="72">
        <v>1</v>
      </c>
      <c r="AE947" s="72">
        <v>0.991755577109602</v>
      </c>
      <c r="AF947" s="72">
        <v>1</v>
      </c>
      <c r="AG947" s="72">
        <v>0.996536996421563</v>
      </c>
      <c r="AH947" s="74">
        <v>0.92</v>
      </c>
      <c r="AI947" s="72">
        <v>0.948765432098765</v>
      </c>
      <c r="AJ947" s="72">
        <v>0.969174676831289</v>
      </c>
      <c r="AK947" s="72">
        <v>0.966129562643867</v>
      </c>
      <c r="AL947" s="72">
        <v>0.94589106971111</v>
      </c>
      <c r="AM947" s="71">
        <v>0.99</v>
      </c>
      <c r="AN947" s="76">
        <v>1</v>
      </c>
      <c r="AO947" s="76">
        <v>1</v>
      </c>
      <c r="AP947" s="76">
        <v>1</v>
      </c>
      <c r="AQ947" s="76">
        <v>1</v>
      </c>
      <c r="AR947" s="96">
        <v>0.0656418488929858</v>
      </c>
      <c r="AS947" s="80">
        <v>0</v>
      </c>
      <c r="AT947" s="80">
        <v>0</v>
      </c>
      <c r="AU947" s="80">
        <v>0</v>
      </c>
      <c r="AV947" s="80">
        <v>0.0333333333333333</v>
      </c>
      <c r="AW947" s="36"/>
      <c r="AX947" s="34"/>
    </row>
    <row r="948" ht="14.5" spans="1:50">
      <c r="A948" s="32"/>
      <c r="B948" s="36"/>
      <c r="C948" s="115" t="s">
        <v>949</v>
      </c>
      <c r="D948" s="69" t="s">
        <v>23</v>
      </c>
      <c r="E948" s="118" t="s">
        <v>997</v>
      </c>
      <c r="F948" s="119" t="s">
        <v>997</v>
      </c>
      <c r="G948" s="119" t="s">
        <v>997</v>
      </c>
      <c r="H948" s="119" t="s">
        <v>997</v>
      </c>
      <c r="I948" s="71">
        <v>0.9</v>
      </c>
      <c r="J948" s="72">
        <v>0.961538461538462</v>
      </c>
      <c r="K948" s="72">
        <v>0.708333333333333</v>
      </c>
      <c r="L948" s="73">
        <v>0.931034482758621</v>
      </c>
      <c r="M948" s="72">
        <v>0.843220338983051</v>
      </c>
      <c r="N948" s="74">
        <v>0.9</v>
      </c>
      <c r="O948" s="72">
        <v>0.944548620412537</v>
      </c>
      <c r="P948" s="72">
        <v>0.953612845673506</v>
      </c>
      <c r="Q948" s="72">
        <v>0.960410557184751</v>
      </c>
      <c r="R948" s="72">
        <v>0.923723761413197</v>
      </c>
      <c r="S948" s="74">
        <v>0.9</v>
      </c>
      <c r="T948" s="72">
        <v>0.874899544602197</v>
      </c>
      <c r="U948" s="72">
        <v>0.859946476360392</v>
      </c>
      <c r="V948" s="72">
        <v>0.91524926686217</v>
      </c>
      <c r="W948" s="72">
        <v>0.889272379278968</v>
      </c>
      <c r="X948" s="74">
        <v>0.92</v>
      </c>
      <c r="Y948" s="74">
        <v>0.895125553914328</v>
      </c>
      <c r="Z948" s="74">
        <v>0.910554561717352</v>
      </c>
      <c r="AA948" s="74">
        <v>0.91675560298826</v>
      </c>
      <c r="AB948" s="74">
        <v>0.91123439667129</v>
      </c>
      <c r="AC948" s="74">
        <v>0.92</v>
      </c>
      <c r="AD948" s="72">
        <v>0.998317105421325</v>
      </c>
      <c r="AE948" s="72">
        <v>0.990746252502841</v>
      </c>
      <c r="AF948" s="72">
        <v>0.976992604765818</v>
      </c>
      <c r="AG948" s="72">
        <v>0.992226354865832</v>
      </c>
      <c r="AH948" s="74">
        <v>0.92</v>
      </c>
      <c r="AI948" s="72">
        <v>0.931972789115646</v>
      </c>
      <c r="AJ948" s="72">
        <v>0.939857288481142</v>
      </c>
      <c r="AK948" s="72">
        <v>0.953071083505866</v>
      </c>
      <c r="AL948" s="72">
        <v>0.951234133500143</v>
      </c>
      <c r="AM948" s="71">
        <v>0.99</v>
      </c>
      <c r="AN948" s="76">
        <v>1</v>
      </c>
      <c r="AO948" s="76">
        <v>1</v>
      </c>
      <c r="AP948" s="76">
        <v>1</v>
      </c>
      <c r="AQ948" s="76">
        <v>1</v>
      </c>
      <c r="AR948" s="96">
        <v>0.0656418488929858</v>
      </c>
      <c r="AS948" s="80">
        <v>0.2</v>
      </c>
      <c r="AT948" s="80">
        <v>0.08</v>
      </c>
      <c r="AU948" s="80">
        <v>0.263157894736842</v>
      </c>
      <c r="AV948" s="80">
        <v>0.0846560846560847</v>
      </c>
      <c r="AW948" s="36"/>
      <c r="AX948" s="34"/>
    </row>
    <row r="949" ht="14.5" spans="1:50">
      <c r="A949" s="32"/>
      <c r="B949" s="36"/>
      <c r="C949" s="115" t="s">
        <v>949</v>
      </c>
      <c r="D949" s="69" t="s">
        <v>23</v>
      </c>
      <c r="E949" s="118" t="s">
        <v>998</v>
      </c>
      <c r="F949" s="119" t="s">
        <v>998</v>
      </c>
      <c r="G949" s="119" t="s">
        <v>998</v>
      </c>
      <c r="H949" s="119" t="s">
        <v>998</v>
      </c>
      <c r="I949" s="71">
        <v>0.9</v>
      </c>
      <c r="J949" s="72">
        <v>1</v>
      </c>
      <c r="K949" s="72">
        <v>0.833333333333333</v>
      </c>
      <c r="L949" s="73">
        <v>0.833333333333333</v>
      </c>
      <c r="M949" s="72">
        <v>0.922413793103448</v>
      </c>
      <c r="N949" s="74">
        <v>0.9</v>
      </c>
      <c r="O949" s="72">
        <v>0.935990338164251</v>
      </c>
      <c r="P949" s="72">
        <v>0.942931258106355</v>
      </c>
      <c r="Q949" s="72">
        <v>0.945186226282502</v>
      </c>
      <c r="R949" s="72">
        <v>0.947345859827106</v>
      </c>
      <c r="S949" s="74">
        <v>0.9</v>
      </c>
      <c r="T949" s="72">
        <v>0.906400966183575</v>
      </c>
      <c r="U949" s="72">
        <v>0.918287937743191</v>
      </c>
      <c r="V949" s="72">
        <v>0.921995783555868</v>
      </c>
      <c r="W949" s="72">
        <v>0.921483174966064</v>
      </c>
      <c r="X949" s="74">
        <v>0.92</v>
      </c>
      <c r="Y949" s="74">
        <v>0.847583643122677</v>
      </c>
      <c r="Z949" s="74">
        <v>0.890845070422535</v>
      </c>
      <c r="AA949" s="74">
        <v>0.95</v>
      </c>
      <c r="AB949" s="74">
        <v>0.918672501823486</v>
      </c>
      <c r="AC949" s="74">
        <v>0.92</v>
      </c>
      <c r="AD949" s="72">
        <v>0.992857142857143</v>
      </c>
      <c r="AE949" s="72">
        <v>0.93010752688172</v>
      </c>
      <c r="AF949" s="72">
        <v>0.876262626262626</v>
      </c>
      <c r="AG949" s="72">
        <v>0.909993593850096</v>
      </c>
      <c r="AH949" s="74">
        <v>0.92</v>
      </c>
      <c r="AI949" s="72">
        <v>0.953246753246753</v>
      </c>
      <c r="AJ949" s="72">
        <v>0.955640744797371</v>
      </c>
      <c r="AK949" s="72">
        <v>0.966167498613422</v>
      </c>
      <c r="AL949" s="72">
        <v>0.960093195531394</v>
      </c>
      <c r="AM949" s="71">
        <v>0.99</v>
      </c>
      <c r="AN949" s="76">
        <v>1</v>
      </c>
      <c r="AO949" s="76">
        <v>1</v>
      </c>
      <c r="AP949" s="76">
        <v>1</v>
      </c>
      <c r="AQ949" s="76">
        <v>1</v>
      </c>
      <c r="AR949" s="96">
        <v>0.0656418488929858</v>
      </c>
      <c r="AS949" s="80">
        <v>0</v>
      </c>
      <c r="AT949" s="80">
        <v>0.25</v>
      </c>
      <c r="AU949" s="80">
        <v>0</v>
      </c>
      <c r="AV949" s="80">
        <v>0.0625</v>
      </c>
      <c r="AW949" s="36"/>
      <c r="AX949" s="34"/>
    </row>
    <row r="950" ht="14.5" spans="1:50">
      <c r="A950" s="32"/>
      <c r="B950" s="36"/>
      <c r="C950" s="115" t="s">
        <v>949</v>
      </c>
      <c r="D950" s="69" t="s">
        <v>23</v>
      </c>
      <c r="E950" s="118" t="s">
        <v>999</v>
      </c>
      <c r="F950" s="119" t="s">
        <v>999</v>
      </c>
      <c r="G950" s="119" t="s">
        <v>999</v>
      </c>
      <c r="H950" s="119" t="s">
        <v>999</v>
      </c>
      <c r="I950" s="71">
        <v>0.9</v>
      </c>
      <c r="J950" s="72">
        <v>0.95</v>
      </c>
      <c r="K950" s="72">
        <v>1</v>
      </c>
      <c r="L950" s="73">
        <v>0.894736842105263</v>
      </c>
      <c r="M950" s="72">
        <v>0.936046511627907</v>
      </c>
      <c r="N950" s="74">
        <v>0.9</v>
      </c>
      <c r="O950" s="72">
        <v>0.96906718221363</v>
      </c>
      <c r="P950" s="72">
        <v>0.981710597095212</v>
      </c>
      <c r="Q950" s="72">
        <v>0.981818181818182</v>
      </c>
      <c r="R950" s="72">
        <v>0.952615878843506</v>
      </c>
      <c r="S950" s="74">
        <v>0.9</v>
      </c>
      <c r="T950" s="72">
        <v>0.915418076365394</v>
      </c>
      <c r="U950" s="72">
        <v>0.948897256589564</v>
      </c>
      <c r="V950" s="72">
        <v>0.949862258953168</v>
      </c>
      <c r="W950" s="72">
        <v>0.928923818265259</v>
      </c>
      <c r="X950" s="74">
        <v>0.92</v>
      </c>
      <c r="Y950" s="74">
        <v>0.964285714285714</v>
      </c>
      <c r="Z950" s="74">
        <v>0.945454545454545</v>
      </c>
      <c r="AA950" s="74">
        <v>0.97843137254902</v>
      </c>
      <c r="AB950" s="74">
        <v>0.966240130683365</v>
      </c>
      <c r="AC950" s="74">
        <v>0.92</v>
      </c>
      <c r="AD950" s="72">
        <v>0.998513674197384</v>
      </c>
      <c r="AE950" s="72">
        <v>0.995427365459022</v>
      </c>
      <c r="AF950" s="72">
        <v>0.998462889767238</v>
      </c>
      <c r="AG950" s="72">
        <v>0.997801444764869</v>
      </c>
      <c r="AH950" s="74">
        <v>0.92</v>
      </c>
      <c r="AI950" s="72">
        <v>0.975639464068209</v>
      </c>
      <c r="AJ950" s="72">
        <v>0.979908675799087</v>
      </c>
      <c r="AK950" s="72">
        <v>0.986666666666667</v>
      </c>
      <c r="AL950" s="72">
        <v>0.982139473185522</v>
      </c>
      <c r="AM950" s="71">
        <v>0.99</v>
      </c>
      <c r="AN950" s="76">
        <v>1</v>
      </c>
      <c r="AO950" s="76">
        <v>1</v>
      </c>
      <c r="AP950" s="76">
        <v>1</v>
      </c>
      <c r="AQ950" s="76">
        <v>1</v>
      </c>
      <c r="AR950" s="96">
        <v>0.0656418488929858</v>
      </c>
      <c r="AS950" s="80">
        <v>0</v>
      </c>
      <c r="AT950" s="80">
        <v>0</v>
      </c>
      <c r="AU950" s="80">
        <v>0.0833333333333333</v>
      </c>
      <c r="AV950" s="80">
        <v>0.0476190476190476</v>
      </c>
      <c r="AW950" s="36"/>
      <c r="AX950" s="34"/>
    </row>
    <row r="951" ht="14.5" spans="1:50">
      <c r="A951" s="32"/>
      <c r="B951" s="36"/>
      <c r="C951" s="115" t="s">
        <v>949</v>
      </c>
      <c r="D951" s="69" t="s">
        <v>23</v>
      </c>
      <c r="E951" s="118" t="s">
        <v>1000</v>
      </c>
      <c r="F951" s="119" t="s">
        <v>1000</v>
      </c>
      <c r="G951" s="119" t="s">
        <v>1000</v>
      </c>
      <c r="H951" s="119" t="s">
        <v>1000</v>
      </c>
      <c r="I951" s="71">
        <v>0.9</v>
      </c>
      <c r="J951" s="72">
        <v>1</v>
      </c>
      <c r="K951" s="72">
        <v>1</v>
      </c>
      <c r="L951" s="73">
        <v>0.972972972972973</v>
      </c>
      <c r="M951" s="72">
        <v>0.948948948948949</v>
      </c>
      <c r="N951" s="74">
        <v>0.9</v>
      </c>
      <c r="O951" s="72">
        <v>0.905211480362538</v>
      </c>
      <c r="P951" s="72">
        <v>0.920951976200595</v>
      </c>
      <c r="Q951" s="72">
        <v>0.922480620155039</v>
      </c>
      <c r="R951" s="72">
        <v>0.900848239792555</v>
      </c>
      <c r="S951" s="74">
        <v>0.9</v>
      </c>
      <c r="T951" s="72">
        <v>0.905589123867069</v>
      </c>
      <c r="U951" s="72">
        <v>0.916277093072673</v>
      </c>
      <c r="V951" s="72">
        <v>0.905919661733615</v>
      </c>
      <c r="W951" s="72">
        <v>0.900936140289193</v>
      </c>
      <c r="X951" s="74">
        <v>0.92</v>
      </c>
      <c r="Y951" s="74">
        <v>0.776091081593928</v>
      </c>
      <c r="Z951" s="74">
        <v>0.85</v>
      </c>
      <c r="AA951" s="74">
        <v>0.679276315789474</v>
      </c>
      <c r="AB951" s="74">
        <v>0.716526610644258</v>
      </c>
      <c r="AC951" s="74">
        <v>0.92</v>
      </c>
      <c r="AD951" s="72">
        <v>0.997658079625293</v>
      </c>
      <c r="AE951" s="72">
        <v>0.990280777537797</v>
      </c>
      <c r="AF951" s="72">
        <v>0.989955357142857</v>
      </c>
      <c r="AG951" s="72">
        <v>0.989849578084872</v>
      </c>
      <c r="AH951" s="74">
        <v>0.92</v>
      </c>
      <c r="AI951" s="72">
        <v>0.908060453400504</v>
      </c>
      <c r="AJ951" s="72">
        <v>0.939011566771819</v>
      </c>
      <c r="AK951" s="72">
        <v>0.910911201392919</v>
      </c>
      <c r="AL951" s="72">
        <v>0.904805947849596</v>
      </c>
      <c r="AM951" s="71">
        <v>0.99</v>
      </c>
      <c r="AN951" s="76">
        <v>1</v>
      </c>
      <c r="AO951" s="76">
        <v>1</v>
      </c>
      <c r="AP951" s="76">
        <v>1</v>
      </c>
      <c r="AQ951" s="76">
        <v>1</v>
      </c>
      <c r="AR951" s="96">
        <v>0.0656418488929858</v>
      </c>
      <c r="AS951" s="80">
        <v>0</v>
      </c>
      <c r="AT951" s="80">
        <v>0</v>
      </c>
      <c r="AU951" s="80">
        <v>0.125</v>
      </c>
      <c r="AV951" s="80">
        <v>0.0388349514563107</v>
      </c>
      <c r="AW951" s="36"/>
      <c r="AX951" s="34"/>
    </row>
    <row r="952" ht="14.5" spans="1:50">
      <c r="A952" s="32"/>
      <c r="B952" s="36"/>
      <c r="C952" s="115" t="s">
        <v>949</v>
      </c>
      <c r="D952" s="69" t="s">
        <v>23</v>
      </c>
      <c r="E952" s="124" t="s">
        <v>1001</v>
      </c>
      <c r="F952" s="125" t="s">
        <v>1001</v>
      </c>
      <c r="G952" s="125" t="s">
        <v>1001</v>
      </c>
      <c r="H952" s="125" t="s">
        <v>1001</v>
      </c>
      <c r="I952" s="71">
        <v>0.9</v>
      </c>
      <c r="J952" s="72">
        <v>0.9375</v>
      </c>
      <c r="K952" s="72">
        <v>0.8125</v>
      </c>
      <c r="L952" s="73">
        <v>0.894736842105263</v>
      </c>
      <c r="M952" s="72">
        <v>0.904458598726115</v>
      </c>
      <c r="N952" s="74">
        <v>0.9</v>
      </c>
      <c r="O952" s="72">
        <v>0.911547911547912</v>
      </c>
      <c r="P952" s="72">
        <v>0.840684660961159</v>
      </c>
      <c r="Q952" s="72">
        <v>0.973419964559953</v>
      </c>
      <c r="R952" s="72">
        <v>0.88324370223606</v>
      </c>
      <c r="S952" s="74">
        <v>0.9</v>
      </c>
      <c r="T952" s="72">
        <v>0.83046683046683</v>
      </c>
      <c r="U952" s="72">
        <v>0.795918367346939</v>
      </c>
      <c r="V952" s="72">
        <v>0.885410513880685</v>
      </c>
      <c r="W952" s="72">
        <v>0.796914803283329</v>
      </c>
      <c r="X952" s="74">
        <v>0.92</v>
      </c>
      <c r="Y952" s="74">
        <v>0</v>
      </c>
      <c r="Z952" s="74">
        <v>0</v>
      </c>
      <c r="AA952" s="74">
        <v>0</v>
      </c>
      <c r="AB952" s="74">
        <v>0</v>
      </c>
      <c r="AC952" s="74">
        <v>0.92</v>
      </c>
      <c r="AD952" s="72">
        <v>1</v>
      </c>
      <c r="AE952" s="72">
        <v>0.961904761904762</v>
      </c>
      <c r="AF952" s="72">
        <v>0.99390243902439</v>
      </c>
      <c r="AG952" s="72">
        <v>0.981075697211155</v>
      </c>
      <c r="AH952" s="74">
        <v>0.92</v>
      </c>
      <c r="AI952" s="72">
        <v>0.887185775597793</v>
      </c>
      <c r="AJ952" s="72">
        <v>0.827744904667982</v>
      </c>
      <c r="AK952" s="72">
        <v>0.945100354191263</v>
      </c>
      <c r="AL952" s="72">
        <v>0.873877695298692</v>
      </c>
      <c r="AM952" s="71">
        <v>0.99</v>
      </c>
      <c r="AN952" s="76">
        <v>1</v>
      </c>
      <c r="AO952" s="76">
        <v>0</v>
      </c>
      <c r="AP952" s="76">
        <v>1</v>
      </c>
      <c r="AQ952" s="76">
        <v>1</v>
      </c>
      <c r="AR952" s="96">
        <v>0.0656418488929858</v>
      </c>
      <c r="AS952" s="80">
        <v>0</v>
      </c>
      <c r="AT952" s="80">
        <v>0</v>
      </c>
      <c r="AU952" s="80">
        <v>0</v>
      </c>
      <c r="AV952" s="80">
        <v>0.1</v>
      </c>
      <c r="AW952" s="36"/>
      <c r="AX952" s="34"/>
    </row>
    <row r="953" ht="14.5" spans="1:50">
      <c r="A953" s="32"/>
      <c r="B953" s="36"/>
      <c r="C953" s="115" t="s">
        <v>949</v>
      </c>
      <c r="D953" s="69" t="s">
        <v>23</v>
      </c>
      <c r="E953" s="118" t="s">
        <v>1002</v>
      </c>
      <c r="F953" s="119" t="s">
        <v>1002</v>
      </c>
      <c r="G953" s="119" t="s">
        <v>1002</v>
      </c>
      <c r="H953" s="119" t="s">
        <v>1002</v>
      </c>
      <c r="I953" s="71">
        <v>0.9</v>
      </c>
      <c r="J953" s="72">
        <v>0.916666666666667</v>
      </c>
      <c r="K953" s="72">
        <v>0.958333333333333</v>
      </c>
      <c r="L953" s="73">
        <v>1</v>
      </c>
      <c r="M953" s="72">
        <v>0.952173913043478</v>
      </c>
      <c r="N953" s="74">
        <v>0.9</v>
      </c>
      <c r="O953" s="72">
        <v>0.965002134016218</v>
      </c>
      <c r="P953" s="72">
        <v>0.978876620259241</v>
      </c>
      <c r="Q953" s="72">
        <v>0.983050847457627</v>
      </c>
      <c r="R953" s="72">
        <v>0.975115823661461</v>
      </c>
      <c r="S953" s="74">
        <v>0.9</v>
      </c>
      <c r="T953" s="72">
        <v>0.898847631241997</v>
      </c>
      <c r="U953" s="72">
        <v>0.895823331733077</v>
      </c>
      <c r="V953" s="72">
        <v>0.894838212634823</v>
      </c>
      <c r="W953" s="72">
        <v>0.909490375889573</v>
      </c>
      <c r="X953" s="74">
        <v>0.92</v>
      </c>
      <c r="Y953" s="74">
        <v>0</v>
      </c>
      <c r="Z953" s="74">
        <v>0</v>
      </c>
      <c r="AA953" s="74">
        <v>0</v>
      </c>
      <c r="AB953" s="74">
        <v>0</v>
      </c>
      <c r="AC953" s="74">
        <v>0.92</v>
      </c>
      <c r="AD953" s="72">
        <v>0.994955863808323</v>
      </c>
      <c r="AE953" s="72">
        <v>0.979005524861878</v>
      </c>
      <c r="AF953" s="72">
        <v>0.9880810488677</v>
      </c>
      <c r="AG953" s="72">
        <v>0.988227927363807</v>
      </c>
      <c r="AH953" s="74">
        <v>0.92</v>
      </c>
      <c r="AI953" s="72">
        <v>0.952198036705079</v>
      </c>
      <c r="AJ953" s="72">
        <v>0.964954392702832</v>
      </c>
      <c r="AK953" s="72">
        <v>0.971109399075501</v>
      </c>
      <c r="AL953" s="72">
        <v>0.966712832513492</v>
      </c>
      <c r="AM953" s="71">
        <v>0.99</v>
      </c>
      <c r="AN953" s="76">
        <v>1</v>
      </c>
      <c r="AO953" s="76">
        <v>1</v>
      </c>
      <c r="AP953" s="76">
        <v>1</v>
      </c>
      <c r="AQ953" s="76">
        <v>1</v>
      </c>
      <c r="AR953" s="96">
        <v>0.0656418488929858</v>
      </c>
      <c r="AS953" s="80">
        <v>0.125</v>
      </c>
      <c r="AT953" s="80">
        <v>0.0833333333333333</v>
      </c>
      <c r="AU953" s="80">
        <v>0</v>
      </c>
      <c r="AV953" s="80">
        <v>0.0510204081632653</v>
      </c>
      <c r="AW953" s="36"/>
      <c r="AX953" s="34"/>
    </row>
    <row r="954" ht="14.5" spans="1:50">
      <c r="A954" s="32"/>
      <c r="B954" s="36"/>
      <c r="C954" s="115" t="s">
        <v>949</v>
      </c>
      <c r="D954" s="69" t="s">
        <v>23</v>
      </c>
      <c r="E954" s="120" t="s">
        <v>1003</v>
      </c>
      <c r="F954" s="121" t="s">
        <v>1003</v>
      </c>
      <c r="G954" s="121" t="s">
        <v>1003</v>
      </c>
      <c r="H954" s="121" t="s">
        <v>1003</v>
      </c>
      <c r="I954" s="71">
        <v>0.9</v>
      </c>
      <c r="J954" s="72">
        <v>1</v>
      </c>
      <c r="K954" s="72">
        <v>0.942307692307692</v>
      </c>
      <c r="L954" s="73">
        <v>0.964285714285714</v>
      </c>
      <c r="M954" s="72">
        <v>0.961206896551724</v>
      </c>
      <c r="N954" s="74">
        <v>0.9</v>
      </c>
      <c r="O954" s="72">
        <v>0.92587539790814</v>
      </c>
      <c r="P954" s="72">
        <v>0.939363314805457</v>
      </c>
      <c r="Q954" s="72">
        <v>0.936254980079681</v>
      </c>
      <c r="R954" s="72">
        <v>0.93307503551595</v>
      </c>
      <c r="S954" s="74">
        <v>0.9</v>
      </c>
      <c r="T954" s="72">
        <v>0.875170532060027</v>
      </c>
      <c r="U954" s="72">
        <v>0.909044972208186</v>
      </c>
      <c r="V954" s="72">
        <v>0.919721115537849</v>
      </c>
      <c r="W954" s="72">
        <v>0.907271083559344</v>
      </c>
      <c r="X954" s="74">
        <v>0.92</v>
      </c>
      <c r="Y954" s="74">
        <v>0.735593220338983</v>
      </c>
      <c r="Z954" s="74">
        <v>0.838204592901879</v>
      </c>
      <c r="AA954" s="74">
        <v>0.849566055930569</v>
      </c>
      <c r="AB954" s="74">
        <v>0.797400268937696</v>
      </c>
      <c r="AC954" s="74">
        <v>0.92</v>
      </c>
      <c r="AD954" s="72">
        <v>0.994447088687926</v>
      </c>
      <c r="AE954" s="72">
        <v>0.975189234650967</v>
      </c>
      <c r="AF954" s="72">
        <v>0.985318314137451</v>
      </c>
      <c r="AG954" s="72">
        <v>0.967094370860927</v>
      </c>
      <c r="AH954" s="74">
        <v>0.92</v>
      </c>
      <c r="AI954" s="72">
        <v>0.887942456937346</v>
      </c>
      <c r="AJ954" s="72">
        <v>0.935733170632499</v>
      </c>
      <c r="AK954" s="72">
        <v>0.950635628198778</v>
      </c>
      <c r="AL954" s="72">
        <v>0.925230898404702</v>
      </c>
      <c r="AM954" s="71">
        <v>0.99</v>
      </c>
      <c r="AN954" s="76">
        <v>1</v>
      </c>
      <c r="AO954" s="76">
        <v>1</v>
      </c>
      <c r="AP954" s="76">
        <v>1</v>
      </c>
      <c r="AQ954" s="76">
        <v>1</v>
      </c>
      <c r="AR954" s="96">
        <v>0.0656418488929858</v>
      </c>
      <c r="AS954" s="80">
        <v>0.1</v>
      </c>
      <c r="AT954" s="80">
        <v>0.0909090909090909</v>
      </c>
      <c r="AU954" s="80">
        <v>0.0416666666666667</v>
      </c>
      <c r="AV954" s="80">
        <v>0.0380952380952381</v>
      </c>
      <c r="AW954" s="36"/>
      <c r="AX954" s="34"/>
    </row>
    <row r="955" ht="14.5" spans="1:50">
      <c r="A955" s="32"/>
      <c r="B955" s="36"/>
      <c r="C955" s="115" t="s">
        <v>949</v>
      </c>
      <c r="D955" s="69" t="s">
        <v>23</v>
      </c>
      <c r="E955" s="118" t="s">
        <v>1004</v>
      </c>
      <c r="F955" s="119" t="s">
        <v>1004</v>
      </c>
      <c r="G955" s="119" t="s">
        <v>1004</v>
      </c>
      <c r="H955" s="119" t="s">
        <v>1004</v>
      </c>
      <c r="I955" s="71">
        <v>0.9</v>
      </c>
      <c r="J955" s="72">
        <v>0.909090909090909</v>
      </c>
      <c r="K955" s="72">
        <v>1</v>
      </c>
      <c r="L955" s="73">
        <v>1</v>
      </c>
      <c r="M955" s="72">
        <v>0.983050847457627</v>
      </c>
      <c r="N955" s="74">
        <v>0.9</v>
      </c>
      <c r="O955" s="72">
        <v>0.977724468814256</v>
      </c>
      <c r="P955" s="72">
        <v>0.978333955920807</v>
      </c>
      <c r="Q955" s="72">
        <v>0.939950980392157</v>
      </c>
      <c r="R955" s="72">
        <v>0.967569452516564</v>
      </c>
      <c r="S955" s="74">
        <v>0.9</v>
      </c>
      <c r="T955" s="72">
        <v>0.910212474297464</v>
      </c>
      <c r="U955" s="72">
        <v>0.932013447889428</v>
      </c>
      <c r="V955" s="72">
        <v>0.909007352941177</v>
      </c>
      <c r="W955" s="72">
        <v>0.918400557944903</v>
      </c>
      <c r="X955" s="74">
        <v>0.92</v>
      </c>
      <c r="Y955" s="74">
        <v>0</v>
      </c>
      <c r="Z955" s="74">
        <v>0</v>
      </c>
      <c r="AA955" s="74">
        <v>0</v>
      </c>
      <c r="AB955" s="74">
        <v>0.117647058823529</v>
      </c>
      <c r="AC955" s="74">
        <v>0.92</v>
      </c>
      <c r="AD955" s="72">
        <v>0.974074074074074</v>
      </c>
      <c r="AE955" s="72">
        <v>0.969976905311778</v>
      </c>
      <c r="AF955" s="72">
        <v>0.949019607843137</v>
      </c>
      <c r="AG955" s="72">
        <v>0.975823405746321</v>
      </c>
      <c r="AH955" s="74">
        <v>0.92</v>
      </c>
      <c r="AI955" s="72">
        <v>0.968150684931507</v>
      </c>
      <c r="AJ955" s="72">
        <v>0.968633308439134</v>
      </c>
      <c r="AK955" s="72">
        <v>0.972741194486983</v>
      </c>
      <c r="AL955" s="72">
        <v>0.968907302718191</v>
      </c>
      <c r="AM955" s="71">
        <v>0.99</v>
      </c>
      <c r="AN955" s="76">
        <v>1</v>
      </c>
      <c r="AO955" s="76">
        <v>1</v>
      </c>
      <c r="AP955" s="76">
        <v>1</v>
      </c>
      <c r="AQ955" s="76">
        <v>1</v>
      </c>
      <c r="AR955" s="96">
        <v>0.0656418488929858</v>
      </c>
      <c r="AS955" s="80">
        <v>0.181818181818182</v>
      </c>
      <c r="AT955" s="80">
        <v>0.1</v>
      </c>
      <c r="AU955" s="80">
        <v>0</v>
      </c>
      <c r="AV955" s="80">
        <v>0.0540540540540541</v>
      </c>
      <c r="AW955" s="36"/>
      <c r="AX955" s="34"/>
    </row>
    <row r="956" ht="14.5" spans="1:50">
      <c r="A956" s="32"/>
      <c r="B956" s="36"/>
      <c r="C956" s="115" t="s">
        <v>949</v>
      </c>
      <c r="D956" s="69" t="s">
        <v>23</v>
      </c>
      <c r="E956" s="118" t="s">
        <v>1005</v>
      </c>
      <c r="F956" s="119" t="s">
        <v>1005</v>
      </c>
      <c r="G956" s="119" t="s">
        <v>1005</v>
      </c>
      <c r="H956" s="119" t="s">
        <v>1005</v>
      </c>
      <c r="I956" s="71">
        <v>0.9</v>
      </c>
      <c r="J956" s="72">
        <v>0.928571428571429</v>
      </c>
      <c r="K956" s="72">
        <v>0.928571428571429</v>
      </c>
      <c r="L956" s="73">
        <v>0.954545454545455</v>
      </c>
      <c r="M956" s="72">
        <v>0.947103274559194</v>
      </c>
      <c r="N956" s="74">
        <v>0.9</v>
      </c>
      <c r="O956" s="72">
        <v>0.889658996395897</v>
      </c>
      <c r="P956" s="72">
        <v>0.957019171304886</v>
      </c>
      <c r="Q956" s="72">
        <v>0.907425742574257</v>
      </c>
      <c r="R956" s="72">
        <v>0.922797202797203</v>
      </c>
      <c r="S956" s="74">
        <v>0.9</v>
      </c>
      <c r="T956" s="72">
        <v>0.879955641807596</v>
      </c>
      <c r="U956" s="72">
        <v>0.929808286951144</v>
      </c>
      <c r="V956" s="72">
        <v>0.912128712871287</v>
      </c>
      <c r="W956" s="72">
        <v>0.918787878787879</v>
      </c>
      <c r="X956" s="74">
        <v>0.92</v>
      </c>
      <c r="Y956" s="74">
        <v>0</v>
      </c>
      <c r="Z956" s="74">
        <v>0</v>
      </c>
      <c r="AA956" s="74">
        <v>0</v>
      </c>
      <c r="AB956" s="74">
        <v>0.125</v>
      </c>
      <c r="AC956" s="74">
        <v>0.92</v>
      </c>
      <c r="AD956" s="72">
        <v>0.9979035639413</v>
      </c>
      <c r="AE956" s="72">
        <v>0.995480225988701</v>
      </c>
      <c r="AF956" s="72">
        <v>0.985951468710089</v>
      </c>
      <c r="AG956" s="72">
        <v>0.989240155296728</v>
      </c>
      <c r="AH956" s="74">
        <v>0.92</v>
      </c>
      <c r="AI956" s="72">
        <v>0.938747228381375</v>
      </c>
      <c r="AJ956" s="72">
        <v>0.959542927733169</v>
      </c>
      <c r="AK956" s="72">
        <v>0.956683168316832</v>
      </c>
      <c r="AL956" s="72">
        <v>0.956852634194831</v>
      </c>
      <c r="AM956" s="71">
        <v>0.99</v>
      </c>
      <c r="AN956" s="76">
        <v>1</v>
      </c>
      <c r="AO956" s="76">
        <v>1</v>
      </c>
      <c r="AP956" s="76">
        <v>1</v>
      </c>
      <c r="AQ956" s="76">
        <v>1</v>
      </c>
      <c r="AR956" s="96">
        <v>0.0656418488929858</v>
      </c>
      <c r="AS956" s="80">
        <v>0.04</v>
      </c>
      <c r="AT956" s="80">
        <v>0</v>
      </c>
      <c r="AU956" s="80">
        <v>0</v>
      </c>
      <c r="AV956" s="80">
        <v>0.0206896551724138</v>
      </c>
      <c r="AW956" s="36"/>
      <c r="AX956" s="34"/>
    </row>
    <row r="957" ht="14.5" spans="1:50">
      <c r="A957" s="32"/>
      <c r="B957" s="36"/>
      <c r="C957" s="115" t="s">
        <v>949</v>
      </c>
      <c r="D957" s="69" t="s">
        <v>23</v>
      </c>
      <c r="E957" s="118" t="s">
        <v>1006</v>
      </c>
      <c r="F957" s="119" t="s">
        <v>1006</v>
      </c>
      <c r="G957" s="119" t="s">
        <v>1006</v>
      </c>
      <c r="H957" s="119" t="s">
        <v>1006</v>
      </c>
      <c r="I957" s="71">
        <v>0.9</v>
      </c>
      <c r="J957" s="72">
        <v>0.955555555555556</v>
      </c>
      <c r="K957" s="72">
        <v>0.957446808510638</v>
      </c>
      <c r="L957" s="73">
        <v>0.94</v>
      </c>
      <c r="M957" s="72">
        <v>0.924657534246575</v>
      </c>
      <c r="N957" s="74">
        <v>0.9</v>
      </c>
      <c r="O957" s="72">
        <v>0.845597618034879</v>
      </c>
      <c r="P957" s="72">
        <v>0.902237926972909</v>
      </c>
      <c r="Q957" s="72">
        <v>0.883264848711244</v>
      </c>
      <c r="R957" s="72">
        <v>0.908199560069266</v>
      </c>
      <c r="S957" s="74">
        <v>0.9</v>
      </c>
      <c r="T957" s="72">
        <v>0.86473840918758</v>
      </c>
      <c r="U957" s="72">
        <v>0.882921083627797</v>
      </c>
      <c r="V957" s="72">
        <v>0.873926036608143</v>
      </c>
      <c r="W957" s="72">
        <v>0.894182618055881</v>
      </c>
      <c r="X957" s="74">
        <v>0.92</v>
      </c>
      <c r="Y957" s="74">
        <v>0</v>
      </c>
      <c r="Z957" s="74">
        <v>0</v>
      </c>
      <c r="AA957" s="74">
        <v>0</v>
      </c>
      <c r="AB957" s="74">
        <v>0</v>
      </c>
      <c r="AC957" s="74">
        <v>0.92</v>
      </c>
      <c r="AD957" s="72">
        <v>0.992925720060637</v>
      </c>
      <c r="AE957" s="72">
        <v>0.97631473303894</v>
      </c>
      <c r="AF957" s="72">
        <v>0.989823008849558</v>
      </c>
      <c r="AG957" s="72">
        <v>0.971447028423773</v>
      </c>
      <c r="AH957" s="74">
        <v>0.92</v>
      </c>
      <c r="AI957" s="72">
        <v>0.899617184176946</v>
      </c>
      <c r="AJ957" s="72">
        <v>0.90487402872616</v>
      </c>
      <c r="AK957" s="72">
        <v>0.91819200597684</v>
      </c>
      <c r="AL957" s="72">
        <v>0.930214060123991</v>
      </c>
      <c r="AM957" s="71">
        <v>0.99</v>
      </c>
      <c r="AN957" s="76">
        <v>1</v>
      </c>
      <c r="AO957" s="76">
        <v>1</v>
      </c>
      <c r="AP957" s="76">
        <v>1</v>
      </c>
      <c r="AQ957" s="76">
        <v>1</v>
      </c>
      <c r="AR957" s="96">
        <v>0.0656418488929858</v>
      </c>
      <c r="AS957" s="80">
        <v>0</v>
      </c>
      <c r="AT957" s="80">
        <v>0.0454545454545455</v>
      </c>
      <c r="AU957" s="80">
        <v>0</v>
      </c>
      <c r="AV957" s="80">
        <v>0.0632911392405063</v>
      </c>
      <c r="AW957" s="36"/>
      <c r="AX957" s="34"/>
    </row>
    <row r="958" ht="14.5" spans="1:50">
      <c r="A958" s="32"/>
      <c r="B958" s="36"/>
      <c r="C958" s="115" t="s">
        <v>949</v>
      </c>
      <c r="D958" s="69" t="s">
        <v>23</v>
      </c>
      <c r="E958" s="118" t="s">
        <v>1007</v>
      </c>
      <c r="F958" s="119" t="s">
        <v>1007</v>
      </c>
      <c r="G958" s="119" t="s">
        <v>1007</v>
      </c>
      <c r="H958" s="119" t="s">
        <v>1007</v>
      </c>
      <c r="I958" s="71">
        <v>0.9</v>
      </c>
      <c r="J958" s="72">
        <v>0.9375</v>
      </c>
      <c r="K958" s="72">
        <v>0.921052631578947</v>
      </c>
      <c r="L958" s="73">
        <v>0.921052631578947</v>
      </c>
      <c r="M958" s="72">
        <v>0.919753086419753</v>
      </c>
      <c r="N958" s="74">
        <v>0.9</v>
      </c>
      <c r="O958" s="72">
        <v>0.946931514971835</v>
      </c>
      <c r="P958" s="72">
        <v>0.968322774258086</v>
      </c>
      <c r="Q958" s="72">
        <v>0.961725067385445</v>
      </c>
      <c r="R958" s="72">
        <v>0.941068200493016</v>
      </c>
      <c r="S958" s="74">
        <v>0.9</v>
      </c>
      <c r="T958" s="72">
        <v>0.896531277794248</v>
      </c>
      <c r="U958" s="72">
        <v>0.935311770590197</v>
      </c>
      <c r="V958" s="72">
        <v>0.938274932614555</v>
      </c>
      <c r="W958" s="72">
        <v>0.918455217748562</v>
      </c>
      <c r="X958" s="74">
        <v>0.92</v>
      </c>
      <c r="Y958" s="74">
        <v>0</v>
      </c>
      <c r="Z958" s="74">
        <v>0</v>
      </c>
      <c r="AA958" s="74">
        <v>0</v>
      </c>
      <c r="AB958" s="74">
        <v>0.1</v>
      </c>
      <c r="AC958" s="74">
        <v>0.92</v>
      </c>
      <c r="AD958" s="72">
        <v>1</v>
      </c>
      <c r="AE958" s="72">
        <v>0.973607038123167</v>
      </c>
      <c r="AF958" s="72">
        <v>0.992233009708738</v>
      </c>
      <c r="AG958" s="72">
        <v>0.98422090729783</v>
      </c>
      <c r="AH958" s="74">
        <v>0.92</v>
      </c>
      <c r="AI958" s="72">
        <v>0.936258523569523</v>
      </c>
      <c r="AJ958" s="72">
        <v>0.963666666666667</v>
      </c>
      <c r="AK958" s="72">
        <v>0.971967654986523</v>
      </c>
      <c r="AL958" s="72">
        <v>0.958074585181534</v>
      </c>
      <c r="AM958" s="71">
        <v>0.99</v>
      </c>
      <c r="AN958" s="76">
        <v>1</v>
      </c>
      <c r="AO958" s="76">
        <v>1</v>
      </c>
      <c r="AP958" s="76">
        <v>1</v>
      </c>
      <c r="AQ958" s="76">
        <v>1</v>
      </c>
      <c r="AR958" s="96">
        <v>0.0656418488929858</v>
      </c>
      <c r="AS958" s="80">
        <v>0</v>
      </c>
      <c r="AT958" s="80">
        <v>0</v>
      </c>
      <c r="AU958" s="80">
        <v>0</v>
      </c>
      <c r="AV958" s="80">
        <v>0.0405405405405405</v>
      </c>
      <c r="AW958" s="36"/>
      <c r="AX958" s="34"/>
    </row>
    <row r="959" ht="14.5" spans="1:50">
      <c r="A959" s="32"/>
      <c r="B959" s="36"/>
      <c r="C959" s="115" t="s">
        <v>949</v>
      </c>
      <c r="D959" s="69" t="s">
        <v>23</v>
      </c>
      <c r="E959" s="126" t="s">
        <v>1008</v>
      </c>
      <c r="F959" s="127" t="s">
        <v>1008</v>
      </c>
      <c r="G959" s="127" t="s">
        <v>1008</v>
      </c>
      <c r="H959" s="127" t="s">
        <v>1008</v>
      </c>
      <c r="I959" s="71">
        <v>0.9</v>
      </c>
      <c r="J959" s="72">
        <v>0.972972972972973</v>
      </c>
      <c r="K959" s="72">
        <v>0.923076923076923</v>
      </c>
      <c r="L959" s="73">
        <v>0.891891891891892</v>
      </c>
      <c r="M959" s="72">
        <v>0.954674220963173</v>
      </c>
      <c r="N959" s="74">
        <v>0.9</v>
      </c>
      <c r="O959" s="72">
        <v>0.9535536159601</v>
      </c>
      <c r="P959" s="72">
        <v>0.981099656357388</v>
      </c>
      <c r="Q959" s="72">
        <v>0.945858498705781</v>
      </c>
      <c r="R959" s="72">
        <v>0.958868069815195</v>
      </c>
      <c r="S959" s="74">
        <v>0.9</v>
      </c>
      <c r="T959" s="72">
        <v>0.888092269326683</v>
      </c>
      <c r="U959" s="72">
        <v>0.927835051546392</v>
      </c>
      <c r="V959" s="72">
        <v>0.905737704918033</v>
      </c>
      <c r="W959" s="72">
        <v>0.915586498973306</v>
      </c>
      <c r="X959" s="74">
        <v>0.92</v>
      </c>
      <c r="Y959" s="74">
        <v>0</v>
      </c>
      <c r="Z959" s="74">
        <v>0</v>
      </c>
      <c r="AA959" s="74">
        <v>0</v>
      </c>
      <c r="AB959" s="74">
        <v>0.0666666666666667</v>
      </c>
      <c r="AC959" s="74">
        <v>0.92</v>
      </c>
      <c r="AD959" s="72">
        <v>0.925619834710744</v>
      </c>
      <c r="AE959" s="72">
        <v>0.962837837837838</v>
      </c>
      <c r="AF959" s="72">
        <v>0.947976878612717</v>
      </c>
      <c r="AG959" s="72">
        <v>0.956089911134344</v>
      </c>
      <c r="AH959" s="74">
        <v>0.92</v>
      </c>
      <c r="AI959" s="72">
        <v>0.943302180685358</v>
      </c>
      <c r="AJ959" s="72">
        <v>0.966800228963938</v>
      </c>
      <c r="AK959" s="72">
        <v>0.966149202242346</v>
      </c>
      <c r="AL959" s="72">
        <v>0.961998524837251</v>
      </c>
      <c r="AM959" s="71">
        <v>0.99</v>
      </c>
      <c r="AN959" s="76">
        <v>1</v>
      </c>
      <c r="AO959" s="76">
        <v>1</v>
      </c>
      <c r="AP959" s="76">
        <v>1</v>
      </c>
      <c r="AQ959" s="76">
        <v>1</v>
      </c>
      <c r="AR959" s="96">
        <v>0.0656418488929858</v>
      </c>
      <c r="AS959" s="80">
        <v>0</v>
      </c>
      <c r="AT959" s="80">
        <v>0</v>
      </c>
      <c r="AU959" s="80">
        <v>0</v>
      </c>
      <c r="AV959" s="80">
        <v>0.036144578313253</v>
      </c>
      <c r="AW959" s="36"/>
      <c r="AX959" s="34"/>
    </row>
    <row r="960" ht="14.5" spans="1:50">
      <c r="A960" s="32"/>
      <c r="B960" s="36"/>
      <c r="C960" s="115" t="s">
        <v>949</v>
      </c>
      <c r="D960" s="69" t="s">
        <v>23</v>
      </c>
      <c r="E960" s="116" t="s">
        <v>1009</v>
      </c>
      <c r="F960" s="117" t="s">
        <v>1009</v>
      </c>
      <c r="G960" s="117" t="s">
        <v>1009</v>
      </c>
      <c r="H960" s="117" t="s">
        <v>1009</v>
      </c>
      <c r="I960" s="71">
        <v>0.9</v>
      </c>
      <c r="J960" s="72">
        <v>1</v>
      </c>
      <c r="K960" s="72">
        <v>1</v>
      </c>
      <c r="L960" s="73">
        <v>1</v>
      </c>
      <c r="M960" s="72">
        <v>0.961783439490446</v>
      </c>
      <c r="N960" s="74">
        <v>0.9</v>
      </c>
      <c r="O960" s="72">
        <v>0.958132045088567</v>
      </c>
      <c r="P960" s="72">
        <v>0.879524045612295</v>
      </c>
      <c r="Q960" s="72">
        <v>0.980749219562955</v>
      </c>
      <c r="R960" s="72">
        <v>0.960258111204921</v>
      </c>
      <c r="S960" s="74">
        <v>0.9</v>
      </c>
      <c r="T960" s="72">
        <v>0.891035963499732</v>
      </c>
      <c r="U960" s="72">
        <v>0.927615270203272</v>
      </c>
      <c r="V960" s="72">
        <v>0.953173777315297</v>
      </c>
      <c r="W960" s="72">
        <v>0.924737667350139</v>
      </c>
      <c r="X960" s="74">
        <v>0.92</v>
      </c>
      <c r="Y960" s="74">
        <v>0</v>
      </c>
      <c r="Z960" s="74">
        <v>0</v>
      </c>
      <c r="AA960" s="74">
        <v>0</v>
      </c>
      <c r="AB960" s="74">
        <v>0</v>
      </c>
      <c r="AC960" s="74">
        <v>0.92</v>
      </c>
      <c r="AD960" s="72">
        <v>0.992957746478873</v>
      </c>
      <c r="AE960" s="72">
        <v>1</v>
      </c>
      <c r="AF960" s="72">
        <v>0.997361477572559</v>
      </c>
      <c r="AG960" s="72">
        <v>0.993592025631898</v>
      </c>
      <c r="AH960" s="74">
        <v>0.92</v>
      </c>
      <c r="AI960" s="72">
        <v>0.91304347826087</v>
      </c>
      <c r="AJ960" s="72">
        <v>0.940505701536936</v>
      </c>
      <c r="AK960" s="72">
        <v>0.965140478668054</v>
      </c>
      <c r="AL960" s="72">
        <v>0.941623447111326</v>
      </c>
      <c r="AM960" s="71">
        <v>0.99</v>
      </c>
      <c r="AN960" s="76">
        <v>1</v>
      </c>
      <c r="AO960" s="76">
        <v>1</v>
      </c>
      <c r="AP960" s="76">
        <v>1</v>
      </c>
      <c r="AQ960" s="76">
        <v>1</v>
      </c>
      <c r="AR960" s="96">
        <v>0.0656418488929858</v>
      </c>
      <c r="AS960" s="80">
        <v>0</v>
      </c>
      <c r="AT960" s="80">
        <v>0.0588235294117647</v>
      </c>
      <c r="AU960" s="80">
        <v>0.05</v>
      </c>
      <c r="AV960" s="80">
        <v>0.0413793103448276</v>
      </c>
      <c r="AW960" s="36"/>
      <c r="AX960" s="34"/>
    </row>
    <row r="961" ht="14.5" spans="1:50">
      <c r="A961" s="32"/>
      <c r="B961" s="36"/>
      <c r="C961" s="115" t="s">
        <v>949</v>
      </c>
      <c r="D961" s="69" t="s">
        <v>23</v>
      </c>
      <c r="E961" s="116" t="s">
        <v>1010</v>
      </c>
      <c r="F961" s="117" t="s">
        <v>1010</v>
      </c>
      <c r="G961" s="117" t="s">
        <v>1010</v>
      </c>
      <c r="H961" s="117" t="s">
        <v>1010</v>
      </c>
      <c r="I961" s="71">
        <v>0.9</v>
      </c>
      <c r="J961" s="72">
        <v>0.857142857142857</v>
      </c>
      <c r="K961" s="72">
        <v>1</v>
      </c>
      <c r="L961" s="73">
        <v>0.941176470588235</v>
      </c>
      <c r="M961" s="72">
        <v>0.956834532374101</v>
      </c>
      <c r="N961" s="74">
        <v>0.9</v>
      </c>
      <c r="O961" s="72">
        <v>0.96229802513465</v>
      </c>
      <c r="P961" s="72">
        <v>0.988700564971751</v>
      </c>
      <c r="Q961" s="72">
        <v>0.976359338061466</v>
      </c>
      <c r="R961" s="72">
        <v>0.972435331658633</v>
      </c>
      <c r="S961" s="74">
        <v>0.9</v>
      </c>
      <c r="T961" s="72">
        <v>0.882704967085578</v>
      </c>
      <c r="U961" s="72">
        <v>0.919774011299435</v>
      </c>
      <c r="V961" s="72">
        <v>0.951536643026005</v>
      </c>
      <c r="W961" s="72">
        <v>0.926878946296422</v>
      </c>
      <c r="X961" s="74">
        <v>0.92</v>
      </c>
      <c r="Y961" s="74">
        <v>0</v>
      </c>
      <c r="Z961" s="74">
        <v>0</v>
      </c>
      <c r="AA961" s="74">
        <v>0</v>
      </c>
      <c r="AB961" s="74">
        <v>0</v>
      </c>
      <c r="AC961" s="74">
        <v>0.92</v>
      </c>
      <c r="AD961" s="72">
        <v>1</v>
      </c>
      <c r="AE961" s="72">
        <v>1</v>
      </c>
      <c r="AF961" s="72">
        <v>0.99</v>
      </c>
      <c r="AG961" s="72">
        <v>0.997828447339848</v>
      </c>
      <c r="AH961" s="74">
        <v>0.92</v>
      </c>
      <c r="AI961" s="72">
        <v>0.946140035906643</v>
      </c>
      <c r="AJ961" s="72">
        <v>0.972881355932203</v>
      </c>
      <c r="AK961" s="72">
        <v>0.981678486997636</v>
      </c>
      <c r="AL961" s="72">
        <v>0.971349039310204</v>
      </c>
      <c r="AM961" s="71">
        <v>0.99</v>
      </c>
      <c r="AN961" s="76">
        <v>1</v>
      </c>
      <c r="AO961" s="76">
        <v>1</v>
      </c>
      <c r="AP961" s="76">
        <v>1</v>
      </c>
      <c r="AQ961" s="76">
        <v>1</v>
      </c>
      <c r="AR961" s="96">
        <v>0.0656418488929858</v>
      </c>
      <c r="AS961" s="80">
        <v>0.142857142857143</v>
      </c>
      <c r="AT961" s="80">
        <v>0</v>
      </c>
      <c r="AU961" s="80">
        <v>0</v>
      </c>
      <c r="AV961" s="80">
        <v>0.0470588235294118</v>
      </c>
      <c r="AW961" s="36"/>
      <c r="AX961" s="34"/>
    </row>
    <row r="962" ht="14.5" spans="1:50">
      <c r="A962" s="32"/>
      <c r="B962" s="36"/>
      <c r="C962" s="115" t="s">
        <v>949</v>
      </c>
      <c r="D962" s="69" t="s">
        <v>23</v>
      </c>
      <c r="E962" s="116" t="s">
        <v>1011</v>
      </c>
      <c r="F962" s="117" t="s">
        <v>1011</v>
      </c>
      <c r="G962" s="117" t="s">
        <v>1011</v>
      </c>
      <c r="H962" s="117" t="s">
        <v>1011</v>
      </c>
      <c r="I962" s="71">
        <v>0.9</v>
      </c>
      <c r="J962" s="72">
        <v>1</v>
      </c>
      <c r="K962" s="72">
        <v>0.9</v>
      </c>
      <c r="L962" s="73">
        <v>0.931818181818182</v>
      </c>
      <c r="M962" s="72">
        <v>0.922651933701657</v>
      </c>
      <c r="N962" s="74">
        <v>0.9</v>
      </c>
      <c r="O962" s="72">
        <v>0.847494033412888</v>
      </c>
      <c r="P962" s="72">
        <v>0.953471894189891</v>
      </c>
      <c r="Q962" s="72">
        <v>0.92790863668808</v>
      </c>
      <c r="R962" s="72">
        <v>0.920256718812675</v>
      </c>
      <c r="S962" s="74">
        <v>0.9</v>
      </c>
      <c r="T962" s="72">
        <v>0.895226730310263</v>
      </c>
      <c r="U962" s="72">
        <v>0.923948984411904</v>
      </c>
      <c r="V962" s="72">
        <v>0.943373780632881</v>
      </c>
      <c r="W962" s="72">
        <v>0.930685920577617</v>
      </c>
      <c r="X962" s="74">
        <v>0.92</v>
      </c>
      <c r="Y962" s="74">
        <v>0</v>
      </c>
      <c r="Z962" s="74">
        <v>0</v>
      </c>
      <c r="AA962" s="74">
        <v>0</v>
      </c>
      <c r="AB962" s="74">
        <v>0</v>
      </c>
      <c r="AC962" s="74">
        <v>0.92</v>
      </c>
      <c r="AD962" s="72">
        <v>0.996382428940568</v>
      </c>
      <c r="AE962" s="72">
        <v>0.991725279271825</v>
      </c>
      <c r="AF962" s="72">
        <v>0.99685110211426</v>
      </c>
      <c r="AG962" s="72">
        <v>0.994441438339318</v>
      </c>
      <c r="AH962" s="74">
        <v>0.92</v>
      </c>
      <c r="AI962" s="72">
        <v>0.91909307875895</v>
      </c>
      <c r="AJ962" s="72">
        <v>0.944273907910272</v>
      </c>
      <c r="AK962" s="72">
        <v>0.9593147751606</v>
      </c>
      <c r="AL962" s="72">
        <v>0.949541407064738</v>
      </c>
      <c r="AM962" s="71">
        <v>0.99</v>
      </c>
      <c r="AN962" s="76">
        <v>1</v>
      </c>
      <c r="AO962" s="76">
        <v>1</v>
      </c>
      <c r="AP962" s="76">
        <v>1</v>
      </c>
      <c r="AQ962" s="76">
        <v>1</v>
      </c>
      <c r="AR962" s="96">
        <v>0.0656418488929858</v>
      </c>
      <c r="AS962" s="80">
        <v>0.0434782608695652</v>
      </c>
      <c r="AT962" s="80">
        <v>0</v>
      </c>
      <c r="AU962" s="80">
        <v>0.0333333333333333</v>
      </c>
      <c r="AV962" s="80">
        <v>0.0317919075144509</v>
      </c>
      <c r="AW962" s="36"/>
      <c r="AX962" s="34"/>
    </row>
    <row r="963" ht="14.5" spans="1:50">
      <c r="A963" s="32"/>
      <c r="B963" s="36"/>
      <c r="C963" s="115" t="s">
        <v>949</v>
      </c>
      <c r="D963" s="69" t="s">
        <v>23</v>
      </c>
      <c r="E963" s="118" t="s">
        <v>1012</v>
      </c>
      <c r="F963" s="119" t="s">
        <v>1012</v>
      </c>
      <c r="G963" s="119" t="s">
        <v>1012</v>
      </c>
      <c r="H963" s="119" t="s">
        <v>1012</v>
      </c>
      <c r="I963" s="71">
        <v>0.9</v>
      </c>
      <c r="J963" s="72">
        <v>0.933333333333333</v>
      </c>
      <c r="K963" s="72">
        <v>0.789473684210526</v>
      </c>
      <c r="L963" s="73">
        <v>0.761904761904762</v>
      </c>
      <c r="M963" s="72">
        <v>0.8375</v>
      </c>
      <c r="N963" s="74">
        <v>0.9</v>
      </c>
      <c r="O963" s="72">
        <v>0.982912937347437</v>
      </c>
      <c r="P963" s="72">
        <v>0.986321094312455</v>
      </c>
      <c r="Q963" s="72">
        <v>0.990218209179834</v>
      </c>
      <c r="R963" s="72">
        <v>0.991615143558906</v>
      </c>
      <c r="S963" s="74">
        <v>0.9</v>
      </c>
      <c r="T963" s="72">
        <v>0.828315703824247</v>
      </c>
      <c r="U963" s="72">
        <v>0.93016558675306</v>
      </c>
      <c r="V963" s="72">
        <v>0.939051918735892</v>
      </c>
      <c r="W963" s="72">
        <v>0.889218260354027</v>
      </c>
      <c r="X963" s="74">
        <v>0.92</v>
      </c>
      <c r="Y963" s="74">
        <v>0</v>
      </c>
      <c r="Z963" s="74">
        <v>0</v>
      </c>
      <c r="AA963" s="74">
        <v>0</v>
      </c>
      <c r="AB963" s="74">
        <v>0</v>
      </c>
      <c r="AC963" s="74">
        <v>0.92</v>
      </c>
      <c r="AD963" s="72">
        <v>0.983870967741935</v>
      </c>
      <c r="AE963" s="72">
        <v>0.929078014184397</v>
      </c>
      <c r="AF963" s="72">
        <v>1</v>
      </c>
      <c r="AG963" s="72">
        <v>0.983680870353581</v>
      </c>
      <c r="AH963" s="74">
        <v>0.92</v>
      </c>
      <c r="AI963" s="72">
        <v>0.862489829129373</v>
      </c>
      <c r="AJ963" s="72">
        <v>0.956083513318934</v>
      </c>
      <c r="AK963" s="72">
        <v>0.973664409330323</v>
      </c>
      <c r="AL963" s="72">
        <v>0.926907766579148</v>
      </c>
      <c r="AM963" s="71">
        <v>0.99</v>
      </c>
      <c r="AN963" s="76">
        <v>1</v>
      </c>
      <c r="AO963" s="76">
        <v>1</v>
      </c>
      <c r="AP963" s="76">
        <v>1</v>
      </c>
      <c r="AQ963" s="76">
        <v>1</v>
      </c>
      <c r="AR963" s="96">
        <v>0.0656418488929858</v>
      </c>
      <c r="AS963" s="80">
        <v>0</v>
      </c>
      <c r="AT963" s="80">
        <v>0</v>
      </c>
      <c r="AU963" s="80">
        <v>0.0909090909090909</v>
      </c>
      <c r="AV963" s="80">
        <v>0.0131578947368421</v>
      </c>
      <c r="AW963" s="36"/>
      <c r="AX963" s="34"/>
    </row>
    <row r="964" ht="14.5" spans="1:50">
      <c r="A964" s="32"/>
      <c r="B964" s="36"/>
      <c r="C964" s="115" t="s">
        <v>949</v>
      </c>
      <c r="D964" s="69" t="s">
        <v>23</v>
      </c>
      <c r="E964" s="118" t="s">
        <v>1013</v>
      </c>
      <c r="F964" s="119" t="s">
        <v>1013</v>
      </c>
      <c r="G964" s="119" t="s">
        <v>1013</v>
      </c>
      <c r="H964" s="119" t="s">
        <v>1013</v>
      </c>
      <c r="I964" s="71">
        <v>0.9</v>
      </c>
      <c r="J964" s="72">
        <v>0.743589743589744</v>
      </c>
      <c r="K964" s="72">
        <v>0.736842105263158</v>
      </c>
      <c r="L964" s="73">
        <v>0.804878048780488</v>
      </c>
      <c r="M964" s="72">
        <v>0.793696275071633</v>
      </c>
      <c r="N964" s="74">
        <v>0.9</v>
      </c>
      <c r="O964" s="72">
        <v>0.92869043652116</v>
      </c>
      <c r="P964" s="72">
        <v>0.97001071046055</v>
      </c>
      <c r="Q964" s="72">
        <v>0.983032490974729</v>
      </c>
      <c r="R964" s="72">
        <v>0.905388302972196</v>
      </c>
      <c r="S964" s="74">
        <v>0.9</v>
      </c>
      <c r="T964" s="72">
        <v>0.775741419526824</v>
      </c>
      <c r="U964" s="72">
        <v>0.846840414137808</v>
      </c>
      <c r="V964" s="72">
        <v>0.914440433212996</v>
      </c>
      <c r="W964" s="72">
        <v>0.838542665388303</v>
      </c>
      <c r="X964" s="74">
        <v>0.92</v>
      </c>
      <c r="Y964" s="74">
        <v>0.906143344709898</v>
      </c>
      <c r="Z964" s="74">
        <v>0.935587761674718</v>
      </c>
      <c r="AA964" s="74">
        <v>0.939042089985486</v>
      </c>
      <c r="AB964" s="74">
        <v>0.906550218340611</v>
      </c>
      <c r="AC964" s="74">
        <v>0.92</v>
      </c>
      <c r="AD964" s="72">
        <v>0.999814849102018</v>
      </c>
      <c r="AE964" s="72">
        <v>0.934782608695652</v>
      </c>
      <c r="AF964" s="72">
        <v>0.998272511336644</v>
      </c>
      <c r="AG964" s="72">
        <v>0.991986054281771</v>
      </c>
      <c r="AH964" s="74">
        <v>0.92</v>
      </c>
      <c r="AI964" s="72">
        <v>0.937848383500557</v>
      </c>
      <c r="AJ964" s="72">
        <v>0.960560911481157</v>
      </c>
      <c r="AK964" s="72">
        <v>0.973113616652212</v>
      </c>
      <c r="AL964" s="72">
        <v>0.947992327767821</v>
      </c>
      <c r="AM964" s="71">
        <v>0.99</v>
      </c>
      <c r="AN964" s="76">
        <v>1</v>
      </c>
      <c r="AO964" s="76">
        <v>1</v>
      </c>
      <c r="AP964" s="76">
        <v>1</v>
      </c>
      <c r="AQ964" s="76">
        <v>1</v>
      </c>
      <c r="AR964" s="96">
        <v>0.0656418488929858</v>
      </c>
      <c r="AS964" s="80">
        <v>0.0434782608695652</v>
      </c>
      <c r="AT964" s="80">
        <v>0</v>
      </c>
      <c r="AU964" s="80">
        <v>0.0869565217391304</v>
      </c>
      <c r="AV964" s="80">
        <v>0.0310880829015544</v>
      </c>
      <c r="AW964" s="36"/>
      <c r="AX964" s="34"/>
    </row>
    <row r="965" ht="14.5" spans="1:50">
      <c r="A965" s="32"/>
      <c r="B965" s="36"/>
      <c r="C965" s="115" t="s">
        <v>949</v>
      </c>
      <c r="D965" s="69" t="s">
        <v>23</v>
      </c>
      <c r="E965" s="118" t="s">
        <v>1014</v>
      </c>
      <c r="F965" s="119" t="s">
        <v>1014</v>
      </c>
      <c r="G965" s="119" t="s">
        <v>1014</v>
      </c>
      <c r="H965" s="119" t="s">
        <v>1014</v>
      </c>
      <c r="I965" s="71">
        <v>0.9</v>
      </c>
      <c r="J965" s="72">
        <v>0.785714285714286</v>
      </c>
      <c r="K965" s="72">
        <v>0.8</v>
      </c>
      <c r="L965" s="73">
        <v>0.790697674418605</v>
      </c>
      <c r="M965" s="72">
        <v>0.811224489795918</v>
      </c>
      <c r="N965" s="74">
        <v>0.9</v>
      </c>
      <c r="O965" s="72">
        <v>0.991961414790997</v>
      </c>
      <c r="P965" s="72">
        <v>0.987213019471084</v>
      </c>
      <c r="Q965" s="72">
        <v>0.995611468695143</v>
      </c>
      <c r="R965" s="72">
        <v>0.97997111822691</v>
      </c>
      <c r="S965" s="74">
        <v>0.9</v>
      </c>
      <c r="T965" s="72">
        <v>0.814040728831726</v>
      </c>
      <c r="U965" s="72">
        <v>0.798605056669573</v>
      </c>
      <c r="V965" s="72">
        <v>0.867466354593329</v>
      </c>
      <c r="W965" s="72">
        <v>0.834118164123815</v>
      </c>
      <c r="X965" s="74">
        <v>0.92</v>
      </c>
      <c r="Y965" s="74">
        <v>0.802702702702703</v>
      </c>
      <c r="Z965" s="74">
        <v>0.862116991643454</v>
      </c>
      <c r="AA965" s="74">
        <v>0.907488986784141</v>
      </c>
      <c r="AB965" s="74">
        <v>0.866899665064803</v>
      </c>
      <c r="AC965" s="74">
        <v>0.92</v>
      </c>
      <c r="AD965" s="72">
        <v>0.996632996632997</v>
      </c>
      <c r="AE965" s="72">
        <v>0.996719355800775</v>
      </c>
      <c r="AF965" s="72">
        <v>0.997481108312343</v>
      </c>
      <c r="AG965" s="72">
        <v>0.994922798720267</v>
      </c>
      <c r="AH965" s="74">
        <v>0.92</v>
      </c>
      <c r="AI965" s="72">
        <v>0.927549194991055</v>
      </c>
      <c r="AJ965" s="72">
        <v>0.943990384615385</v>
      </c>
      <c r="AK965" s="72">
        <v>0.959315765141008</v>
      </c>
      <c r="AL965" s="72">
        <v>0.94760220024275</v>
      </c>
      <c r="AM965" s="71">
        <v>0.99</v>
      </c>
      <c r="AN965" s="76">
        <v>1</v>
      </c>
      <c r="AO965" s="76">
        <v>1</v>
      </c>
      <c r="AP965" s="76">
        <v>1</v>
      </c>
      <c r="AQ965" s="76">
        <v>1</v>
      </c>
      <c r="AR965" s="96">
        <v>0.0656418488929858</v>
      </c>
      <c r="AS965" s="80">
        <v>0.05</v>
      </c>
      <c r="AT965" s="80">
        <v>0</v>
      </c>
      <c r="AU965" s="80">
        <v>0.0769230769230769</v>
      </c>
      <c r="AV965" s="80">
        <v>0.0490196078431373</v>
      </c>
      <c r="AW965" s="36"/>
      <c r="AX965" s="34"/>
    </row>
    <row r="966" ht="14.5" spans="1:50">
      <c r="A966" s="32"/>
      <c r="B966" s="36"/>
      <c r="C966" s="115" t="s">
        <v>949</v>
      </c>
      <c r="D966" s="69" t="s">
        <v>23</v>
      </c>
      <c r="E966" s="118" t="s">
        <v>1015</v>
      </c>
      <c r="F966" s="119" t="s">
        <v>1015</v>
      </c>
      <c r="G966" s="119" t="s">
        <v>1015</v>
      </c>
      <c r="H966" s="119" t="s">
        <v>1015</v>
      </c>
      <c r="I966" s="71">
        <v>0.9</v>
      </c>
      <c r="J966" s="72">
        <v>0.842105263157895</v>
      </c>
      <c r="K966" s="72">
        <v>0.65</v>
      </c>
      <c r="L966" s="73">
        <v>0.8</v>
      </c>
      <c r="M966" s="72">
        <v>0.812154696132597</v>
      </c>
      <c r="N966" s="74">
        <v>0.9</v>
      </c>
      <c r="O966" s="72">
        <v>0.877915632754342</v>
      </c>
      <c r="P966" s="72">
        <v>0.906779661016949</v>
      </c>
      <c r="Q966" s="72">
        <v>0.878740970072239</v>
      </c>
      <c r="R966" s="72">
        <v>0.900215078107313</v>
      </c>
      <c r="S966" s="74">
        <v>0.9</v>
      </c>
      <c r="T966" s="72">
        <v>0.896774193548387</v>
      </c>
      <c r="U966" s="72">
        <v>0.914724576271186</v>
      </c>
      <c r="V966" s="72">
        <v>0.864293085655315</v>
      </c>
      <c r="W966" s="72">
        <v>0.890876160289789</v>
      </c>
      <c r="X966" s="74">
        <v>0.92</v>
      </c>
      <c r="Y966" s="74">
        <v>0.882591093117409</v>
      </c>
      <c r="Z966" s="74">
        <v>0.891540130151844</v>
      </c>
      <c r="AA966" s="74">
        <v>0.897435897435897</v>
      </c>
      <c r="AB966" s="74">
        <v>0.884784114523205</v>
      </c>
      <c r="AC966" s="74">
        <v>0.92</v>
      </c>
      <c r="AD966" s="72">
        <v>0.998352417826839</v>
      </c>
      <c r="AE966" s="72">
        <v>0.996712010831023</v>
      </c>
      <c r="AF966" s="72">
        <v>0.996257663826738</v>
      </c>
      <c r="AG966" s="72">
        <v>0.981104579360767</v>
      </c>
      <c r="AH966" s="74">
        <v>0.92</v>
      </c>
      <c r="AI966" s="72">
        <v>0.933890880127439</v>
      </c>
      <c r="AJ966" s="72">
        <v>0.948554421768708</v>
      </c>
      <c r="AK966" s="72">
        <v>0.951267828843106</v>
      </c>
      <c r="AL966" s="72">
        <v>0.947430542945342</v>
      </c>
      <c r="AM966" s="71">
        <v>0.99</v>
      </c>
      <c r="AN966" s="76">
        <v>1</v>
      </c>
      <c r="AO966" s="76">
        <v>1</v>
      </c>
      <c r="AP966" s="76">
        <v>1</v>
      </c>
      <c r="AQ966" s="76">
        <v>1</v>
      </c>
      <c r="AR966" s="96">
        <v>0.0656418488929858</v>
      </c>
      <c r="AS966" s="80">
        <v>0</v>
      </c>
      <c r="AT966" s="80">
        <v>0</v>
      </c>
      <c r="AU966" s="80">
        <v>0.111111111111111</v>
      </c>
      <c r="AV966" s="80">
        <v>0.0354609929078014</v>
      </c>
      <c r="AW966" s="36"/>
      <c r="AX966" s="34"/>
    </row>
    <row r="967" ht="14.5" spans="1:50">
      <c r="A967" s="32"/>
      <c r="B967" s="36"/>
      <c r="C967" s="115" t="s">
        <v>949</v>
      </c>
      <c r="D967" s="69" t="s">
        <v>23</v>
      </c>
      <c r="E967" s="118" t="s">
        <v>1016</v>
      </c>
      <c r="F967" s="119" t="s">
        <v>1016</v>
      </c>
      <c r="G967" s="119" t="s">
        <v>1016</v>
      </c>
      <c r="H967" s="119" t="s">
        <v>1016</v>
      </c>
      <c r="I967" s="71">
        <v>0.9</v>
      </c>
      <c r="J967" s="72">
        <v>0.84375</v>
      </c>
      <c r="K967" s="72">
        <v>0.848484848484849</v>
      </c>
      <c r="L967" s="73">
        <v>1</v>
      </c>
      <c r="M967" s="72">
        <v>0.851851851851852</v>
      </c>
      <c r="N967" s="74">
        <v>0.9</v>
      </c>
      <c r="O967" s="72">
        <v>0.880813953488372</v>
      </c>
      <c r="P967" s="72">
        <v>0.856100104275287</v>
      </c>
      <c r="Q967" s="72">
        <v>0.925498426023085</v>
      </c>
      <c r="R967" s="72">
        <v>0.893373837098918</v>
      </c>
      <c r="S967" s="74">
        <v>0.9</v>
      </c>
      <c r="T967" s="72">
        <v>0.814599483204134</v>
      </c>
      <c r="U967" s="72">
        <v>0.889468196037539</v>
      </c>
      <c r="V967" s="72">
        <v>0.894368660370759</v>
      </c>
      <c r="W967" s="72">
        <v>0.877501423960509</v>
      </c>
      <c r="X967" s="74">
        <v>0.92</v>
      </c>
      <c r="Y967" s="74">
        <v>0.83661119515885</v>
      </c>
      <c r="Z967" s="74">
        <v>0.89776357827476</v>
      </c>
      <c r="AA967" s="74">
        <v>0.916063675832127</v>
      </c>
      <c r="AB967" s="74">
        <v>0.888499415790352</v>
      </c>
      <c r="AC967" s="74">
        <v>0.92</v>
      </c>
      <c r="AD967" s="72">
        <v>0.997638415114143</v>
      </c>
      <c r="AE967" s="72">
        <v>0.997356192917802</v>
      </c>
      <c r="AF967" s="72">
        <v>0.986162562649815</v>
      </c>
      <c r="AG967" s="72">
        <v>0.990879089731131</v>
      </c>
      <c r="AH967" s="74">
        <v>0.92</v>
      </c>
      <c r="AI967" s="72">
        <v>0.927069470322065</v>
      </c>
      <c r="AJ967" s="72">
        <v>0.962318013131601</v>
      </c>
      <c r="AK967" s="72">
        <v>0.945367502112081</v>
      </c>
      <c r="AL967" s="72">
        <v>0.950790263214871</v>
      </c>
      <c r="AM967" s="71">
        <v>0.99</v>
      </c>
      <c r="AN967" s="76">
        <v>1</v>
      </c>
      <c r="AO967" s="76">
        <v>1</v>
      </c>
      <c r="AP967" s="76">
        <v>1</v>
      </c>
      <c r="AQ967" s="76">
        <v>1</v>
      </c>
      <c r="AR967" s="96">
        <v>0.0656418488929858</v>
      </c>
      <c r="AS967" s="80">
        <v>0.08</v>
      </c>
      <c r="AT967" s="80">
        <v>0.0344827586206897</v>
      </c>
      <c r="AU967" s="80">
        <v>0</v>
      </c>
      <c r="AV967" s="80">
        <v>0.0690909090909091</v>
      </c>
      <c r="AW967" s="36"/>
      <c r="AX967" s="34"/>
    </row>
    <row r="968" ht="14.5" spans="1:50">
      <c r="A968" s="32"/>
      <c r="B968" s="36"/>
      <c r="C968" s="115" t="s">
        <v>949</v>
      </c>
      <c r="D968" s="69" t="s">
        <v>23</v>
      </c>
      <c r="E968" s="118" t="s">
        <v>1017</v>
      </c>
      <c r="F968" s="119" t="s">
        <v>1017</v>
      </c>
      <c r="G968" s="119" t="s">
        <v>1017</v>
      </c>
      <c r="H968" s="119" t="s">
        <v>1017</v>
      </c>
      <c r="I968" s="71">
        <v>0.9</v>
      </c>
      <c r="J968" s="72">
        <v>0.9375</v>
      </c>
      <c r="K968" s="72">
        <v>0.941176470588235</v>
      </c>
      <c r="L968" s="73">
        <v>0.947368421052632</v>
      </c>
      <c r="M968" s="72">
        <v>0.911242603550296</v>
      </c>
      <c r="N968" s="74">
        <v>0.9</v>
      </c>
      <c r="O968" s="72">
        <v>0.964830508474576</v>
      </c>
      <c r="P968" s="72">
        <v>0.972448057813912</v>
      </c>
      <c r="Q968" s="72">
        <v>0.980674157303371</v>
      </c>
      <c r="R968" s="72">
        <v>0.976089471654454</v>
      </c>
      <c r="S968" s="74">
        <v>0.9</v>
      </c>
      <c r="T968" s="72">
        <v>0.875847457627119</v>
      </c>
      <c r="U968" s="72">
        <v>0.919150858175248</v>
      </c>
      <c r="V968" s="72">
        <v>0.901573033707865</v>
      </c>
      <c r="W968" s="72">
        <v>0.896885846509834</v>
      </c>
      <c r="X968" s="74">
        <v>0.92</v>
      </c>
      <c r="Y968" s="74">
        <v>0.896</v>
      </c>
      <c r="Z968" s="74">
        <v>0.965765765765766</v>
      </c>
      <c r="AA968" s="74">
        <v>0.969512195121951</v>
      </c>
      <c r="AB968" s="74">
        <v>0.94647201946472</v>
      </c>
      <c r="AC968" s="74">
        <v>0.92</v>
      </c>
      <c r="AD968" s="72">
        <v>0.995906573561281</v>
      </c>
      <c r="AE968" s="72">
        <v>0.993353094404024</v>
      </c>
      <c r="AF968" s="72">
        <v>0.976210903985649</v>
      </c>
      <c r="AG968" s="72">
        <v>0.973309323729492</v>
      </c>
      <c r="AH968" s="74">
        <v>0.92</v>
      </c>
      <c r="AI968" s="72">
        <v>0.951048951048951</v>
      </c>
      <c r="AJ968" s="72">
        <v>0.978331527627302</v>
      </c>
      <c r="AK968" s="72">
        <v>0.982644914960083</v>
      </c>
      <c r="AL968" s="72">
        <v>0.972464558342421</v>
      </c>
      <c r="AM968" s="71">
        <v>0.99</v>
      </c>
      <c r="AN968" s="76">
        <v>1</v>
      </c>
      <c r="AO968" s="76">
        <v>1</v>
      </c>
      <c r="AP968" s="76">
        <v>1</v>
      </c>
      <c r="AQ968" s="76">
        <v>1</v>
      </c>
      <c r="AR968" s="96">
        <v>0.0656418488929858</v>
      </c>
      <c r="AS968" s="80">
        <v>0</v>
      </c>
      <c r="AT968" s="80">
        <v>0.0769230769230769</v>
      </c>
      <c r="AU968" s="80">
        <v>0</v>
      </c>
      <c r="AV968" s="80">
        <v>0.0236220472440945</v>
      </c>
      <c r="AW968" s="36"/>
      <c r="AX968" s="34"/>
    </row>
    <row r="969" ht="14.5" spans="1:50">
      <c r="A969" s="32"/>
      <c r="B969" s="36"/>
      <c r="C969" s="115" t="s">
        <v>949</v>
      </c>
      <c r="D969" s="69" t="s">
        <v>23</v>
      </c>
      <c r="E969" s="118" t="s">
        <v>1018</v>
      </c>
      <c r="F969" s="119" t="s">
        <v>1018</v>
      </c>
      <c r="G969" s="119" t="s">
        <v>1018</v>
      </c>
      <c r="H969" s="119" t="s">
        <v>1018</v>
      </c>
      <c r="I969" s="71">
        <v>0.9</v>
      </c>
      <c r="J969" s="72">
        <v>0</v>
      </c>
      <c r="K969" s="72">
        <v>0</v>
      </c>
      <c r="L969" s="73">
        <v>0</v>
      </c>
      <c r="M969" s="72">
        <v>0</v>
      </c>
      <c r="N969" s="74">
        <v>0.9</v>
      </c>
      <c r="O969" s="72">
        <v>0</v>
      </c>
      <c r="P969" s="72">
        <v>0</v>
      </c>
      <c r="Q969" s="72">
        <v>0</v>
      </c>
      <c r="R969" s="72">
        <v>0</v>
      </c>
      <c r="S969" s="74">
        <v>0.9</v>
      </c>
      <c r="T969" s="72">
        <v>0</v>
      </c>
      <c r="U969" s="72">
        <v>0</v>
      </c>
      <c r="V969" s="72">
        <v>0</v>
      </c>
      <c r="W969" s="72">
        <v>0</v>
      </c>
      <c r="X969" s="74">
        <v>0.92</v>
      </c>
      <c r="Y969" s="74">
        <v>0</v>
      </c>
      <c r="Z969" s="74">
        <v>0</v>
      </c>
      <c r="AA969" s="74">
        <v>0</v>
      </c>
      <c r="AB969" s="74">
        <v>0</v>
      </c>
      <c r="AC969" s="74">
        <v>0.92</v>
      </c>
      <c r="AD969" s="72">
        <v>0</v>
      </c>
      <c r="AE969" s="72">
        <v>0</v>
      </c>
      <c r="AF969" s="72">
        <v>0</v>
      </c>
      <c r="AG969" s="72">
        <v>0</v>
      </c>
      <c r="AH969" s="74">
        <v>0.92</v>
      </c>
      <c r="AI969" s="72">
        <v>0</v>
      </c>
      <c r="AJ969" s="72">
        <v>0</v>
      </c>
      <c r="AK969" s="72">
        <v>0</v>
      </c>
      <c r="AL969" s="72">
        <v>0</v>
      </c>
      <c r="AM969" s="71">
        <v>0.99</v>
      </c>
      <c r="AN969" s="76">
        <v>0</v>
      </c>
      <c r="AO969" s="76">
        <v>0</v>
      </c>
      <c r="AP969" s="76">
        <v>0</v>
      </c>
      <c r="AQ969" s="76">
        <v>0</v>
      </c>
      <c r="AR969" s="96">
        <v>0.0656418488929858</v>
      </c>
      <c r="AS969" s="80">
        <v>0</v>
      </c>
      <c r="AT969" s="80">
        <v>0</v>
      </c>
      <c r="AU969" s="80">
        <v>0</v>
      </c>
      <c r="AV969" s="80">
        <v>0</v>
      </c>
      <c r="AW969" s="36"/>
      <c r="AX969" s="34"/>
    </row>
    <row r="970" ht="14.5" spans="1:50">
      <c r="A970" s="32"/>
      <c r="B970" s="36"/>
      <c r="C970" s="115" t="s">
        <v>949</v>
      </c>
      <c r="D970" s="69" t="s">
        <v>23</v>
      </c>
      <c r="E970" s="118" t="s">
        <v>1019</v>
      </c>
      <c r="F970" s="119" t="s">
        <v>1019</v>
      </c>
      <c r="G970" s="119" t="s">
        <v>1019</v>
      </c>
      <c r="H970" s="119" t="s">
        <v>1019</v>
      </c>
      <c r="I970" s="71">
        <v>0.9</v>
      </c>
      <c r="J970" s="72">
        <v>0.714285714285714</v>
      </c>
      <c r="K970" s="72">
        <v>0.8</v>
      </c>
      <c r="L970" s="73">
        <v>0.931034482758621</v>
      </c>
      <c r="M970" s="72">
        <v>0.876068376068376</v>
      </c>
      <c r="N970" s="74">
        <v>0.9</v>
      </c>
      <c r="O970" s="72">
        <v>0.814102564102564</v>
      </c>
      <c r="P970" s="72">
        <v>0.833333333333333</v>
      </c>
      <c r="Q970" s="72">
        <v>0.868074930251096</v>
      </c>
      <c r="R970" s="72">
        <v>0.855418581676045</v>
      </c>
      <c r="S970" s="74">
        <v>0.9</v>
      </c>
      <c r="T970" s="72">
        <v>0.824786324786325</v>
      </c>
      <c r="U970" s="72">
        <v>0.882730015082956</v>
      </c>
      <c r="V970" s="72">
        <v>0.919091271422878</v>
      </c>
      <c r="W970" s="72">
        <v>0.886087367381126</v>
      </c>
      <c r="X970" s="74">
        <v>0.92</v>
      </c>
      <c r="Y970" s="74">
        <v>0.925117004680187</v>
      </c>
      <c r="Z970" s="74">
        <v>0.933333333333333</v>
      </c>
      <c r="AA970" s="74">
        <v>0.96195652173913</v>
      </c>
      <c r="AB970" s="74">
        <v>0.937871420853593</v>
      </c>
      <c r="AC970" s="74">
        <v>0.92</v>
      </c>
      <c r="AD970" s="72">
        <v>0.726647000983284</v>
      </c>
      <c r="AE970" s="72">
        <v>0.731974299992068</v>
      </c>
      <c r="AF970" s="72">
        <v>0.58714155854888</v>
      </c>
      <c r="AG970" s="72">
        <v>0.590241912303313</v>
      </c>
      <c r="AH970" s="74">
        <v>0.92</v>
      </c>
      <c r="AI970" s="72">
        <v>0.960289855072464</v>
      </c>
      <c r="AJ970" s="72">
        <v>0.974430932335516</v>
      </c>
      <c r="AK970" s="72">
        <v>0.983050847457627</v>
      </c>
      <c r="AL970" s="72">
        <v>0.974623864660612</v>
      </c>
      <c r="AM970" s="71">
        <v>0.99</v>
      </c>
      <c r="AN970" s="76">
        <v>1</v>
      </c>
      <c r="AO970" s="76">
        <v>1</v>
      </c>
      <c r="AP970" s="76">
        <v>1</v>
      </c>
      <c r="AQ970" s="76">
        <v>1</v>
      </c>
      <c r="AR970" s="96">
        <v>0.0656418488929858</v>
      </c>
      <c r="AS970" s="80">
        <v>0</v>
      </c>
      <c r="AT970" s="80">
        <v>0</v>
      </c>
      <c r="AU970" s="80">
        <v>0</v>
      </c>
      <c r="AV970" s="80">
        <v>0.0188679245283019</v>
      </c>
      <c r="AW970" s="36"/>
      <c r="AX970" s="34"/>
    </row>
    <row r="971" ht="14.5" spans="1:50">
      <c r="A971" s="32"/>
      <c r="B971" s="36"/>
      <c r="C971" s="115" t="s">
        <v>949</v>
      </c>
      <c r="D971" s="69" t="s">
        <v>23</v>
      </c>
      <c r="E971" s="118" t="s">
        <v>1020</v>
      </c>
      <c r="F971" s="119" t="s">
        <v>1020</v>
      </c>
      <c r="G971" s="119" t="s">
        <v>1020</v>
      </c>
      <c r="H971" s="119" t="s">
        <v>1020</v>
      </c>
      <c r="I971" s="71">
        <v>0.9</v>
      </c>
      <c r="J971" s="72">
        <v>0</v>
      </c>
      <c r="K971" s="72">
        <v>0</v>
      </c>
      <c r="L971" s="73">
        <v>0</v>
      </c>
      <c r="M971" s="72">
        <v>0</v>
      </c>
      <c r="N971" s="74">
        <v>0.9</v>
      </c>
      <c r="O971" s="72">
        <v>0</v>
      </c>
      <c r="P971" s="72">
        <v>0</v>
      </c>
      <c r="Q971" s="72">
        <v>0</v>
      </c>
      <c r="R971" s="72">
        <v>0</v>
      </c>
      <c r="S971" s="74">
        <v>0.9</v>
      </c>
      <c r="T971" s="72">
        <v>0</v>
      </c>
      <c r="U971" s="72">
        <v>0</v>
      </c>
      <c r="V971" s="72">
        <v>0</v>
      </c>
      <c r="W971" s="72">
        <v>0</v>
      </c>
      <c r="X971" s="74">
        <v>0.92</v>
      </c>
      <c r="Y971" s="74">
        <v>0</v>
      </c>
      <c r="Z971" s="74">
        <v>0</v>
      </c>
      <c r="AA971" s="74">
        <v>0</v>
      </c>
      <c r="AB971" s="74">
        <v>0</v>
      </c>
      <c r="AC971" s="74">
        <v>0.92</v>
      </c>
      <c r="AD971" s="72">
        <v>0</v>
      </c>
      <c r="AE971" s="72">
        <v>0</v>
      </c>
      <c r="AF971" s="72">
        <v>0</v>
      </c>
      <c r="AG971" s="72">
        <v>0</v>
      </c>
      <c r="AH971" s="74">
        <v>0.92</v>
      </c>
      <c r="AI971" s="72">
        <v>0</v>
      </c>
      <c r="AJ971" s="72">
        <v>0</v>
      </c>
      <c r="AK971" s="72">
        <v>0</v>
      </c>
      <c r="AL971" s="72">
        <v>0</v>
      </c>
      <c r="AM971" s="71">
        <v>0.99</v>
      </c>
      <c r="AN971" s="76">
        <v>0</v>
      </c>
      <c r="AO971" s="76">
        <v>0</v>
      </c>
      <c r="AP971" s="76">
        <v>0</v>
      </c>
      <c r="AQ971" s="76">
        <v>0</v>
      </c>
      <c r="AR971" s="96">
        <v>0.0656418488929858</v>
      </c>
      <c r="AS971" s="80">
        <v>0</v>
      </c>
      <c r="AT971" s="80">
        <v>0</v>
      </c>
      <c r="AU971" s="80">
        <v>0</v>
      </c>
      <c r="AV971" s="80">
        <v>0</v>
      </c>
      <c r="AW971" s="36"/>
      <c r="AX971" s="34"/>
    </row>
    <row r="972" ht="14.5" spans="1:50">
      <c r="A972" s="32"/>
      <c r="B972" s="36"/>
      <c r="C972" s="115" t="s">
        <v>949</v>
      </c>
      <c r="D972" s="69" t="s">
        <v>23</v>
      </c>
      <c r="E972" s="118" t="s">
        <v>1021</v>
      </c>
      <c r="F972" s="119" t="s">
        <v>1021</v>
      </c>
      <c r="G972" s="119" t="s">
        <v>1021</v>
      </c>
      <c r="H972" s="119" t="s">
        <v>1021</v>
      </c>
      <c r="I972" s="71">
        <v>0.9</v>
      </c>
      <c r="J972" s="72">
        <v>0.857142857142857</v>
      </c>
      <c r="K972" s="72">
        <v>0.826086956521739</v>
      </c>
      <c r="L972" s="73">
        <v>0.904761904761905</v>
      </c>
      <c r="M972" s="72">
        <v>0.86</v>
      </c>
      <c r="N972" s="74">
        <v>0.9</v>
      </c>
      <c r="O972" s="72">
        <v>0.812579147319544</v>
      </c>
      <c r="P972" s="72">
        <v>0.864263462394304</v>
      </c>
      <c r="Q972" s="72">
        <v>0.895333624073266</v>
      </c>
      <c r="R972" s="72">
        <v>0.888262065042192</v>
      </c>
      <c r="S972" s="74">
        <v>0.9</v>
      </c>
      <c r="T972" s="72">
        <v>0.861544955677501</v>
      </c>
      <c r="U972" s="72">
        <v>0.849577214063195</v>
      </c>
      <c r="V972" s="72">
        <v>0.863497601395552</v>
      </c>
      <c r="W972" s="72">
        <v>0.848961790082488</v>
      </c>
      <c r="X972" s="74">
        <v>0.92</v>
      </c>
      <c r="Y972" s="74">
        <v>0.854578096947935</v>
      </c>
      <c r="Z972" s="74">
        <v>0.845474613686534</v>
      </c>
      <c r="AA972" s="74">
        <v>0.926994906621392</v>
      </c>
      <c r="AB972" s="74">
        <v>0.878959513320747</v>
      </c>
      <c r="AC972" s="74">
        <v>0.92</v>
      </c>
      <c r="AD972" s="72">
        <v>0.99910654456109</v>
      </c>
      <c r="AE972" s="72">
        <v>0.994064181042478</v>
      </c>
      <c r="AF972" s="72">
        <v>0.994697228874444</v>
      </c>
      <c r="AG972" s="72">
        <v>0.989529914529915</v>
      </c>
      <c r="AH972" s="74">
        <v>0.92</v>
      </c>
      <c r="AI972" s="72">
        <v>0.920396310215237</v>
      </c>
      <c r="AJ972" s="72">
        <v>0.940414507772021</v>
      </c>
      <c r="AK972" s="72">
        <v>0.964260929909785</v>
      </c>
      <c r="AL972" s="72">
        <v>0.945537474392177</v>
      </c>
      <c r="AM972" s="71">
        <v>0.99</v>
      </c>
      <c r="AN972" s="76">
        <v>1</v>
      </c>
      <c r="AO972" s="76">
        <v>1</v>
      </c>
      <c r="AP972" s="76">
        <v>1</v>
      </c>
      <c r="AQ972" s="76">
        <v>1</v>
      </c>
      <c r="AR972" s="96">
        <v>0.0656418488929858</v>
      </c>
      <c r="AS972" s="80">
        <v>0</v>
      </c>
      <c r="AT972" s="80">
        <v>0.0833333333333333</v>
      </c>
      <c r="AU972" s="80">
        <v>0.0588235294117647</v>
      </c>
      <c r="AV972" s="80">
        <v>0.0425531914893617</v>
      </c>
      <c r="AW972" s="36"/>
      <c r="AX972" s="34"/>
    </row>
    <row r="973" ht="14.5" spans="1:50">
      <c r="A973" s="32"/>
      <c r="B973" s="36"/>
      <c r="C973" s="115" t="s">
        <v>949</v>
      </c>
      <c r="D973" s="69" t="s">
        <v>23</v>
      </c>
      <c r="E973" s="118" t="s">
        <v>1022</v>
      </c>
      <c r="F973" s="119" t="s">
        <v>1022</v>
      </c>
      <c r="G973" s="119" t="s">
        <v>1022</v>
      </c>
      <c r="H973" s="119" t="s">
        <v>1022</v>
      </c>
      <c r="I973" s="71">
        <v>0.9</v>
      </c>
      <c r="J973" s="72">
        <v>0.904761904761905</v>
      </c>
      <c r="K973" s="72">
        <v>0.772727272727273</v>
      </c>
      <c r="L973" s="73">
        <v>0.904761904761905</v>
      </c>
      <c r="M973" s="72">
        <v>0.87027027027027</v>
      </c>
      <c r="N973" s="74">
        <v>0.9</v>
      </c>
      <c r="O973" s="72">
        <v>0.95813679245283</v>
      </c>
      <c r="P973" s="72">
        <v>0.819277108433735</v>
      </c>
      <c r="Q973" s="72">
        <v>0.968042609853529</v>
      </c>
      <c r="R973" s="72">
        <v>0.929153740711348</v>
      </c>
      <c r="S973" s="74">
        <v>0.9</v>
      </c>
      <c r="T973" s="72">
        <v>0.854952830188679</v>
      </c>
      <c r="U973" s="72">
        <v>0.865567533291059</v>
      </c>
      <c r="V973" s="72">
        <v>0.845539280958722</v>
      </c>
      <c r="W973" s="72">
        <v>0.868263473053892</v>
      </c>
      <c r="X973" s="74">
        <v>0.92</v>
      </c>
      <c r="Y973" s="74">
        <v>0.910919540229885</v>
      </c>
      <c r="Z973" s="74">
        <v>0.860759493670886</v>
      </c>
      <c r="AA973" s="74">
        <v>0.864928909952607</v>
      </c>
      <c r="AB973" s="74">
        <v>0.910059171597633</v>
      </c>
      <c r="AC973" s="74">
        <v>0.92</v>
      </c>
      <c r="AD973" s="72">
        <v>0.998385794995964</v>
      </c>
      <c r="AE973" s="72">
        <v>0.99869218880038</v>
      </c>
      <c r="AF973" s="72">
        <v>0.99859747545582</v>
      </c>
      <c r="AG973" s="72">
        <v>0.998703058459156</v>
      </c>
      <c r="AH973" s="74">
        <v>0.92</v>
      </c>
      <c r="AI973" s="72">
        <v>0.950587084148728</v>
      </c>
      <c r="AJ973" s="72">
        <v>0.940699442473391</v>
      </c>
      <c r="AK973" s="72">
        <v>0.952727272727273</v>
      </c>
      <c r="AL973" s="72">
        <v>0.960737690657078</v>
      </c>
      <c r="AM973" s="71">
        <v>0.99</v>
      </c>
      <c r="AN973" s="76">
        <v>1</v>
      </c>
      <c r="AO973" s="76">
        <v>1</v>
      </c>
      <c r="AP973" s="76">
        <v>1</v>
      </c>
      <c r="AQ973" s="76">
        <v>1</v>
      </c>
      <c r="AR973" s="96">
        <v>0.0656418488929858</v>
      </c>
      <c r="AS973" s="80">
        <v>0.0714285714285714</v>
      </c>
      <c r="AT973" s="80">
        <v>0</v>
      </c>
      <c r="AU973" s="80">
        <v>0.0769230769230769</v>
      </c>
      <c r="AV973" s="80">
        <v>0.0695652173913043</v>
      </c>
      <c r="AW973" s="36"/>
      <c r="AX973" s="34"/>
    </row>
    <row r="974" ht="14.5" spans="1:50">
      <c r="A974" s="32"/>
      <c r="B974" s="36"/>
      <c r="C974" s="115" t="s">
        <v>949</v>
      </c>
      <c r="D974" s="69" t="s">
        <v>23</v>
      </c>
      <c r="E974" s="120" t="s">
        <v>1023</v>
      </c>
      <c r="F974" s="121" t="s">
        <v>1023</v>
      </c>
      <c r="G974" s="121" t="s">
        <v>1023</v>
      </c>
      <c r="H974" s="121" t="s">
        <v>1023</v>
      </c>
      <c r="I974" s="71">
        <v>0.9</v>
      </c>
      <c r="J974" s="72">
        <v>0.8</v>
      </c>
      <c r="K974" s="72">
        <v>1</v>
      </c>
      <c r="L974" s="73">
        <v>0.933333333333333</v>
      </c>
      <c r="M974" s="72">
        <v>0.843283582089552</v>
      </c>
      <c r="N974" s="74">
        <v>0.9</v>
      </c>
      <c r="O974" s="72">
        <v>0.911436541143654</v>
      </c>
      <c r="P974" s="72">
        <v>0.904176904176904</v>
      </c>
      <c r="Q974" s="72">
        <v>0.897862232779097</v>
      </c>
      <c r="R974" s="72">
        <v>0.907430997876858</v>
      </c>
      <c r="S974" s="74">
        <v>0.9</v>
      </c>
      <c r="T974" s="72">
        <v>0.929567642956764</v>
      </c>
      <c r="U974" s="72">
        <v>0.918099918099918</v>
      </c>
      <c r="V974" s="72">
        <v>0.922406967537609</v>
      </c>
      <c r="W974" s="72">
        <v>0.927048832271762</v>
      </c>
      <c r="X974" s="74">
        <v>0.92</v>
      </c>
      <c r="Y974" s="74">
        <v>0.900958466453674</v>
      </c>
      <c r="Z974" s="74">
        <v>0.923312883435583</v>
      </c>
      <c r="AA974" s="74">
        <v>0.930362116991644</v>
      </c>
      <c r="AB974" s="74">
        <v>0.927781617138908</v>
      </c>
      <c r="AC974" s="74">
        <v>0.92</v>
      </c>
      <c r="AD974" s="72">
        <v>0.999596285829633</v>
      </c>
      <c r="AE974" s="72">
        <v>0.999002991026919</v>
      </c>
      <c r="AF974" s="72">
        <v>0.999393203883495</v>
      </c>
      <c r="AG974" s="72">
        <v>0.999725169021052</v>
      </c>
      <c r="AH974" s="74">
        <v>0.92</v>
      </c>
      <c r="AI974" s="72">
        <v>0.961076130509445</v>
      </c>
      <c r="AJ974" s="72">
        <v>0.967679379444085</v>
      </c>
      <c r="AK974" s="72">
        <v>0.973489519112207</v>
      </c>
      <c r="AL974" s="72">
        <v>0.970764617691154</v>
      </c>
      <c r="AM974" s="71">
        <v>0.99</v>
      </c>
      <c r="AN974" s="76">
        <v>1</v>
      </c>
      <c r="AO974" s="76">
        <v>1</v>
      </c>
      <c r="AP974" s="76">
        <v>1</v>
      </c>
      <c r="AQ974" s="76">
        <v>1</v>
      </c>
      <c r="AR974" s="96">
        <v>0.0656418488929858</v>
      </c>
      <c r="AS974" s="80">
        <v>0.1</v>
      </c>
      <c r="AT974" s="80">
        <v>0</v>
      </c>
      <c r="AU974" s="80">
        <v>0.166666666666667</v>
      </c>
      <c r="AV974" s="80">
        <v>0.0465116279069767</v>
      </c>
      <c r="AW974" s="36"/>
      <c r="AX974" s="34"/>
    </row>
    <row r="975" ht="14.5" spans="1:50">
      <c r="A975" s="32"/>
      <c r="B975" s="36"/>
      <c r="C975" s="115" t="s">
        <v>949</v>
      </c>
      <c r="D975" s="69" t="s">
        <v>23</v>
      </c>
      <c r="E975" s="126" t="s">
        <v>1024</v>
      </c>
      <c r="F975" s="127" t="s">
        <v>1024</v>
      </c>
      <c r="G975" s="127" t="s">
        <v>1024</v>
      </c>
      <c r="H975" s="127" t="s">
        <v>1024</v>
      </c>
      <c r="I975" s="71">
        <v>0.9</v>
      </c>
      <c r="J975" s="72">
        <v>0.846153846153846</v>
      </c>
      <c r="K975" s="72">
        <v>0.916666666666667</v>
      </c>
      <c r="L975" s="73">
        <v>0.846153846153846</v>
      </c>
      <c r="M975" s="72">
        <v>0.887931034482759</v>
      </c>
      <c r="N975" s="74">
        <v>0.9</v>
      </c>
      <c r="O975" s="72">
        <v>0.914327917282127</v>
      </c>
      <c r="P975" s="72">
        <v>0.928813559322034</v>
      </c>
      <c r="Q975" s="72">
        <v>0.98655462184874</v>
      </c>
      <c r="R975" s="72">
        <v>0.968091670339357</v>
      </c>
      <c r="S975" s="74">
        <v>0.9</v>
      </c>
      <c r="T975" s="72">
        <v>0.75480059084195</v>
      </c>
      <c r="U975" s="72">
        <v>0.86271186440678</v>
      </c>
      <c r="V975" s="72">
        <v>0.925210084033613</v>
      </c>
      <c r="W975" s="72">
        <v>0.831026884089907</v>
      </c>
      <c r="X975" s="74">
        <v>0.92</v>
      </c>
      <c r="Y975" s="74">
        <v>0.705357142857143</v>
      </c>
      <c r="Z975" s="74">
        <v>0.778443113772455</v>
      </c>
      <c r="AA975" s="74">
        <v>0.927170868347339</v>
      </c>
      <c r="AB975" s="74">
        <v>0.852526641457546</v>
      </c>
      <c r="AC975" s="74">
        <v>0.92</v>
      </c>
      <c r="AD975" s="72">
        <v>0.996569468267582</v>
      </c>
      <c r="AE975" s="72">
        <v>1</v>
      </c>
      <c r="AF975" s="72">
        <v>0.999240698557327</v>
      </c>
      <c r="AG975" s="72">
        <v>0.999313658201785</v>
      </c>
      <c r="AH975" s="74">
        <v>0.92</v>
      </c>
      <c r="AI975" s="72">
        <v>0.892434988179669</v>
      </c>
      <c r="AJ975" s="72">
        <v>0.936591809775429</v>
      </c>
      <c r="AK975" s="72">
        <v>0.970930232558139</v>
      </c>
      <c r="AL975" s="72">
        <v>0.947888904474681</v>
      </c>
      <c r="AM975" s="71">
        <v>0.99</v>
      </c>
      <c r="AN975" s="76">
        <v>1</v>
      </c>
      <c r="AO975" s="76">
        <v>1</v>
      </c>
      <c r="AP975" s="76">
        <v>1</v>
      </c>
      <c r="AQ975" s="76">
        <v>1</v>
      </c>
      <c r="AR975" s="96">
        <v>0.0656418488929858</v>
      </c>
      <c r="AS975" s="80">
        <v>0.230769230769231</v>
      </c>
      <c r="AT975" s="80">
        <v>0</v>
      </c>
      <c r="AU975" s="80">
        <v>0</v>
      </c>
      <c r="AV975" s="80">
        <v>0.0379746835443038</v>
      </c>
      <c r="AW975" s="36"/>
      <c r="AX975" s="34"/>
    </row>
    <row r="976" ht="14.5" spans="1:50">
      <c r="A976" s="32"/>
      <c r="B976" s="36"/>
      <c r="C976" s="115" t="s">
        <v>949</v>
      </c>
      <c r="D976" s="69" t="s">
        <v>23</v>
      </c>
      <c r="E976" s="116" t="s">
        <v>1025</v>
      </c>
      <c r="F976" s="117" t="s">
        <v>1025</v>
      </c>
      <c r="G976" s="117" t="s">
        <v>1025</v>
      </c>
      <c r="H976" s="117" t="s">
        <v>1025</v>
      </c>
      <c r="I976" s="71">
        <v>0.9</v>
      </c>
      <c r="J976" s="72">
        <v>0.870967741935484</v>
      </c>
      <c r="K976" s="72">
        <v>0.918918918918919</v>
      </c>
      <c r="L976" s="73">
        <v>0.947368421052632</v>
      </c>
      <c r="M976" s="72">
        <v>0.917177914110429</v>
      </c>
      <c r="N976" s="74">
        <v>0.9</v>
      </c>
      <c r="O976" s="72">
        <v>0.792220828105395</v>
      </c>
      <c r="P976" s="72">
        <v>0.936324167872648</v>
      </c>
      <c r="Q976" s="72">
        <v>0.954288522978619</v>
      </c>
      <c r="R976" s="72">
        <v>0.913605919844442</v>
      </c>
      <c r="S976" s="74">
        <v>0.9</v>
      </c>
      <c r="T976" s="72">
        <v>0.774404015056462</v>
      </c>
      <c r="U976" s="72">
        <v>0.893632416787265</v>
      </c>
      <c r="V976" s="72">
        <v>0.905382157778324</v>
      </c>
      <c r="W976" s="72">
        <v>0.866857513233229</v>
      </c>
      <c r="X976" s="74">
        <v>0.92</v>
      </c>
      <c r="Y976" s="74">
        <v>0</v>
      </c>
      <c r="Z976" s="74">
        <v>0</v>
      </c>
      <c r="AA976" s="74">
        <v>0</v>
      </c>
      <c r="AB976" s="74">
        <v>0</v>
      </c>
      <c r="AC976" s="74">
        <v>0.92</v>
      </c>
      <c r="AD976" s="72">
        <v>0.993455497382199</v>
      </c>
      <c r="AE976" s="72">
        <v>0.976334951456311</v>
      </c>
      <c r="AF976" s="72">
        <v>0.978811065332549</v>
      </c>
      <c r="AG976" s="72">
        <v>0.980847243466117</v>
      </c>
      <c r="AH976" s="74">
        <v>0.92</v>
      </c>
      <c r="AI976" s="72">
        <v>0.844165621079046</v>
      </c>
      <c r="AJ976" s="72">
        <v>0.933671008200675</v>
      </c>
      <c r="AK976" s="72">
        <v>0.934136151388548</v>
      </c>
      <c r="AL976" s="72">
        <v>0.920548759080721</v>
      </c>
      <c r="AM976" s="71">
        <v>0.99</v>
      </c>
      <c r="AN976" s="76">
        <v>1</v>
      </c>
      <c r="AO976" s="76">
        <v>1</v>
      </c>
      <c r="AP976" s="76">
        <v>1</v>
      </c>
      <c r="AQ976" s="76">
        <v>1</v>
      </c>
      <c r="AR976" s="96">
        <v>0.0656418488929858</v>
      </c>
      <c r="AS976" s="80">
        <v>0</v>
      </c>
      <c r="AT976" s="80">
        <v>0.08</v>
      </c>
      <c r="AU976" s="80">
        <v>0</v>
      </c>
      <c r="AV976" s="80">
        <v>0.027027027027027</v>
      </c>
      <c r="AW976" s="36"/>
      <c r="AX976" s="34"/>
    </row>
    <row r="977" ht="14.5" spans="1:50">
      <c r="A977" s="32"/>
      <c r="B977" s="36"/>
      <c r="C977" s="115" t="s">
        <v>949</v>
      </c>
      <c r="D977" s="69" t="s">
        <v>23</v>
      </c>
      <c r="E977" s="116" t="s">
        <v>1026</v>
      </c>
      <c r="F977" s="117" t="s">
        <v>1026</v>
      </c>
      <c r="G977" s="117" t="s">
        <v>1026</v>
      </c>
      <c r="H977" s="117" t="s">
        <v>1026</v>
      </c>
      <c r="I977" s="71">
        <v>0.9</v>
      </c>
      <c r="J977" s="72">
        <v>0.975609756097561</v>
      </c>
      <c r="K977" s="72">
        <v>0.886363636363636</v>
      </c>
      <c r="L977" s="73">
        <v>1</v>
      </c>
      <c r="M977" s="72">
        <v>0.960629921259842</v>
      </c>
      <c r="N977" s="74">
        <v>0.9</v>
      </c>
      <c r="O977" s="72">
        <v>0.969435736677116</v>
      </c>
      <c r="P977" s="72">
        <v>0.956709956709957</v>
      </c>
      <c r="Q977" s="72">
        <v>0.979134860050891</v>
      </c>
      <c r="R977" s="72">
        <v>0.948902682332077</v>
      </c>
      <c r="S977" s="74">
        <v>0.9</v>
      </c>
      <c r="T977" s="72">
        <v>0.886363636363636</v>
      </c>
      <c r="U977" s="72">
        <v>0.903799903799904</v>
      </c>
      <c r="V977" s="72">
        <v>0.92264631043257</v>
      </c>
      <c r="W977" s="72">
        <v>0.910995344712924</v>
      </c>
      <c r="X977" s="74">
        <v>0.92</v>
      </c>
      <c r="Y977" s="74">
        <v>0</v>
      </c>
      <c r="Z977" s="74">
        <v>0</v>
      </c>
      <c r="AA977" s="74">
        <v>0</v>
      </c>
      <c r="AB977" s="74">
        <v>0</v>
      </c>
      <c r="AC977" s="74">
        <v>0.92</v>
      </c>
      <c r="AD977" s="72">
        <v>0.964980544747082</v>
      </c>
      <c r="AE977" s="72">
        <v>0.991280653950954</v>
      </c>
      <c r="AF977" s="72">
        <v>0.991066736731477</v>
      </c>
      <c r="AG977" s="72">
        <v>0.990236480060864</v>
      </c>
      <c r="AH977" s="74">
        <v>0.92</v>
      </c>
      <c r="AI977" s="72">
        <v>0.922413793103448</v>
      </c>
      <c r="AJ977" s="72">
        <v>0.946368446368446</v>
      </c>
      <c r="AK977" s="72">
        <v>0.957251908396947</v>
      </c>
      <c r="AL977" s="72">
        <v>0.947156949678564</v>
      </c>
      <c r="AM977" s="71">
        <v>0.99</v>
      </c>
      <c r="AN977" s="76">
        <v>1</v>
      </c>
      <c r="AO977" s="76">
        <v>1</v>
      </c>
      <c r="AP977" s="76">
        <v>1</v>
      </c>
      <c r="AQ977" s="76">
        <v>1</v>
      </c>
      <c r="AR977" s="96">
        <v>0.0656418488929858</v>
      </c>
      <c r="AS977" s="80">
        <v>0.0454545454545455</v>
      </c>
      <c r="AT977" s="80">
        <v>0</v>
      </c>
      <c r="AU977" s="80">
        <v>0.0588235294117647</v>
      </c>
      <c r="AV977" s="80">
        <v>0.0397350993377483</v>
      </c>
      <c r="AW977" s="36"/>
      <c r="AX977" s="34"/>
    </row>
    <row r="978" ht="14.5" spans="1:50">
      <c r="A978" s="32"/>
      <c r="B978" s="36"/>
      <c r="C978" s="115" t="s">
        <v>949</v>
      </c>
      <c r="D978" s="69" t="s">
        <v>23</v>
      </c>
      <c r="E978" s="118" t="s">
        <v>1027</v>
      </c>
      <c r="F978" s="119" t="s">
        <v>1027</v>
      </c>
      <c r="G978" s="119" t="s">
        <v>1027</v>
      </c>
      <c r="H978" s="119" t="s">
        <v>1027</v>
      </c>
      <c r="I978" s="71">
        <v>0.9</v>
      </c>
      <c r="J978" s="72">
        <v>0.9375</v>
      </c>
      <c r="K978" s="72">
        <v>0.928571428571429</v>
      </c>
      <c r="L978" s="73">
        <v>0.963636363636364</v>
      </c>
      <c r="M978" s="72">
        <v>0.94824016563147</v>
      </c>
      <c r="N978" s="74">
        <v>0.9</v>
      </c>
      <c r="O978" s="72">
        <v>0.912763214439192</v>
      </c>
      <c r="P978" s="72">
        <v>0.918042690293999</v>
      </c>
      <c r="Q978" s="72">
        <v>0.961179787464758</v>
      </c>
      <c r="R978" s="72">
        <v>0.921133618115842</v>
      </c>
      <c r="S978" s="74">
        <v>0.9</v>
      </c>
      <c r="T978" s="72">
        <v>0.865062311989686</v>
      </c>
      <c r="U978" s="72">
        <v>0.902537253322594</v>
      </c>
      <c r="V978" s="72">
        <v>0.929733246584255</v>
      </c>
      <c r="W978" s="72">
        <v>0.896352946580313</v>
      </c>
      <c r="X978" s="74">
        <v>0.92</v>
      </c>
      <c r="Y978" s="74">
        <v>0</v>
      </c>
      <c r="Z978" s="74">
        <v>0</v>
      </c>
      <c r="AA978" s="74">
        <v>0</v>
      </c>
      <c r="AB978" s="74">
        <v>0</v>
      </c>
      <c r="AC978" s="74">
        <v>0.92</v>
      </c>
      <c r="AD978" s="72">
        <v>0.989087301587302</v>
      </c>
      <c r="AE978" s="72">
        <v>0.96919014084507</v>
      </c>
      <c r="AF978" s="72">
        <v>0.914048059149723</v>
      </c>
      <c r="AG978" s="72">
        <v>0.959315433490469</v>
      </c>
      <c r="AH978" s="74">
        <v>0.92</v>
      </c>
      <c r="AI978" s="72">
        <v>0.899656209712076</v>
      </c>
      <c r="AJ978" s="72">
        <v>0.943627944433259</v>
      </c>
      <c r="AK978" s="72">
        <v>0.958143569724572</v>
      </c>
      <c r="AL978" s="72">
        <v>0.937718170126768</v>
      </c>
      <c r="AM978" s="71">
        <v>0.99</v>
      </c>
      <c r="AN978" s="76">
        <v>1</v>
      </c>
      <c r="AO978" s="76">
        <v>1</v>
      </c>
      <c r="AP978" s="76">
        <v>1</v>
      </c>
      <c r="AQ978" s="76">
        <v>1</v>
      </c>
      <c r="AR978" s="96">
        <v>0.0656418488929858</v>
      </c>
      <c r="AS978" s="80">
        <v>0</v>
      </c>
      <c r="AT978" s="80">
        <v>0.1875</v>
      </c>
      <c r="AU978" s="80">
        <v>0.0192307692307692</v>
      </c>
      <c r="AV978" s="80">
        <v>0.0542986425339367</v>
      </c>
      <c r="AW978" s="36"/>
      <c r="AX978" s="34"/>
    </row>
    <row r="979" ht="14.5" spans="1:50">
      <c r="A979" s="32"/>
      <c r="B979" s="36"/>
      <c r="C979" s="115" t="s">
        <v>949</v>
      </c>
      <c r="D979" s="69" t="s">
        <v>23</v>
      </c>
      <c r="E979" s="118" t="s">
        <v>1028</v>
      </c>
      <c r="F979" s="119" t="s">
        <v>1028</v>
      </c>
      <c r="G979" s="119" t="s">
        <v>1028</v>
      </c>
      <c r="H979" s="119" t="s">
        <v>1028</v>
      </c>
      <c r="I979" s="71">
        <v>0.9</v>
      </c>
      <c r="J979" s="72">
        <v>0.882352941176471</v>
      </c>
      <c r="K979" s="72">
        <v>0.967741935483871</v>
      </c>
      <c r="L979" s="73">
        <v>0.935483870967742</v>
      </c>
      <c r="M979" s="72">
        <v>0.910394265232975</v>
      </c>
      <c r="N979" s="74">
        <v>0.9</v>
      </c>
      <c r="O979" s="72">
        <v>0.885714285714286</v>
      </c>
      <c r="P979" s="72">
        <v>0.890733975423447</v>
      </c>
      <c r="Q979" s="72">
        <v>0.92530657748049</v>
      </c>
      <c r="R979" s="72">
        <v>0.908443616029823</v>
      </c>
      <c r="S979" s="74">
        <v>0.9</v>
      </c>
      <c r="T979" s="72">
        <v>0.909243697478992</v>
      </c>
      <c r="U979" s="72">
        <v>0.914314181335105</v>
      </c>
      <c r="V979" s="72">
        <v>0.926793013749535</v>
      </c>
      <c r="W979" s="72">
        <v>0.915116495806151</v>
      </c>
      <c r="X979" s="74">
        <v>0.92</v>
      </c>
      <c r="Y979" s="74">
        <v>0</v>
      </c>
      <c r="Z979" s="74">
        <v>0</v>
      </c>
      <c r="AA979" s="74">
        <v>0</v>
      </c>
      <c r="AB979" s="74">
        <v>0</v>
      </c>
      <c r="AC979" s="74">
        <v>0.92</v>
      </c>
      <c r="AD979" s="72">
        <v>0.987394957983193</v>
      </c>
      <c r="AE979" s="72">
        <v>0.991324465008676</v>
      </c>
      <c r="AF979" s="72">
        <v>0.965210355987055</v>
      </c>
      <c r="AG979" s="72">
        <v>0.976977784295036</v>
      </c>
      <c r="AH979" s="74">
        <v>0.92</v>
      </c>
      <c r="AI979" s="72">
        <v>0.948235294117647</v>
      </c>
      <c r="AJ979" s="72">
        <v>0.952507472600465</v>
      </c>
      <c r="AK979" s="72">
        <v>0.953548866592345</v>
      </c>
      <c r="AL979" s="72">
        <v>0.955905922695591</v>
      </c>
      <c r="AM979" s="71">
        <v>0.99</v>
      </c>
      <c r="AN979" s="76">
        <v>1</v>
      </c>
      <c r="AO979" s="76">
        <v>1</v>
      </c>
      <c r="AP979" s="76">
        <v>1</v>
      </c>
      <c r="AQ979" s="76">
        <v>1</v>
      </c>
      <c r="AR979" s="96">
        <v>0.0656418488929858</v>
      </c>
      <c r="AS979" s="80">
        <v>0</v>
      </c>
      <c r="AT979" s="80">
        <v>0.05</v>
      </c>
      <c r="AU979" s="80">
        <v>0</v>
      </c>
      <c r="AV979" s="80">
        <v>0.0245398773006135</v>
      </c>
      <c r="AW979" s="36"/>
      <c r="AX979" s="34"/>
    </row>
    <row r="980" ht="14.5" spans="1:50">
      <c r="A980" s="32"/>
      <c r="B980" s="36"/>
      <c r="C980" s="115" t="s">
        <v>949</v>
      </c>
      <c r="D980" s="69" t="s">
        <v>23</v>
      </c>
      <c r="E980" s="118" t="s">
        <v>1029</v>
      </c>
      <c r="F980" s="119" t="s">
        <v>1029</v>
      </c>
      <c r="G980" s="119" t="s">
        <v>1029</v>
      </c>
      <c r="H980" s="119" t="s">
        <v>1029</v>
      </c>
      <c r="I980" s="71">
        <v>0.9</v>
      </c>
      <c r="J980" s="72">
        <v>0.904761904761905</v>
      </c>
      <c r="K980" s="72">
        <v>0.891304347826087</v>
      </c>
      <c r="L980" s="73">
        <v>0.9375</v>
      </c>
      <c r="M980" s="72">
        <v>0.91304347826087</v>
      </c>
      <c r="N980" s="74">
        <v>0.9</v>
      </c>
      <c r="O980" s="72">
        <v>0.900153139356815</v>
      </c>
      <c r="P980" s="72">
        <v>0.900978357545212</v>
      </c>
      <c r="Q980" s="72">
        <v>0.95619483491337</v>
      </c>
      <c r="R980" s="72">
        <v>0.937819478073715</v>
      </c>
      <c r="S980" s="74">
        <v>0.9</v>
      </c>
      <c r="T980" s="72">
        <v>0.878101071975498</v>
      </c>
      <c r="U980" s="72">
        <v>0.894159501927068</v>
      </c>
      <c r="V980" s="72">
        <v>0.922850604772802</v>
      </c>
      <c r="W980" s="72">
        <v>0.895513855259618</v>
      </c>
      <c r="X980" s="74">
        <v>0.92</v>
      </c>
      <c r="Y980" s="74">
        <v>1</v>
      </c>
      <c r="Z980" s="74">
        <v>0</v>
      </c>
      <c r="AA980" s="74">
        <v>0</v>
      </c>
      <c r="AB980" s="74">
        <v>1</v>
      </c>
      <c r="AC980" s="74">
        <v>0.92</v>
      </c>
      <c r="AD980" s="72">
        <v>0.991055456171735</v>
      </c>
      <c r="AE980" s="72">
        <v>0.963763509218055</v>
      </c>
      <c r="AF980" s="72">
        <v>0.969196093163035</v>
      </c>
      <c r="AG980" s="72">
        <v>0.968397911514152</v>
      </c>
      <c r="AH980" s="74">
        <v>0.92</v>
      </c>
      <c r="AI980" s="72">
        <v>0.933272115090297</v>
      </c>
      <c r="AJ980" s="72">
        <v>0.958790394307738</v>
      </c>
      <c r="AK980" s="72">
        <v>0.963059823471723</v>
      </c>
      <c r="AL980" s="72">
        <v>0.954070138865539</v>
      </c>
      <c r="AM980" s="71">
        <v>0.99</v>
      </c>
      <c r="AN980" s="76">
        <v>1</v>
      </c>
      <c r="AO980" s="76">
        <v>1</v>
      </c>
      <c r="AP980" s="76">
        <v>1</v>
      </c>
      <c r="AQ980" s="76">
        <v>1</v>
      </c>
      <c r="AR980" s="96">
        <v>0.0656418488929858</v>
      </c>
      <c r="AS980" s="80">
        <v>0</v>
      </c>
      <c r="AT980" s="80">
        <v>0.0555555555555556</v>
      </c>
      <c r="AU980" s="80">
        <v>0</v>
      </c>
      <c r="AV980" s="80">
        <v>0.0215827338129496</v>
      </c>
      <c r="AW980" s="36"/>
      <c r="AX980" s="34"/>
    </row>
    <row r="981" ht="14.5" spans="1:50">
      <c r="A981" s="32"/>
      <c r="B981" s="36"/>
      <c r="C981" s="115" t="s">
        <v>949</v>
      </c>
      <c r="D981" s="69" t="s">
        <v>23</v>
      </c>
      <c r="E981" s="118" t="s">
        <v>1030</v>
      </c>
      <c r="F981" s="119" t="s">
        <v>1030</v>
      </c>
      <c r="G981" s="119" t="s">
        <v>1030</v>
      </c>
      <c r="H981" s="119" t="s">
        <v>1030</v>
      </c>
      <c r="I981" s="71">
        <v>0.9</v>
      </c>
      <c r="J981" s="72">
        <v>0.96551724137931</v>
      </c>
      <c r="K981" s="72">
        <v>0.896551724137931</v>
      </c>
      <c r="L981" s="73">
        <v>0.96969696969697</v>
      </c>
      <c r="M981" s="72">
        <v>0.945054945054945</v>
      </c>
      <c r="N981" s="74">
        <v>0.9</v>
      </c>
      <c r="O981" s="72">
        <v>0.931524140107289</v>
      </c>
      <c r="P981" s="72">
        <v>0.918342839987992</v>
      </c>
      <c r="Q981" s="72">
        <v>0.913219284603421</v>
      </c>
      <c r="R981" s="72">
        <v>0.921137882162381</v>
      </c>
      <c r="S981" s="74">
        <v>0.9</v>
      </c>
      <c r="T981" s="72">
        <v>0.871883875039445</v>
      </c>
      <c r="U981" s="72">
        <v>0.902131492044431</v>
      </c>
      <c r="V981" s="72">
        <v>0.898911353032659</v>
      </c>
      <c r="W981" s="72">
        <v>0.9005871633934</v>
      </c>
      <c r="X981" s="74">
        <v>0.92</v>
      </c>
      <c r="Y981" s="74">
        <v>0</v>
      </c>
      <c r="Z981" s="74">
        <v>0</v>
      </c>
      <c r="AA981" s="74">
        <v>0</v>
      </c>
      <c r="AB981" s="74">
        <v>0</v>
      </c>
      <c r="AC981" s="74">
        <v>0.92</v>
      </c>
      <c r="AD981" s="72">
        <v>0.984269662921348</v>
      </c>
      <c r="AE981" s="72">
        <v>0.965397923875433</v>
      </c>
      <c r="AF981" s="72">
        <v>0.978813559322034</v>
      </c>
      <c r="AG981" s="72">
        <v>0.977944325481799</v>
      </c>
      <c r="AH981" s="74">
        <v>0.92</v>
      </c>
      <c r="AI981" s="72">
        <v>0.913221836541496</v>
      </c>
      <c r="AJ981" s="72">
        <v>0.94746322425698</v>
      </c>
      <c r="AK981" s="72">
        <v>0.956765163297045</v>
      </c>
      <c r="AL981" s="72">
        <v>0.948641808672178</v>
      </c>
      <c r="AM981" s="71">
        <v>0.99</v>
      </c>
      <c r="AN981" s="76">
        <v>1</v>
      </c>
      <c r="AO981" s="76">
        <v>1</v>
      </c>
      <c r="AP981" s="76">
        <v>1</v>
      </c>
      <c r="AQ981" s="76">
        <v>1</v>
      </c>
      <c r="AR981" s="96">
        <v>0.0656418488929858</v>
      </c>
      <c r="AS981" s="80">
        <v>0.0769230769230769</v>
      </c>
      <c r="AT981" s="80">
        <v>0.0769230769230769</v>
      </c>
      <c r="AU981" s="80">
        <v>0</v>
      </c>
      <c r="AV981" s="80">
        <v>0.0330578512396694</v>
      </c>
      <c r="AW981" s="36"/>
      <c r="AX981" s="34"/>
    </row>
    <row r="982" ht="14.5" spans="1:50">
      <c r="A982" s="32"/>
      <c r="B982" s="36"/>
      <c r="C982" s="115" t="s">
        <v>949</v>
      </c>
      <c r="D982" s="69" t="s">
        <v>23</v>
      </c>
      <c r="E982" s="118" t="s">
        <v>1031</v>
      </c>
      <c r="F982" s="119" t="s">
        <v>1031</v>
      </c>
      <c r="G982" s="119" t="s">
        <v>1031</v>
      </c>
      <c r="H982" s="119" t="s">
        <v>1031</v>
      </c>
      <c r="I982" s="71">
        <v>0.9</v>
      </c>
      <c r="J982" s="72">
        <v>0</v>
      </c>
      <c r="K982" s="72">
        <v>0</v>
      </c>
      <c r="L982" s="73">
        <v>0</v>
      </c>
      <c r="M982" s="72">
        <v>0</v>
      </c>
      <c r="N982" s="74">
        <v>0.9</v>
      </c>
      <c r="O982" s="72">
        <v>0</v>
      </c>
      <c r="P982" s="72">
        <v>0</v>
      </c>
      <c r="Q982" s="72">
        <v>0</v>
      </c>
      <c r="R982" s="72">
        <v>0</v>
      </c>
      <c r="S982" s="74">
        <v>0.9</v>
      </c>
      <c r="T982" s="72">
        <v>1</v>
      </c>
      <c r="U982" s="72">
        <v>0</v>
      </c>
      <c r="V982" s="72">
        <v>0</v>
      </c>
      <c r="W982" s="72">
        <v>0.5</v>
      </c>
      <c r="X982" s="74">
        <v>0.92</v>
      </c>
      <c r="Y982" s="74">
        <v>0</v>
      </c>
      <c r="Z982" s="74">
        <v>0</v>
      </c>
      <c r="AA982" s="74">
        <v>0</v>
      </c>
      <c r="AB982" s="74">
        <v>0</v>
      </c>
      <c r="AC982" s="74">
        <v>0.92</v>
      </c>
      <c r="AD982" s="72">
        <v>0.886446886446886</v>
      </c>
      <c r="AE982" s="72">
        <v>0.718253968253968</v>
      </c>
      <c r="AF982" s="72">
        <v>0.842696629213483</v>
      </c>
      <c r="AG982" s="72">
        <v>0.906921241050119</v>
      </c>
      <c r="AH982" s="74">
        <v>0.92</v>
      </c>
      <c r="AI982" s="72">
        <v>1</v>
      </c>
      <c r="AJ982" s="72">
        <v>0</v>
      </c>
      <c r="AK982" s="72">
        <v>0</v>
      </c>
      <c r="AL982" s="72">
        <v>0.666666666666667</v>
      </c>
      <c r="AM982" s="71">
        <v>0.99</v>
      </c>
      <c r="AN982" s="76">
        <v>1</v>
      </c>
      <c r="AO982" s="76">
        <v>1</v>
      </c>
      <c r="AP982" s="76">
        <v>1</v>
      </c>
      <c r="AQ982" s="76">
        <v>1</v>
      </c>
      <c r="AR982" s="96">
        <v>0.0656418488929858</v>
      </c>
      <c r="AS982" s="80">
        <v>0</v>
      </c>
      <c r="AT982" s="80">
        <v>0</v>
      </c>
      <c r="AU982" s="80">
        <v>0</v>
      </c>
      <c r="AV982" s="80">
        <v>0</v>
      </c>
      <c r="AW982" s="36"/>
      <c r="AX982" s="34"/>
    </row>
    <row r="983" ht="14.5" spans="1:50">
      <c r="A983" s="32"/>
      <c r="B983" s="36"/>
      <c r="C983" s="115" t="s">
        <v>949</v>
      </c>
      <c r="D983" s="69" t="s">
        <v>23</v>
      </c>
      <c r="E983" s="118" t="s">
        <v>1032</v>
      </c>
      <c r="F983" s="119" t="s">
        <v>1032</v>
      </c>
      <c r="G983" s="119" t="s">
        <v>1032</v>
      </c>
      <c r="H983" s="119" t="s">
        <v>1032</v>
      </c>
      <c r="I983" s="71">
        <v>0.9</v>
      </c>
      <c r="J983" s="72">
        <v>0.9</v>
      </c>
      <c r="K983" s="72">
        <v>0.872727272727273</v>
      </c>
      <c r="L983" s="73">
        <v>0.951612903225806</v>
      </c>
      <c r="M983" s="72">
        <v>0.904296875</v>
      </c>
      <c r="N983" s="74">
        <v>0.9</v>
      </c>
      <c r="O983" s="72">
        <v>0.89209074187615</v>
      </c>
      <c r="P983" s="72">
        <v>0.943087008343266</v>
      </c>
      <c r="Q983" s="72">
        <v>0.956629491945477</v>
      </c>
      <c r="R983" s="72">
        <v>0.943888961978687</v>
      </c>
      <c r="S983" s="74">
        <v>0.9</v>
      </c>
      <c r="T983" s="72">
        <v>0.878602084610668</v>
      </c>
      <c r="U983" s="72">
        <v>0.92580452920143</v>
      </c>
      <c r="V983" s="72">
        <v>0.930607187112763</v>
      </c>
      <c r="W983" s="72">
        <v>0.917346401789238</v>
      </c>
      <c r="X983" s="74">
        <v>0.92</v>
      </c>
      <c r="Y983" s="74">
        <v>0</v>
      </c>
      <c r="Z983" s="74">
        <v>0</v>
      </c>
      <c r="AA983" s="74">
        <v>0</v>
      </c>
      <c r="AB983" s="74">
        <v>0</v>
      </c>
      <c r="AC983" s="74">
        <v>0.92</v>
      </c>
      <c r="AD983" s="72">
        <v>0.994074074074074</v>
      </c>
      <c r="AE983" s="72">
        <v>0.993131868131868</v>
      </c>
      <c r="AF983" s="72">
        <v>0.971916971916972</v>
      </c>
      <c r="AG983" s="72">
        <v>0.980228237791932</v>
      </c>
      <c r="AH983" s="74">
        <v>0.92</v>
      </c>
      <c r="AI983" s="72">
        <v>0.916002452483139</v>
      </c>
      <c r="AJ983" s="72">
        <v>0.951444742329461</v>
      </c>
      <c r="AK983" s="72">
        <v>0.96003717472119</v>
      </c>
      <c r="AL983" s="72">
        <v>0.956949286325067</v>
      </c>
      <c r="AM983" s="71">
        <v>0.99</v>
      </c>
      <c r="AN983" s="76">
        <v>1</v>
      </c>
      <c r="AO983" s="76">
        <v>1</v>
      </c>
      <c r="AP983" s="76">
        <v>1</v>
      </c>
      <c r="AQ983" s="76">
        <v>1</v>
      </c>
      <c r="AR983" s="96">
        <v>0.0656418488929858</v>
      </c>
      <c r="AS983" s="80">
        <v>0.1</v>
      </c>
      <c r="AT983" s="80">
        <v>0.0555555555555556</v>
      </c>
      <c r="AU983" s="80">
        <v>0.0588235294117647</v>
      </c>
      <c r="AV983" s="80">
        <v>0.0335570469798658</v>
      </c>
      <c r="AW983" s="36"/>
      <c r="AX983" s="34"/>
    </row>
    <row r="984" ht="14.5" spans="1:50">
      <c r="A984" s="32"/>
      <c r="B984" s="36"/>
      <c r="C984" s="115" t="s">
        <v>949</v>
      </c>
      <c r="D984" s="69" t="s">
        <v>23</v>
      </c>
      <c r="E984" s="118" t="s">
        <v>1033</v>
      </c>
      <c r="F984" s="119" t="s">
        <v>1033</v>
      </c>
      <c r="G984" s="119" t="s">
        <v>1033</v>
      </c>
      <c r="H984" s="119" t="s">
        <v>1033</v>
      </c>
      <c r="I984" s="71">
        <v>0.9</v>
      </c>
      <c r="J984" s="72">
        <v>0.979591836734694</v>
      </c>
      <c r="K984" s="72">
        <v>0.982142857142857</v>
      </c>
      <c r="L984" s="73">
        <v>1</v>
      </c>
      <c r="M984" s="72">
        <v>0.994011976047904</v>
      </c>
      <c r="N984" s="74">
        <v>0.9</v>
      </c>
      <c r="O984" s="72">
        <v>0.942067016552281</v>
      </c>
      <c r="P984" s="72">
        <v>0.960647712295236</v>
      </c>
      <c r="Q984" s="72">
        <v>0.969618229062562</v>
      </c>
      <c r="R984" s="72">
        <v>0.960026129467296</v>
      </c>
      <c r="S984" s="74">
        <v>0.9</v>
      </c>
      <c r="T984" s="72">
        <v>0.900484457004441</v>
      </c>
      <c r="U984" s="72">
        <v>0.934852193560535</v>
      </c>
      <c r="V984" s="72">
        <v>0.94523286028383</v>
      </c>
      <c r="W984" s="72">
        <v>0.925804956169926</v>
      </c>
      <c r="X984" s="74">
        <v>0.92</v>
      </c>
      <c r="Y984" s="74">
        <v>0</v>
      </c>
      <c r="Z984" s="74">
        <v>0</v>
      </c>
      <c r="AA984" s="74">
        <v>0</v>
      </c>
      <c r="AB984" s="74">
        <v>0</v>
      </c>
      <c r="AC984" s="74">
        <v>0.92</v>
      </c>
      <c r="AD984" s="72">
        <v>0.993094789704959</v>
      </c>
      <c r="AE984" s="72">
        <v>0.986964078794902</v>
      </c>
      <c r="AF984" s="72">
        <v>0.99548625359048</v>
      </c>
      <c r="AG984" s="72">
        <v>0.992308150974897</v>
      </c>
      <c r="AH984" s="74">
        <v>0.92</v>
      </c>
      <c r="AI984" s="72">
        <v>0.942470730722648</v>
      </c>
      <c r="AJ984" s="72">
        <v>0.974392769723216</v>
      </c>
      <c r="AK984" s="72">
        <v>0.979012592444533</v>
      </c>
      <c r="AL984" s="72">
        <v>0.971489980403312</v>
      </c>
      <c r="AM984" s="71">
        <v>0.99</v>
      </c>
      <c r="AN984" s="76">
        <v>1</v>
      </c>
      <c r="AO984" s="76">
        <v>1</v>
      </c>
      <c r="AP984" s="76">
        <v>1</v>
      </c>
      <c r="AQ984" s="76">
        <v>1</v>
      </c>
      <c r="AR984" s="96">
        <v>0.0656418488929858</v>
      </c>
      <c r="AS984" s="80">
        <v>0.0357142857142857</v>
      </c>
      <c r="AT984" s="80">
        <v>0</v>
      </c>
      <c r="AU984" s="80">
        <v>0.2</v>
      </c>
      <c r="AV984" s="80">
        <v>0.0625</v>
      </c>
      <c r="AW984" s="36"/>
      <c r="AX984" s="34"/>
    </row>
    <row r="985" ht="14.5" spans="1:50">
      <c r="A985" s="32"/>
      <c r="B985" s="36"/>
      <c r="C985" s="115" t="s">
        <v>949</v>
      </c>
      <c r="D985" s="69" t="s">
        <v>23</v>
      </c>
      <c r="E985" s="118" t="s">
        <v>1034</v>
      </c>
      <c r="F985" s="119" t="s">
        <v>1034</v>
      </c>
      <c r="G985" s="119" t="s">
        <v>1034</v>
      </c>
      <c r="H985" s="119" t="s">
        <v>1034</v>
      </c>
      <c r="I985" s="71">
        <v>0.9</v>
      </c>
      <c r="J985" s="72">
        <v>0.92</v>
      </c>
      <c r="K985" s="72">
        <v>0.958333333333333</v>
      </c>
      <c r="L985" s="73">
        <v>1</v>
      </c>
      <c r="M985" s="72">
        <v>0.941964285714286</v>
      </c>
      <c r="N985" s="74">
        <v>0.9</v>
      </c>
      <c r="O985" s="72">
        <v>0.975609756097561</v>
      </c>
      <c r="P985" s="72">
        <v>0.938164631744781</v>
      </c>
      <c r="Q985" s="72">
        <v>0.974689165186501</v>
      </c>
      <c r="R985" s="72">
        <v>0.951042779506712</v>
      </c>
      <c r="S985" s="74">
        <v>0.9</v>
      </c>
      <c r="T985" s="72">
        <v>0.91219512195122</v>
      </c>
      <c r="U985" s="72">
        <v>0.931469082315872</v>
      </c>
      <c r="V985" s="72">
        <v>0.941829484902309</v>
      </c>
      <c r="W985" s="72">
        <v>0.915369966092248</v>
      </c>
      <c r="X985" s="74">
        <v>0.92</v>
      </c>
      <c r="Y985" s="74">
        <v>0</v>
      </c>
      <c r="Z985" s="74">
        <v>0</v>
      </c>
      <c r="AA985" s="74">
        <v>0</v>
      </c>
      <c r="AB985" s="74">
        <v>0</v>
      </c>
      <c r="AC985" s="74">
        <v>0.92</v>
      </c>
      <c r="AD985" s="72">
        <v>0.981751824817518</v>
      </c>
      <c r="AE985" s="72">
        <v>0.973684210526316</v>
      </c>
      <c r="AF985" s="72">
        <v>0.91304347826087</v>
      </c>
      <c r="AG985" s="72">
        <v>0.961033950617284</v>
      </c>
      <c r="AH985" s="74">
        <v>0.92</v>
      </c>
      <c r="AI985" s="72">
        <v>0.966740576496674</v>
      </c>
      <c r="AJ985" s="72">
        <v>0.967309964552974</v>
      </c>
      <c r="AK985" s="72">
        <v>0.970248667850799</v>
      </c>
      <c r="AL985" s="72">
        <v>0.968834184858337</v>
      </c>
      <c r="AM985" s="71">
        <v>0.99</v>
      </c>
      <c r="AN985" s="76">
        <v>1</v>
      </c>
      <c r="AO985" s="76">
        <v>1</v>
      </c>
      <c r="AP985" s="76">
        <v>1</v>
      </c>
      <c r="AQ985" s="76">
        <v>1</v>
      </c>
      <c r="AR985" s="96">
        <v>0.0656418488929858</v>
      </c>
      <c r="AS985" s="80">
        <v>0</v>
      </c>
      <c r="AT985" s="80">
        <v>0.153846153846154</v>
      </c>
      <c r="AU985" s="80">
        <v>0</v>
      </c>
      <c r="AV985" s="80">
        <v>0.0449438202247191</v>
      </c>
      <c r="AW985" s="36"/>
      <c r="AX985" s="34"/>
    </row>
    <row r="986" ht="14.5" spans="1:50">
      <c r="A986" s="32"/>
      <c r="B986" s="36"/>
      <c r="C986" s="115" t="s">
        <v>949</v>
      </c>
      <c r="D986" s="69" t="s">
        <v>23</v>
      </c>
      <c r="E986" s="118" t="s">
        <v>1035</v>
      </c>
      <c r="F986" s="119" t="s">
        <v>1035</v>
      </c>
      <c r="G986" s="119" t="s">
        <v>1035</v>
      </c>
      <c r="H986" s="119" t="s">
        <v>1035</v>
      </c>
      <c r="I986" s="71">
        <v>0.9</v>
      </c>
      <c r="J986" s="72">
        <v>0.823529411764706</v>
      </c>
      <c r="K986" s="72">
        <v>0.970588235294118</v>
      </c>
      <c r="L986" s="73">
        <v>0.972222222222222</v>
      </c>
      <c r="M986" s="72">
        <v>0.932475884244373</v>
      </c>
      <c r="N986" s="74">
        <v>0.9</v>
      </c>
      <c r="O986" s="72">
        <v>0.930217248189598</v>
      </c>
      <c r="P986" s="72">
        <v>0.950253202263926</v>
      </c>
      <c r="Q986" s="72">
        <v>0.958171206225681</v>
      </c>
      <c r="R986" s="72">
        <v>0.941243391554574</v>
      </c>
      <c r="S986" s="74">
        <v>0.9</v>
      </c>
      <c r="T986" s="72">
        <v>0.894338380513496</v>
      </c>
      <c r="U986" s="72">
        <v>0.917485850461722</v>
      </c>
      <c r="V986" s="72">
        <v>0.921530479896239</v>
      </c>
      <c r="W986" s="72">
        <v>0.901023890784983</v>
      </c>
      <c r="X986" s="74">
        <v>0.92</v>
      </c>
      <c r="Y986" s="74">
        <v>0</v>
      </c>
      <c r="Z986" s="74">
        <v>0</v>
      </c>
      <c r="AA986" s="74">
        <v>0</v>
      </c>
      <c r="AB986" s="74">
        <v>0</v>
      </c>
      <c r="AC986" s="74">
        <v>0.92</v>
      </c>
      <c r="AD986" s="72">
        <v>0.996062992125984</v>
      </c>
      <c r="AE986" s="72">
        <v>0.971499380421313</v>
      </c>
      <c r="AF986" s="72">
        <v>0.984528832630098</v>
      </c>
      <c r="AG986" s="72">
        <v>0.982145387558453</v>
      </c>
      <c r="AH986" s="74">
        <v>0.92</v>
      </c>
      <c r="AI986" s="72">
        <v>0.93614219881501</v>
      </c>
      <c r="AJ986" s="72">
        <v>0.951146857313077</v>
      </c>
      <c r="AK986" s="72">
        <v>0.964980544747082</v>
      </c>
      <c r="AL986" s="72">
        <v>0.956367529947132</v>
      </c>
      <c r="AM986" s="71">
        <v>0.99</v>
      </c>
      <c r="AN986" s="76">
        <v>1</v>
      </c>
      <c r="AO986" s="76">
        <v>1</v>
      </c>
      <c r="AP986" s="76">
        <v>1</v>
      </c>
      <c r="AQ986" s="76">
        <v>1</v>
      </c>
      <c r="AR986" s="96">
        <v>0.0656418488929858</v>
      </c>
      <c r="AS986" s="80">
        <v>0.0833333333333333</v>
      </c>
      <c r="AT986" s="80">
        <v>0.0555555555555556</v>
      </c>
      <c r="AU986" s="80">
        <v>0.0714285714285714</v>
      </c>
      <c r="AV986" s="80">
        <v>0.0495867768595041</v>
      </c>
      <c r="AW986" s="36"/>
      <c r="AX986" s="34"/>
    </row>
    <row r="987" ht="14.5" spans="1:50">
      <c r="A987" s="32"/>
      <c r="B987" s="36"/>
      <c r="C987" s="115" t="s">
        <v>949</v>
      </c>
      <c r="D987" s="69" t="s">
        <v>23</v>
      </c>
      <c r="E987" s="118" t="s">
        <v>1036</v>
      </c>
      <c r="F987" s="119" t="s">
        <v>1036</v>
      </c>
      <c r="G987" s="119" t="s">
        <v>1036</v>
      </c>
      <c r="H987" s="119" t="s">
        <v>1036</v>
      </c>
      <c r="I987" s="71">
        <v>0.9</v>
      </c>
      <c r="J987" s="72">
        <v>0.966666666666667</v>
      </c>
      <c r="K987" s="72">
        <v>1</v>
      </c>
      <c r="L987" s="73">
        <v>0.96969696969697</v>
      </c>
      <c r="M987" s="72">
        <v>0.940983606557377</v>
      </c>
      <c r="N987" s="74">
        <v>0.9</v>
      </c>
      <c r="O987" s="72">
        <v>0.955804749340369</v>
      </c>
      <c r="P987" s="72">
        <v>0.97168458781362</v>
      </c>
      <c r="Q987" s="72">
        <v>0.954279015240328</v>
      </c>
      <c r="R987" s="72">
        <v>0.960806311522872</v>
      </c>
      <c r="S987" s="74">
        <v>0.9</v>
      </c>
      <c r="T987" s="72">
        <v>0.839379947229551</v>
      </c>
      <c r="U987" s="72">
        <v>0.911469534050179</v>
      </c>
      <c r="V987" s="72">
        <v>0.866060961313013</v>
      </c>
      <c r="W987" s="72">
        <v>0.886363636363636</v>
      </c>
      <c r="X987" s="74">
        <v>0.92</v>
      </c>
      <c r="Y987" s="74">
        <v>0</v>
      </c>
      <c r="Z987" s="74">
        <v>0</v>
      </c>
      <c r="AA987" s="74">
        <v>0</v>
      </c>
      <c r="AB987" s="74">
        <v>0</v>
      </c>
      <c r="AC987" s="74">
        <v>0.92</v>
      </c>
      <c r="AD987" s="72">
        <v>0.89297124600639</v>
      </c>
      <c r="AE987" s="72">
        <v>0.986562150055991</v>
      </c>
      <c r="AF987" s="72">
        <v>0.976366322008863</v>
      </c>
      <c r="AG987" s="72">
        <v>0.976788882318155</v>
      </c>
      <c r="AH987" s="74">
        <v>0.92</v>
      </c>
      <c r="AI987" s="72">
        <v>0.907352456313881</v>
      </c>
      <c r="AJ987" s="72">
        <v>0.957347670250896</v>
      </c>
      <c r="AK987" s="72">
        <v>0.956037514654162</v>
      </c>
      <c r="AL987" s="72">
        <v>0.954805326385873</v>
      </c>
      <c r="AM987" s="71">
        <v>0.99</v>
      </c>
      <c r="AN987" s="76">
        <v>1</v>
      </c>
      <c r="AO987" s="76">
        <v>1</v>
      </c>
      <c r="AP987" s="76">
        <v>1</v>
      </c>
      <c r="AQ987" s="76">
        <v>1</v>
      </c>
      <c r="AR987" s="96">
        <v>0.0656418488929858</v>
      </c>
      <c r="AS987" s="80">
        <v>0.0666666666666667</v>
      </c>
      <c r="AT987" s="80">
        <v>0.0555555555555556</v>
      </c>
      <c r="AU987" s="80">
        <v>0.0666666666666667</v>
      </c>
      <c r="AV987" s="80">
        <v>0.0743243243243243</v>
      </c>
      <c r="AW987" s="36"/>
      <c r="AX987" s="34"/>
    </row>
    <row r="988" ht="14.5" spans="1:50">
      <c r="A988" s="32"/>
      <c r="B988" s="36"/>
      <c r="C988" s="115" t="s">
        <v>949</v>
      </c>
      <c r="D988" s="69" t="s">
        <v>23</v>
      </c>
      <c r="E988" s="118" t="s">
        <v>1037</v>
      </c>
      <c r="F988" s="119" t="s">
        <v>1037</v>
      </c>
      <c r="G988" s="119" t="s">
        <v>1037</v>
      </c>
      <c r="H988" s="119" t="s">
        <v>1037</v>
      </c>
      <c r="I988" s="71">
        <v>0.9</v>
      </c>
      <c r="J988" s="72">
        <v>0.92</v>
      </c>
      <c r="K988" s="72">
        <v>0.928571428571429</v>
      </c>
      <c r="L988" s="73">
        <v>0.966666666666667</v>
      </c>
      <c r="M988" s="72">
        <v>0.91497975708502</v>
      </c>
      <c r="N988" s="74">
        <v>0.9</v>
      </c>
      <c r="O988" s="72">
        <v>0.971915747241725</v>
      </c>
      <c r="P988" s="72">
        <v>0.982817869415808</v>
      </c>
      <c r="Q988" s="72">
        <v>0.976357267950963</v>
      </c>
      <c r="R988" s="72">
        <v>0.973828810966974</v>
      </c>
      <c r="S988" s="74">
        <v>0.9</v>
      </c>
      <c r="T988" s="72">
        <v>0.905717151454363</v>
      </c>
      <c r="U988" s="72">
        <v>0.919816723940435</v>
      </c>
      <c r="V988" s="72">
        <v>0.92600700525394</v>
      </c>
      <c r="W988" s="72">
        <v>0.917351158443324</v>
      </c>
      <c r="X988" s="74">
        <v>0.92</v>
      </c>
      <c r="Y988" s="74">
        <v>0</v>
      </c>
      <c r="Z988" s="74">
        <v>0</v>
      </c>
      <c r="AA988" s="74">
        <v>0</v>
      </c>
      <c r="AB988" s="74">
        <v>0</v>
      </c>
      <c r="AC988" s="74">
        <v>0.92</v>
      </c>
      <c r="AD988" s="72">
        <v>0.977551020408163</v>
      </c>
      <c r="AE988" s="72">
        <v>0.992753623188406</v>
      </c>
      <c r="AF988" s="72">
        <v>0.995505617977528</v>
      </c>
      <c r="AG988" s="72">
        <v>0.99159456118665</v>
      </c>
      <c r="AH988" s="74">
        <v>0.92</v>
      </c>
      <c r="AI988" s="72">
        <v>0.941353383458647</v>
      </c>
      <c r="AJ988" s="72">
        <v>0.955352032054951</v>
      </c>
      <c r="AK988" s="72">
        <v>0.955341506129597</v>
      </c>
      <c r="AL988" s="72">
        <v>0.954177286887567</v>
      </c>
      <c r="AM988" s="71">
        <v>0.99</v>
      </c>
      <c r="AN988" s="76">
        <v>1</v>
      </c>
      <c r="AO988" s="76">
        <v>1</v>
      </c>
      <c r="AP988" s="76">
        <v>1</v>
      </c>
      <c r="AQ988" s="76">
        <v>1</v>
      </c>
      <c r="AR988" s="96">
        <v>0.0656418488929858</v>
      </c>
      <c r="AS988" s="80">
        <v>0</v>
      </c>
      <c r="AT988" s="80">
        <v>0</v>
      </c>
      <c r="AU988" s="80">
        <v>0</v>
      </c>
      <c r="AV988" s="80">
        <v>0.0689655172413793</v>
      </c>
      <c r="AW988" s="36"/>
      <c r="AX988" s="34"/>
    </row>
    <row r="989" ht="14.5" spans="1:50">
      <c r="A989" s="32"/>
      <c r="B989" s="36"/>
      <c r="C989" s="115" t="s">
        <v>949</v>
      </c>
      <c r="D989" s="69" t="s">
        <v>23</v>
      </c>
      <c r="E989" s="118" t="s">
        <v>1038</v>
      </c>
      <c r="F989" s="119" t="s">
        <v>1038</v>
      </c>
      <c r="G989" s="119" t="s">
        <v>1038</v>
      </c>
      <c r="H989" s="119" t="s">
        <v>1038</v>
      </c>
      <c r="I989" s="71">
        <v>0.9</v>
      </c>
      <c r="J989" s="72">
        <v>0.909090909090909</v>
      </c>
      <c r="K989" s="72">
        <v>0.914285714285714</v>
      </c>
      <c r="L989" s="73">
        <v>0.970588235294118</v>
      </c>
      <c r="M989" s="72">
        <v>0.936454849498328</v>
      </c>
      <c r="N989" s="74">
        <v>0.9</v>
      </c>
      <c r="O989" s="72">
        <v>0.95209996528983</v>
      </c>
      <c r="P989" s="72">
        <v>0.955212922173275</v>
      </c>
      <c r="Q989" s="72">
        <v>0.95314923983866</v>
      </c>
      <c r="R989" s="72">
        <v>0.953489271215929</v>
      </c>
      <c r="S989" s="74">
        <v>0.9</v>
      </c>
      <c r="T989" s="72">
        <v>0.912877473099618</v>
      </c>
      <c r="U989" s="72">
        <v>0.926578560939794</v>
      </c>
      <c r="V989" s="72">
        <v>0.911573068569656</v>
      </c>
      <c r="W989" s="72">
        <v>0.910806108641021</v>
      </c>
      <c r="X989" s="74">
        <v>0.92</v>
      </c>
      <c r="Y989" s="74">
        <v>0</v>
      </c>
      <c r="Z989" s="74">
        <v>0</v>
      </c>
      <c r="AA989" s="74">
        <v>0</v>
      </c>
      <c r="AB989" s="74">
        <v>0</v>
      </c>
      <c r="AC989" s="74">
        <v>0.92</v>
      </c>
      <c r="AD989" s="72">
        <v>0.921478060046189</v>
      </c>
      <c r="AE989" s="72">
        <v>0.993630573248408</v>
      </c>
      <c r="AF989" s="72">
        <v>0.991963260619977</v>
      </c>
      <c r="AG989" s="72">
        <v>0.98455292603228</v>
      </c>
      <c r="AH989" s="74">
        <v>0.92</v>
      </c>
      <c r="AI989" s="72">
        <v>0.953504510756419</v>
      </c>
      <c r="AJ989" s="72">
        <v>0.957415565345081</v>
      </c>
      <c r="AK989" s="72">
        <v>0.958423828730996</v>
      </c>
      <c r="AL989" s="72">
        <v>0.952758340743032</v>
      </c>
      <c r="AM989" s="71">
        <v>0.99</v>
      </c>
      <c r="AN989" s="76">
        <v>1</v>
      </c>
      <c r="AO989" s="76">
        <v>1</v>
      </c>
      <c r="AP989" s="76">
        <v>1</v>
      </c>
      <c r="AQ989" s="76">
        <v>1</v>
      </c>
      <c r="AR989" s="96">
        <v>0.0656418488929858</v>
      </c>
      <c r="AS989" s="80">
        <v>0</v>
      </c>
      <c r="AT989" s="80">
        <v>0</v>
      </c>
      <c r="AU989" s="80">
        <v>0.0666666666666667</v>
      </c>
      <c r="AV989" s="80">
        <v>0.0752688172043011</v>
      </c>
      <c r="AW989" s="36"/>
      <c r="AX989" s="34"/>
    </row>
    <row r="990" ht="14.5" spans="1:50">
      <c r="A990" s="32"/>
      <c r="B990" s="36"/>
      <c r="C990" s="115" t="s">
        <v>949</v>
      </c>
      <c r="D990" s="69" t="s">
        <v>23</v>
      </c>
      <c r="E990" s="122" t="s">
        <v>1039</v>
      </c>
      <c r="F990" s="123" t="s">
        <v>1039</v>
      </c>
      <c r="G990" s="123" t="s">
        <v>1039</v>
      </c>
      <c r="H990" s="123" t="s">
        <v>1039</v>
      </c>
      <c r="I990" s="71">
        <v>0.9</v>
      </c>
      <c r="J990" s="72">
        <v>0.964285714285714</v>
      </c>
      <c r="K990" s="72">
        <v>0.966666666666667</v>
      </c>
      <c r="L990" s="73">
        <v>0.967741935483871</v>
      </c>
      <c r="M990" s="72">
        <v>0.962686567164179</v>
      </c>
      <c r="N990" s="74">
        <v>0.9</v>
      </c>
      <c r="O990" s="72">
        <v>0.961646398503274</v>
      </c>
      <c r="P990" s="72">
        <v>0.962159434914228</v>
      </c>
      <c r="Q990" s="72">
        <v>0.958440445586975</v>
      </c>
      <c r="R990" s="72">
        <v>0.961833306149078</v>
      </c>
      <c r="S990" s="74">
        <v>0.9</v>
      </c>
      <c r="T990" s="72">
        <v>0.922825070159027</v>
      </c>
      <c r="U990" s="72">
        <v>0.934914228052472</v>
      </c>
      <c r="V990" s="72">
        <v>0.940874035989717</v>
      </c>
      <c r="W990" s="72">
        <v>0.934703419779264</v>
      </c>
      <c r="X990" s="74">
        <v>0.92</v>
      </c>
      <c r="Y990" s="74">
        <v>0.855172413793103</v>
      </c>
      <c r="Z990" s="74">
        <v>0.848780487804878</v>
      </c>
      <c r="AA990" s="74">
        <v>0.909473684210526</v>
      </c>
      <c r="AB990" s="74">
        <v>0.89296220864449</v>
      </c>
      <c r="AC990" s="74">
        <v>0.92</v>
      </c>
      <c r="AD990" s="72">
        <v>0.811501597444089</v>
      </c>
      <c r="AE990" s="72">
        <v>0.982035928143713</v>
      </c>
      <c r="AF990" s="72">
        <v>0.99250936329588</v>
      </c>
      <c r="AG990" s="72">
        <v>0.972418432559704</v>
      </c>
      <c r="AH990" s="74">
        <v>0.92</v>
      </c>
      <c r="AI990" s="72">
        <v>0.953361834434512</v>
      </c>
      <c r="AJ990" s="72">
        <v>0.944421228583368</v>
      </c>
      <c r="AK990" s="72">
        <v>0.972944108223567</v>
      </c>
      <c r="AL990" s="72">
        <v>0.964058733289503</v>
      </c>
      <c r="AM990" s="71">
        <v>0.99</v>
      </c>
      <c r="AN990" s="76">
        <v>1</v>
      </c>
      <c r="AO990" s="76">
        <v>1</v>
      </c>
      <c r="AP990" s="76">
        <v>1</v>
      </c>
      <c r="AQ990" s="76">
        <v>1</v>
      </c>
      <c r="AR990" s="96">
        <v>0.0656418488929858</v>
      </c>
      <c r="AS990" s="80">
        <v>0.0625</v>
      </c>
      <c r="AT990" s="80">
        <v>0</v>
      </c>
      <c r="AU990" s="80">
        <v>0.0454545454545455</v>
      </c>
      <c r="AV990" s="80">
        <v>0.0275229357798165</v>
      </c>
      <c r="AW990" s="36"/>
      <c r="AX990" s="34"/>
    </row>
    <row r="991" ht="14.5" spans="1:50">
      <c r="A991" s="32"/>
      <c r="B991" s="36"/>
      <c r="C991" s="115" t="s">
        <v>949</v>
      </c>
      <c r="D991" s="69" t="s">
        <v>23</v>
      </c>
      <c r="E991" s="118" t="s">
        <v>1040</v>
      </c>
      <c r="F991" s="119" t="s">
        <v>1040</v>
      </c>
      <c r="G991" s="119" t="s">
        <v>1040</v>
      </c>
      <c r="H991" s="119" t="s">
        <v>1040</v>
      </c>
      <c r="I991" s="71">
        <v>0.9</v>
      </c>
      <c r="J991" s="72">
        <v>0.909090909090909</v>
      </c>
      <c r="K991" s="72">
        <v>0.971428571428571</v>
      </c>
      <c r="L991" s="73">
        <v>0.972972972972973</v>
      </c>
      <c r="M991" s="72">
        <v>0.948051948051948</v>
      </c>
      <c r="N991" s="74">
        <v>0.9</v>
      </c>
      <c r="O991" s="72">
        <v>0.892824287028519</v>
      </c>
      <c r="P991" s="72">
        <v>0.950078822911193</v>
      </c>
      <c r="Q991" s="72">
        <v>0.970894874022589</v>
      </c>
      <c r="R991" s="72">
        <v>0.95934036226007</v>
      </c>
      <c r="S991" s="74">
        <v>0.9</v>
      </c>
      <c r="T991" s="72">
        <v>0.885924563017479</v>
      </c>
      <c r="U991" s="72">
        <v>0.925380977404099</v>
      </c>
      <c r="V991" s="72">
        <v>0.903562119895743</v>
      </c>
      <c r="W991" s="72">
        <v>0.91440929981076</v>
      </c>
      <c r="X991" s="74">
        <v>0.92</v>
      </c>
      <c r="Y991" s="74">
        <v>0.352678571428571</v>
      </c>
      <c r="Z991" s="74">
        <v>0.520618556701031</v>
      </c>
      <c r="AA991" s="74">
        <v>0.545034642032333</v>
      </c>
      <c r="AB991" s="74">
        <v>0.385730724971231</v>
      </c>
      <c r="AC991" s="74">
        <v>0.92</v>
      </c>
      <c r="AD991" s="72">
        <v>0.934256055363322</v>
      </c>
      <c r="AE991" s="72">
        <v>0.987972508591065</v>
      </c>
      <c r="AF991" s="72">
        <v>1</v>
      </c>
      <c r="AG991" s="72">
        <v>0.98120028922632</v>
      </c>
      <c r="AH991" s="74">
        <v>0.92</v>
      </c>
      <c r="AI991" s="72">
        <v>0.826534502478079</v>
      </c>
      <c r="AJ991" s="72">
        <v>0.87794245858762</v>
      </c>
      <c r="AK991" s="72">
        <v>0.894698354661792</v>
      </c>
      <c r="AL991" s="72">
        <v>0.845436638214051</v>
      </c>
      <c r="AM991" s="71">
        <v>0.99</v>
      </c>
      <c r="AN991" s="76">
        <v>1</v>
      </c>
      <c r="AO991" s="76">
        <v>1</v>
      </c>
      <c r="AP991" s="76">
        <v>1</v>
      </c>
      <c r="AQ991" s="76">
        <v>1</v>
      </c>
      <c r="AR991" s="96">
        <v>0.0656418488929858</v>
      </c>
      <c r="AS991" s="80">
        <v>0</v>
      </c>
      <c r="AT991" s="80">
        <v>0.214285714285714</v>
      </c>
      <c r="AU991" s="80">
        <v>0.0833333333333333</v>
      </c>
      <c r="AV991" s="80">
        <v>0.0860215053763441</v>
      </c>
      <c r="AW991" s="36"/>
      <c r="AX991" s="34"/>
    </row>
    <row r="992" ht="14.5" spans="1:50">
      <c r="A992" s="32"/>
      <c r="B992" s="36"/>
      <c r="C992" s="115" t="s">
        <v>949</v>
      </c>
      <c r="D992" s="69" t="s">
        <v>23</v>
      </c>
      <c r="E992" s="122" t="s">
        <v>1041</v>
      </c>
      <c r="F992" s="123" t="s">
        <v>1041</v>
      </c>
      <c r="G992" s="123" t="s">
        <v>1041</v>
      </c>
      <c r="H992" s="123" t="s">
        <v>1041</v>
      </c>
      <c r="I992" s="71">
        <v>0.9</v>
      </c>
      <c r="J992" s="72">
        <v>0.975609756097561</v>
      </c>
      <c r="K992" s="72">
        <v>0.928571428571429</v>
      </c>
      <c r="L992" s="73">
        <v>1</v>
      </c>
      <c r="M992" s="72">
        <v>0.958441558441558</v>
      </c>
      <c r="N992" s="74">
        <v>0.9</v>
      </c>
      <c r="O992" s="72">
        <v>0.9831256490135</v>
      </c>
      <c r="P992" s="72">
        <v>0.986494597839136</v>
      </c>
      <c r="Q992" s="72">
        <v>0.984507383200194</v>
      </c>
      <c r="R992" s="72">
        <v>0.981483737361433</v>
      </c>
      <c r="S992" s="74">
        <v>0.9</v>
      </c>
      <c r="T992" s="72">
        <v>0.895898234683281</v>
      </c>
      <c r="U992" s="72">
        <v>0.926170468187275</v>
      </c>
      <c r="V992" s="72">
        <v>0.900992495763738</v>
      </c>
      <c r="W992" s="72">
        <v>0.918169082714094</v>
      </c>
      <c r="X992" s="74">
        <v>0.92</v>
      </c>
      <c r="Y992" s="74">
        <v>0.848084544253633</v>
      </c>
      <c r="Z992" s="74">
        <v>0.900924702774108</v>
      </c>
      <c r="AA992" s="74">
        <v>0.865407319952775</v>
      </c>
      <c r="AB992" s="74">
        <v>0.899973917579551</v>
      </c>
      <c r="AC992" s="74">
        <v>0.92</v>
      </c>
      <c r="AD992" s="72">
        <v>0.996699669966997</v>
      </c>
      <c r="AE992" s="72">
        <v>0.997026759167493</v>
      </c>
      <c r="AF992" s="72">
        <v>0.992947813822285</v>
      </c>
      <c r="AG992" s="72">
        <v>0.991798335544566</v>
      </c>
      <c r="AH992" s="74">
        <v>0.92</v>
      </c>
      <c r="AI992" s="72">
        <v>0.940997830802603</v>
      </c>
      <c r="AJ992" s="72">
        <v>0.963325183374083</v>
      </c>
      <c r="AK992" s="72">
        <v>0.957010847730012</v>
      </c>
      <c r="AL992" s="72">
        <v>0.960180705045917</v>
      </c>
      <c r="AM992" s="71">
        <v>0.99</v>
      </c>
      <c r="AN992" s="76">
        <v>1</v>
      </c>
      <c r="AO992" s="76">
        <v>1</v>
      </c>
      <c r="AP992" s="76">
        <v>1</v>
      </c>
      <c r="AQ992" s="76">
        <v>1</v>
      </c>
      <c r="AR992" s="96">
        <v>0.0656418488929858</v>
      </c>
      <c r="AS992" s="80">
        <v>0</v>
      </c>
      <c r="AT992" s="80">
        <v>0.0625</v>
      </c>
      <c r="AU992" s="80">
        <v>0.0434782608695652</v>
      </c>
      <c r="AV992" s="80">
        <v>0.0196078431372549</v>
      </c>
      <c r="AW992" s="36"/>
      <c r="AX992" s="34"/>
    </row>
    <row r="993" ht="14.5" spans="1:50">
      <c r="A993" s="32"/>
      <c r="B993" s="36"/>
      <c r="C993" s="115" t="s">
        <v>949</v>
      </c>
      <c r="D993" s="69" t="s">
        <v>23</v>
      </c>
      <c r="E993" s="126" t="s">
        <v>1042</v>
      </c>
      <c r="F993" s="127" t="s">
        <v>1042</v>
      </c>
      <c r="G993" s="127" t="s">
        <v>1042</v>
      </c>
      <c r="H993" s="127" t="s">
        <v>1042</v>
      </c>
      <c r="I993" s="71">
        <v>0.9</v>
      </c>
      <c r="J993" s="72">
        <v>0.911764705882353</v>
      </c>
      <c r="K993" s="72">
        <v>0.942857142857143</v>
      </c>
      <c r="L993" s="73">
        <v>0.923076923076923</v>
      </c>
      <c r="M993" s="72">
        <v>0.934169278996865</v>
      </c>
      <c r="N993" s="74">
        <v>0.9</v>
      </c>
      <c r="O993" s="72">
        <v>0.980506155950752</v>
      </c>
      <c r="P993" s="72">
        <v>0.981311183625037</v>
      </c>
      <c r="Q993" s="72">
        <v>0.979630808402292</v>
      </c>
      <c r="R993" s="72">
        <v>0.98154356367831</v>
      </c>
      <c r="S993" s="74">
        <v>0.9</v>
      </c>
      <c r="T993" s="72">
        <v>0.924760601915185</v>
      </c>
      <c r="U993" s="72">
        <v>0.951943043607238</v>
      </c>
      <c r="V993" s="72">
        <v>0.945257797581158</v>
      </c>
      <c r="W993" s="72">
        <v>0.939043293320356</v>
      </c>
      <c r="X993" s="74">
        <v>0.92</v>
      </c>
      <c r="Y993" s="74">
        <v>0.90030518819939</v>
      </c>
      <c r="Z993" s="74">
        <v>0.945187165775401</v>
      </c>
      <c r="AA993" s="74">
        <v>0.952054794520548</v>
      </c>
      <c r="AB993" s="74">
        <v>0.937906028100922</v>
      </c>
      <c r="AC993" s="74">
        <v>0.92</v>
      </c>
      <c r="AD993" s="72">
        <v>0.990728817924285</v>
      </c>
      <c r="AE993" s="72">
        <v>0.97762673463608</v>
      </c>
      <c r="AF993" s="72">
        <v>0.965850710184346</v>
      </c>
      <c r="AG993" s="72">
        <v>0.97224868228869</v>
      </c>
      <c r="AH993" s="74">
        <v>0.92</v>
      </c>
      <c r="AI993" s="72">
        <v>0.947274123368313</v>
      </c>
      <c r="AJ993" s="72">
        <v>0.972323379461034</v>
      </c>
      <c r="AK993" s="72">
        <v>0.978569584301575</v>
      </c>
      <c r="AL993" s="72">
        <v>0.969358358795286</v>
      </c>
      <c r="AM993" s="71">
        <v>0.99</v>
      </c>
      <c r="AN993" s="76">
        <v>1</v>
      </c>
      <c r="AO993" s="76">
        <v>1</v>
      </c>
      <c r="AP993" s="76">
        <v>1</v>
      </c>
      <c r="AQ993" s="76">
        <v>1</v>
      </c>
      <c r="AR993" s="96">
        <v>0.0656418488929858</v>
      </c>
      <c r="AS993" s="80">
        <v>0.0666666666666667</v>
      </c>
      <c r="AT993" s="80">
        <v>0.0303030303030303</v>
      </c>
      <c r="AU993" s="80">
        <v>0.0208333333333333</v>
      </c>
      <c r="AV993" s="80">
        <v>0.0316622691292876</v>
      </c>
      <c r="AW993" s="36"/>
      <c r="AX993" s="34"/>
    </row>
    <row r="994" ht="14.5" spans="1:50">
      <c r="A994" s="32"/>
      <c r="B994" s="36"/>
      <c r="C994" s="115" t="s">
        <v>949</v>
      </c>
      <c r="D994" s="69" t="s">
        <v>23</v>
      </c>
      <c r="E994" s="116" t="s">
        <v>1043</v>
      </c>
      <c r="F994" s="117" t="s">
        <v>1043</v>
      </c>
      <c r="G994" s="117" t="s">
        <v>1043</v>
      </c>
      <c r="H994" s="117" t="s">
        <v>1043</v>
      </c>
      <c r="I994" s="71">
        <v>0.9</v>
      </c>
      <c r="J994" s="72">
        <v>0.857142857142857</v>
      </c>
      <c r="K994" s="72">
        <v>0.772727272727273</v>
      </c>
      <c r="L994" s="73">
        <v>0.909090909090909</v>
      </c>
      <c r="M994" s="72">
        <v>0.850515463917526</v>
      </c>
      <c r="N994" s="74">
        <v>0.9</v>
      </c>
      <c r="O994" s="72">
        <v>0.758186397984887</v>
      </c>
      <c r="P994" s="72">
        <v>0.904707233065442</v>
      </c>
      <c r="Q994" s="72">
        <v>0.942486085343228</v>
      </c>
      <c r="R994" s="72">
        <v>0.851271495916606</v>
      </c>
      <c r="S994" s="74">
        <v>0.9</v>
      </c>
      <c r="T994" s="72">
        <v>0.854534005037783</v>
      </c>
      <c r="U994" s="72">
        <v>0.895522388059702</v>
      </c>
      <c r="V994" s="72">
        <v>0.933828076685219</v>
      </c>
      <c r="W994" s="72">
        <v>0.883938649492066</v>
      </c>
      <c r="X994" s="74">
        <v>0.92</v>
      </c>
      <c r="Y994" s="74">
        <v>0.549909255898367</v>
      </c>
      <c r="Z994" s="74">
        <v>0.723404255319149</v>
      </c>
      <c r="AA994" s="74">
        <v>0.748633879781421</v>
      </c>
      <c r="AB994" s="74">
        <v>0.716140529531568</v>
      </c>
      <c r="AC994" s="74">
        <v>0.92</v>
      </c>
      <c r="AD994" s="72">
        <v>0.978791092258749</v>
      </c>
      <c r="AE994" s="72">
        <v>0.85577841451767</v>
      </c>
      <c r="AF994" s="72">
        <v>0.828282828282828</v>
      </c>
      <c r="AG994" s="72">
        <v>0.881713250023848</v>
      </c>
      <c r="AH994" s="74">
        <v>0.92</v>
      </c>
      <c r="AI994" s="72">
        <v>0.837774661056569</v>
      </c>
      <c r="AJ994" s="72">
        <v>0.910292728989613</v>
      </c>
      <c r="AK994" s="72">
        <v>0.935955622793747</v>
      </c>
      <c r="AL994" s="72">
        <v>0.913375460768826</v>
      </c>
      <c r="AM994" s="71">
        <v>0.99</v>
      </c>
      <c r="AN994" s="76">
        <v>1</v>
      </c>
      <c r="AO994" s="76">
        <v>1</v>
      </c>
      <c r="AP994" s="76">
        <v>1</v>
      </c>
      <c r="AQ994" s="76">
        <v>1</v>
      </c>
      <c r="AR994" s="96">
        <v>0.0656418488929858</v>
      </c>
      <c r="AS994" s="80">
        <v>0.08</v>
      </c>
      <c r="AT994" s="80">
        <v>0</v>
      </c>
      <c r="AU994" s="80">
        <v>0</v>
      </c>
      <c r="AV994" s="80">
        <v>0.021978021978022</v>
      </c>
      <c r="AW994" s="36"/>
      <c r="AX994" s="34"/>
    </row>
    <row r="995" ht="14.5" spans="1:50">
      <c r="A995" s="32"/>
      <c r="B995" s="36"/>
      <c r="C995" s="115" t="s">
        <v>949</v>
      </c>
      <c r="D995" s="69" t="s">
        <v>23</v>
      </c>
      <c r="E995" s="116" t="s">
        <v>1044</v>
      </c>
      <c r="F995" s="117" t="s">
        <v>1044</v>
      </c>
      <c r="G995" s="117" t="s">
        <v>1044</v>
      </c>
      <c r="H995" s="117" t="s">
        <v>1044</v>
      </c>
      <c r="I995" s="71">
        <v>0.9</v>
      </c>
      <c r="J995" s="72">
        <v>0.894736842105263</v>
      </c>
      <c r="K995" s="72">
        <v>0.904761904761905</v>
      </c>
      <c r="L995" s="73">
        <v>0.857142857142857</v>
      </c>
      <c r="M995" s="72">
        <v>0.939890710382514</v>
      </c>
      <c r="N995" s="74">
        <v>0.9</v>
      </c>
      <c r="O995" s="72">
        <v>0.575342465753425</v>
      </c>
      <c r="P995" s="72">
        <v>0.980121479845389</v>
      </c>
      <c r="Q995" s="72">
        <v>0.94273127753304</v>
      </c>
      <c r="R995" s="72">
        <v>0.911542192046557</v>
      </c>
      <c r="S995" s="74">
        <v>0.9</v>
      </c>
      <c r="T995" s="72">
        <v>0.908675799086758</v>
      </c>
      <c r="U995" s="72">
        <v>0.948647156267256</v>
      </c>
      <c r="V995" s="72">
        <v>0.92511013215859</v>
      </c>
      <c r="W995" s="72">
        <v>0.903330100226318</v>
      </c>
      <c r="X995" s="74">
        <v>0.92</v>
      </c>
      <c r="Y995" s="74">
        <v>0.893129770992366</v>
      </c>
      <c r="Z995" s="74">
        <v>0.947229551451187</v>
      </c>
      <c r="AA995" s="74">
        <v>0.942168674698795</v>
      </c>
      <c r="AB995" s="74">
        <v>0.914270211611503</v>
      </c>
      <c r="AC995" s="74">
        <v>0.92</v>
      </c>
      <c r="AD995" s="72">
        <v>0.901301518438178</v>
      </c>
      <c r="AE995" s="72">
        <v>0.709893795416434</v>
      </c>
      <c r="AF995" s="72">
        <v>0.769095697980685</v>
      </c>
      <c r="AG995" s="72">
        <v>0.792527393569247</v>
      </c>
      <c r="AH995" s="74">
        <v>0.92</v>
      </c>
      <c r="AI995" s="72">
        <v>0.945079086115993</v>
      </c>
      <c r="AJ995" s="72">
        <v>0.96625626994984</v>
      </c>
      <c r="AK995" s="72">
        <v>0.96420581655481</v>
      </c>
      <c r="AL995" s="72">
        <v>0.955961387946778</v>
      </c>
      <c r="AM995" s="71">
        <v>0.99</v>
      </c>
      <c r="AN995" s="76">
        <v>1</v>
      </c>
      <c r="AO995" s="76">
        <v>1</v>
      </c>
      <c r="AP995" s="76">
        <v>1</v>
      </c>
      <c r="AQ995" s="76">
        <v>1</v>
      </c>
      <c r="AR995" s="96">
        <v>0.0656418488929858</v>
      </c>
      <c r="AS995" s="80">
        <v>0</v>
      </c>
      <c r="AT995" s="80">
        <v>0.0526315789473684</v>
      </c>
      <c r="AU995" s="80">
        <v>0.0384615384615385</v>
      </c>
      <c r="AV995" s="80">
        <v>0.0420560747663551</v>
      </c>
      <c r="AW995" s="36"/>
      <c r="AX995" s="34"/>
    </row>
    <row r="996" ht="14.5" spans="1:50">
      <c r="A996" s="32"/>
      <c r="B996" s="36"/>
      <c r="C996" s="115" t="s">
        <v>949</v>
      </c>
      <c r="D996" s="69" t="s">
        <v>23</v>
      </c>
      <c r="E996" s="126" t="s">
        <v>1045</v>
      </c>
      <c r="F996" s="127" t="s">
        <v>1045</v>
      </c>
      <c r="G996" s="127" t="s">
        <v>1045</v>
      </c>
      <c r="H996" s="127" t="s">
        <v>1045</v>
      </c>
      <c r="I996" s="71">
        <v>0.9</v>
      </c>
      <c r="J996" s="72">
        <v>0.666666666666667</v>
      </c>
      <c r="K996" s="72">
        <v>0.727272727272727</v>
      </c>
      <c r="L996" s="73">
        <v>0.75</v>
      </c>
      <c r="M996" s="72">
        <v>0.726315789473684</v>
      </c>
      <c r="N996" s="74">
        <v>0.9</v>
      </c>
      <c r="O996" s="72">
        <v>0.959745762711864</v>
      </c>
      <c r="P996" s="72">
        <v>0.946919431279621</v>
      </c>
      <c r="Q996" s="72">
        <v>0.973214285714286</v>
      </c>
      <c r="R996" s="72">
        <v>0.942578796561605</v>
      </c>
      <c r="S996" s="74">
        <v>0.9</v>
      </c>
      <c r="T996" s="72">
        <v>0.88135593220339</v>
      </c>
      <c r="U996" s="72">
        <v>0.9260663507109</v>
      </c>
      <c r="V996" s="72">
        <v>0.929563492063492</v>
      </c>
      <c r="W996" s="72">
        <v>0.921833810888252</v>
      </c>
      <c r="X996" s="74">
        <v>0.92</v>
      </c>
      <c r="Y996" s="74">
        <v>0.817275747508306</v>
      </c>
      <c r="Z996" s="74">
        <v>0.952380952380952</v>
      </c>
      <c r="AA996" s="74">
        <v>0.851694915254237</v>
      </c>
      <c r="AB996" s="74">
        <v>0.87551867219917</v>
      </c>
      <c r="AC996" s="74">
        <v>0.92</v>
      </c>
      <c r="AD996" s="72">
        <v>0.982421875</v>
      </c>
      <c r="AE996" s="72">
        <v>0.8</v>
      </c>
      <c r="AF996" s="72">
        <v>0.830570902394107</v>
      </c>
      <c r="AG996" s="72">
        <v>0.851410934744268</v>
      </c>
      <c r="AH996" s="74">
        <v>0.92</v>
      </c>
      <c r="AI996" s="72">
        <v>0.916465863453815</v>
      </c>
      <c r="AJ996" s="72">
        <v>0.966335118592196</v>
      </c>
      <c r="AK996" s="72">
        <v>0.94935691318328</v>
      </c>
      <c r="AL996" s="72">
        <v>0.952542684046264</v>
      </c>
      <c r="AM996" s="71">
        <v>0.99</v>
      </c>
      <c r="AN996" s="76">
        <v>1</v>
      </c>
      <c r="AO996" s="76">
        <v>1</v>
      </c>
      <c r="AP996" s="76">
        <v>1</v>
      </c>
      <c r="AQ996" s="76">
        <v>1</v>
      </c>
      <c r="AR996" s="96">
        <v>0.0656418488929858</v>
      </c>
      <c r="AS996" s="80">
        <v>0</v>
      </c>
      <c r="AT996" s="80">
        <v>0.05</v>
      </c>
      <c r="AU996" s="80">
        <v>0.0666666666666667</v>
      </c>
      <c r="AV996" s="80">
        <v>0.0344827586206897</v>
      </c>
      <c r="AW996" s="36"/>
      <c r="AX996" s="34"/>
    </row>
    <row r="997" ht="14.5" spans="1:50">
      <c r="A997" s="32"/>
      <c r="B997" s="36"/>
      <c r="C997" s="115" t="s">
        <v>949</v>
      </c>
      <c r="D997" s="69" t="s">
        <v>23</v>
      </c>
      <c r="E997" s="116" t="s">
        <v>1046</v>
      </c>
      <c r="F997" s="117" t="s">
        <v>1046</v>
      </c>
      <c r="G997" s="117" t="s">
        <v>1046</v>
      </c>
      <c r="H997" s="117" t="s">
        <v>1046</v>
      </c>
      <c r="I997" s="71">
        <v>0.9</v>
      </c>
      <c r="J997" s="72">
        <v>0</v>
      </c>
      <c r="K997" s="72">
        <v>0</v>
      </c>
      <c r="L997" s="73">
        <v>0</v>
      </c>
      <c r="M997" s="72">
        <v>0</v>
      </c>
      <c r="N997" s="74">
        <v>0.9</v>
      </c>
      <c r="O997" s="72">
        <v>0</v>
      </c>
      <c r="P997" s="72">
        <v>0</v>
      </c>
      <c r="Q997" s="72">
        <v>0</v>
      </c>
      <c r="R997" s="72">
        <v>0</v>
      </c>
      <c r="S997" s="74">
        <v>0.9</v>
      </c>
      <c r="T997" s="72">
        <v>0</v>
      </c>
      <c r="U997" s="72">
        <v>0</v>
      </c>
      <c r="V997" s="72">
        <v>0</v>
      </c>
      <c r="W997" s="72">
        <v>0</v>
      </c>
      <c r="X997" s="74">
        <v>0.92</v>
      </c>
      <c r="Y997" s="74">
        <v>0</v>
      </c>
      <c r="Z997" s="74">
        <v>0</v>
      </c>
      <c r="AA997" s="74">
        <v>0</v>
      </c>
      <c r="AB997" s="74">
        <v>0</v>
      </c>
      <c r="AC997" s="74">
        <v>0.92</v>
      </c>
      <c r="AD997" s="72">
        <v>0.994186046511628</v>
      </c>
      <c r="AE997" s="72">
        <v>0.937759336099585</v>
      </c>
      <c r="AF997" s="72">
        <v>0.893660531697341</v>
      </c>
      <c r="AG997" s="72">
        <v>0.810464221595281</v>
      </c>
      <c r="AH997" s="74">
        <v>0.92</v>
      </c>
      <c r="AI997" s="72">
        <v>0</v>
      </c>
      <c r="AJ997" s="72">
        <v>0</v>
      </c>
      <c r="AK997" s="72">
        <v>0</v>
      </c>
      <c r="AL997" s="72">
        <v>0</v>
      </c>
      <c r="AM997" s="71">
        <v>0.99</v>
      </c>
      <c r="AN997" s="76">
        <v>1</v>
      </c>
      <c r="AO997" s="76">
        <v>1</v>
      </c>
      <c r="AP997" s="76">
        <v>1</v>
      </c>
      <c r="AQ997" s="76">
        <v>1</v>
      </c>
      <c r="AR997" s="96">
        <v>0.0656418488929858</v>
      </c>
      <c r="AS997" s="80">
        <v>0</v>
      </c>
      <c r="AT997" s="80">
        <v>0</v>
      </c>
      <c r="AU997" s="80">
        <v>0</v>
      </c>
      <c r="AV997" s="80">
        <v>0</v>
      </c>
      <c r="AW997" s="36"/>
      <c r="AX997" s="34"/>
    </row>
    <row r="998" ht="14.5" spans="1:50">
      <c r="A998" s="32"/>
      <c r="B998" s="36"/>
      <c r="C998" s="115" t="s">
        <v>949</v>
      </c>
      <c r="D998" s="69" t="s">
        <v>23</v>
      </c>
      <c r="E998" s="116" t="s">
        <v>1047</v>
      </c>
      <c r="F998" s="117" t="s">
        <v>1047</v>
      </c>
      <c r="G998" s="117" t="s">
        <v>1047</v>
      </c>
      <c r="H998" s="117" t="s">
        <v>1047</v>
      </c>
      <c r="I998" s="71">
        <v>0.9</v>
      </c>
      <c r="J998" s="72">
        <v>0.866666666666667</v>
      </c>
      <c r="K998" s="72">
        <v>0.939393939393939</v>
      </c>
      <c r="L998" s="73">
        <v>0.888888888888889</v>
      </c>
      <c r="M998" s="72">
        <v>0.793478260869565</v>
      </c>
      <c r="N998" s="74">
        <v>0.9</v>
      </c>
      <c r="O998" s="72">
        <v>0.921272493573265</v>
      </c>
      <c r="P998" s="72">
        <v>0.916342412451362</v>
      </c>
      <c r="Q998" s="72">
        <v>0.957383841373187</v>
      </c>
      <c r="R998" s="72">
        <v>0.932349035231622</v>
      </c>
      <c r="S998" s="74">
        <v>0.9</v>
      </c>
      <c r="T998" s="72">
        <v>0.795629820051414</v>
      </c>
      <c r="U998" s="72">
        <v>0.885769872151195</v>
      </c>
      <c r="V998" s="72">
        <v>0.907664989641906</v>
      </c>
      <c r="W998" s="72">
        <v>0.842902898211077</v>
      </c>
      <c r="X998" s="74">
        <v>0.92</v>
      </c>
      <c r="Y998" s="74">
        <v>0.792168674698795</v>
      </c>
      <c r="Z998" s="74">
        <v>0.868660598179454</v>
      </c>
      <c r="AA998" s="74">
        <v>0.87719298245614</v>
      </c>
      <c r="AB998" s="74">
        <v>0.872884114583333</v>
      </c>
      <c r="AC998" s="74">
        <v>0.92</v>
      </c>
      <c r="AD998" s="72">
        <v>0.926474247325205</v>
      </c>
      <c r="AE998" s="72">
        <v>0.893416617093</v>
      </c>
      <c r="AF998" s="72">
        <v>0.899598393574297</v>
      </c>
      <c r="AG998" s="72">
        <v>0.904074096741947</v>
      </c>
      <c r="AH998" s="74">
        <v>0.92</v>
      </c>
      <c r="AI998" s="72">
        <v>0.876612314431735</v>
      </c>
      <c r="AJ998" s="72">
        <v>0.934797529169526</v>
      </c>
      <c r="AK998" s="72">
        <v>0.938399811187161</v>
      </c>
      <c r="AL998" s="72">
        <v>0.92917125334172</v>
      </c>
      <c r="AM998" s="71">
        <v>0.99</v>
      </c>
      <c r="AN998" s="76">
        <v>1</v>
      </c>
      <c r="AO998" s="76">
        <v>1</v>
      </c>
      <c r="AP998" s="76">
        <v>1</v>
      </c>
      <c r="AQ998" s="76">
        <v>1</v>
      </c>
      <c r="AR998" s="96">
        <v>0.0656418488929858</v>
      </c>
      <c r="AS998" s="80">
        <v>0</v>
      </c>
      <c r="AT998" s="80">
        <v>0</v>
      </c>
      <c r="AU998" s="80">
        <v>0.0943396226415094</v>
      </c>
      <c r="AV998" s="80">
        <v>0.0237529691211401</v>
      </c>
      <c r="AW998" s="36"/>
      <c r="AX998" s="34"/>
    </row>
    <row r="999" ht="14.5" spans="1:50">
      <c r="A999" s="32"/>
      <c r="B999" s="36"/>
      <c r="C999" s="115" t="s">
        <v>949</v>
      </c>
      <c r="D999" s="69" t="s">
        <v>23</v>
      </c>
      <c r="E999" s="116" t="s">
        <v>1048</v>
      </c>
      <c r="F999" s="117" t="s">
        <v>1048</v>
      </c>
      <c r="G999" s="117" t="s">
        <v>1048</v>
      </c>
      <c r="H999" s="117" t="s">
        <v>1048</v>
      </c>
      <c r="I999" s="71">
        <v>0.9</v>
      </c>
      <c r="J999" s="72">
        <v>0</v>
      </c>
      <c r="K999" s="72">
        <v>0</v>
      </c>
      <c r="L999" s="73">
        <v>0</v>
      </c>
      <c r="M999" s="72">
        <v>0</v>
      </c>
      <c r="N999" s="74">
        <v>0.9</v>
      </c>
      <c r="O999" s="72">
        <v>0</v>
      </c>
      <c r="P999" s="72">
        <v>0</v>
      </c>
      <c r="Q999" s="72">
        <v>0</v>
      </c>
      <c r="R999" s="72">
        <v>0</v>
      </c>
      <c r="S999" s="74">
        <v>0.9</v>
      </c>
      <c r="T999" s="72">
        <v>0</v>
      </c>
      <c r="U999" s="72">
        <v>0</v>
      </c>
      <c r="V999" s="72">
        <v>0</v>
      </c>
      <c r="W999" s="72">
        <v>0</v>
      </c>
      <c r="X999" s="74">
        <v>0.92</v>
      </c>
      <c r="Y999" s="74">
        <v>0</v>
      </c>
      <c r="Z999" s="74">
        <v>0</v>
      </c>
      <c r="AA999" s="74">
        <v>0</v>
      </c>
      <c r="AB999" s="74">
        <v>0</v>
      </c>
      <c r="AC999" s="74">
        <v>0.92</v>
      </c>
      <c r="AD999" s="72">
        <v>0.833333333333333</v>
      </c>
      <c r="AE999" s="72">
        <v>0.703517587939699</v>
      </c>
      <c r="AF999" s="72">
        <v>0.867549668874172</v>
      </c>
      <c r="AG999" s="72">
        <v>0.870121130551817</v>
      </c>
      <c r="AH999" s="74">
        <v>0.92</v>
      </c>
      <c r="AI999" s="72">
        <v>0</v>
      </c>
      <c r="AJ999" s="72">
        <v>0</v>
      </c>
      <c r="AK999" s="72">
        <v>0</v>
      </c>
      <c r="AL999" s="72">
        <v>0</v>
      </c>
      <c r="AM999" s="71">
        <v>0.99</v>
      </c>
      <c r="AN999" s="76">
        <v>0</v>
      </c>
      <c r="AO999" s="76">
        <v>1</v>
      </c>
      <c r="AP999" s="76">
        <v>1</v>
      </c>
      <c r="AQ999" s="76">
        <v>1</v>
      </c>
      <c r="AR999" s="96">
        <v>0.0656418488929858</v>
      </c>
      <c r="AS999" s="80">
        <v>0</v>
      </c>
      <c r="AT999" s="80">
        <v>0</v>
      </c>
      <c r="AU999" s="80">
        <v>0</v>
      </c>
      <c r="AV999" s="80">
        <v>0</v>
      </c>
      <c r="AW999" s="36"/>
      <c r="AX999" s="34"/>
    </row>
    <row r="1000" ht="14.5" spans="1:50">
      <c r="A1000" s="32"/>
      <c r="B1000" s="36"/>
      <c r="C1000" s="115" t="s">
        <v>949</v>
      </c>
      <c r="D1000" s="69" t="s">
        <v>23</v>
      </c>
      <c r="E1000" s="116" t="s">
        <v>1049</v>
      </c>
      <c r="F1000" s="117" t="s">
        <v>1049</v>
      </c>
      <c r="G1000" s="117" t="s">
        <v>1049</v>
      </c>
      <c r="H1000" s="117" t="s">
        <v>1049</v>
      </c>
      <c r="I1000" s="71">
        <v>0.9</v>
      </c>
      <c r="J1000" s="72">
        <v>0</v>
      </c>
      <c r="K1000" s="72">
        <v>0</v>
      </c>
      <c r="L1000" s="73">
        <v>0</v>
      </c>
      <c r="M1000" s="72">
        <v>1</v>
      </c>
      <c r="N1000" s="74">
        <v>0.9</v>
      </c>
      <c r="O1000" s="72">
        <v>0.015625</v>
      </c>
      <c r="P1000" s="72">
        <v>0.00458715596330275</v>
      </c>
      <c r="Q1000" s="72">
        <v>0.693140794223827</v>
      </c>
      <c r="R1000" s="72">
        <v>0.414288487672297</v>
      </c>
      <c r="S1000" s="74">
        <v>0.9</v>
      </c>
      <c r="T1000" s="72">
        <v>0.994791666666667</v>
      </c>
      <c r="U1000" s="72">
        <v>1</v>
      </c>
      <c r="V1000" s="72">
        <v>1</v>
      </c>
      <c r="W1000" s="72">
        <v>0.958454668996311</v>
      </c>
      <c r="X1000" s="74">
        <v>0.92</v>
      </c>
      <c r="Y1000" s="74">
        <v>1</v>
      </c>
      <c r="Z1000" s="74">
        <v>1</v>
      </c>
      <c r="AA1000" s="74">
        <v>1</v>
      </c>
      <c r="AB1000" s="74">
        <v>0.962609970674487</v>
      </c>
      <c r="AC1000" s="74">
        <v>0.92</v>
      </c>
      <c r="AD1000" s="72">
        <v>1</v>
      </c>
      <c r="AE1000" s="72">
        <v>1</v>
      </c>
      <c r="AF1000" s="72">
        <v>1</v>
      </c>
      <c r="AG1000" s="72">
        <v>0.953486144809092</v>
      </c>
      <c r="AH1000" s="74">
        <v>0.92</v>
      </c>
      <c r="AI1000" s="72">
        <v>0.991935483870968</v>
      </c>
      <c r="AJ1000" s="72">
        <v>0.996527777777778</v>
      </c>
      <c r="AK1000" s="72">
        <v>0.997260273972603</v>
      </c>
      <c r="AL1000" s="72">
        <v>0.980869299051117</v>
      </c>
      <c r="AM1000" s="71">
        <v>0.99</v>
      </c>
      <c r="AN1000" s="76">
        <v>0</v>
      </c>
      <c r="AO1000" s="76">
        <v>0</v>
      </c>
      <c r="AP1000" s="76">
        <v>0</v>
      </c>
      <c r="AQ1000" s="76">
        <v>1</v>
      </c>
      <c r="AR1000" s="96">
        <v>0.0656418488929858</v>
      </c>
      <c r="AS1000" s="80">
        <v>0</v>
      </c>
      <c r="AT1000" s="80">
        <v>0</v>
      </c>
      <c r="AU1000" s="80">
        <v>0</v>
      </c>
      <c r="AV1000" s="80">
        <v>0.0476190476190476</v>
      </c>
      <c r="AW1000" s="36"/>
      <c r="AX1000" s="34"/>
    </row>
    <row r="1001" ht="14.5" spans="1:50">
      <c r="A1001" s="32"/>
      <c r="B1001" s="36"/>
      <c r="C1001" s="115" t="s">
        <v>949</v>
      </c>
      <c r="D1001" s="69" t="s">
        <v>23</v>
      </c>
      <c r="E1001" s="116" t="s">
        <v>1050</v>
      </c>
      <c r="F1001" s="117" t="s">
        <v>1050</v>
      </c>
      <c r="G1001" s="117" t="s">
        <v>1050</v>
      </c>
      <c r="H1001" s="117" t="s">
        <v>1050</v>
      </c>
      <c r="I1001" s="71">
        <v>0.9</v>
      </c>
      <c r="J1001" s="72">
        <v>0.941176470588235</v>
      </c>
      <c r="K1001" s="72">
        <v>0.882352941176471</v>
      </c>
      <c r="L1001" s="73">
        <v>0.9</v>
      </c>
      <c r="M1001" s="72">
        <v>0.940119760479042</v>
      </c>
      <c r="N1001" s="74">
        <v>0.9</v>
      </c>
      <c r="O1001" s="72">
        <v>0.911437472185136</v>
      </c>
      <c r="P1001" s="72">
        <v>0.777140516181893</v>
      </c>
      <c r="Q1001" s="72">
        <v>0.917411664538101</v>
      </c>
      <c r="R1001" s="72">
        <v>0.854361790810572</v>
      </c>
      <c r="S1001" s="74">
        <v>0.9</v>
      </c>
      <c r="T1001" s="72">
        <v>0.909212283044059</v>
      </c>
      <c r="U1001" s="72">
        <v>0.915608357230643</v>
      </c>
      <c r="V1001" s="72">
        <v>0.931460195828012</v>
      </c>
      <c r="W1001" s="72">
        <v>0.920511940371696</v>
      </c>
      <c r="X1001" s="74">
        <v>0.92</v>
      </c>
      <c r="Y1001" s="74">
        <v>0.902325581395349</v>
      </c>
      <c r="Z1001" s="74">
        <v>0.924657534246575</v>
      </c>
      <c r="AA1001" s="74">
        <v>0.935018050541516</v>
      </c>
      <c r="AB1001" s="74">
        <v>0.930399379604498</v>
      </c>
      <c r="AC1001" s="74">
        <v>0.92</v>
      </c>
      <c r="AD1001" s="72">
        <v>0.971047104710471</v>
      </c>
      <c r="AE1001" s="72">
        <v>0.929030599125739</v>
      </c>
      <c r="AF1001" s="72">
        <v>0.988724453840733</v>
      </c>
      <c r="AG1001" s="72">
        <v>0.969956140350877</v>
      </c>
      <c r="AH1001" s="74">
        <v>0.92</v>
      </c>
      <c r="AI1001" s="72">
        <v>0.943350604490501</v>
      </c>
      <c r="AJ1001" s="72">
        <v>0.96469811943253</v>
      </c>
      <c r="AK1001" s="72">
        <v>0.972470750172058</v>
      </c>
      <c r="AL1001" s="72">
        <v>0.965323116619102</v>
      </c>
      <c r="AM1001" s="71">
        <v>0.99</v>
      </c>
      <c r="AN1001" s="76">
        <v>1</v>
      </c>
      <c r="AO1001" s="76">
        <v>1</v>
      </c>
      <c r="AP1001" s="76">
        <v>1</v>
      </c>
      <c r="AQ1001" s="76">
        <v>1</v>
      </c>
      <c r="AR1001" s="96">
        <v>0.0656418488929858</v>
      </c>
      <c r="AS1001" s="80">
        <v>0.0612244897959184</v>
      </c>
      <c r="AT1001" s="80">
        <v>0.028169014084507</v>
      </c>
      <c r="AU1001" s="80">
        <v>0.0172413793103448</v>
      </c>
      <c r="AV1001" s="80">
        <v>0.0280373831775701</v>
      </c>
      <c r="AW1001" s="36"/>
      <c r="AX1001" s="34"/>
    </row>
    <row r="1002" ht="14.5" spans="1:50">
      <c r="A1002" s="32"/>
      <c r="B1002" s="36"/>
      <c r="C1002" s="115" t="s">
        <v>949</v>
      </c>
      <c r="D1002" s="69" t="s">
        <v>23</v>
      </c>
      <c r="E1002" s="126" t="s">
        <v>1051</v>
      </c>
      <c r="F1002" s="127" t="s">
        <v>1051</v>
      </c>
      <c r="G1002" s="127" t="s">
        <v>1051</v>
      </c>
      <c r="H1002" s="127" t="s">
        <v>1051</v>
      </c>
      <c r="I1002" s="71">
        <v>0.9</v>
      </c>
      <c r="J1002" s="72">
        <v>0</v>
      </c>
      <c r="K1002" s="72">
        <v>0</v>
      </c>
      <c r="L1002" s="73">
        <v>0</v>
      </c>
      <c r="M1002" s="72">
        <v>0</v>
      </c>
      <c r="N1002" s="74">
        <v>0.9</v>
      </c>
      <c r="O1002" s="72">
        <v>0</v>
      </c>
      <c r="P1002" s="72">
        <v>0</v>
      </c>
      <c r="Q1002" s="72">
        <v>0</v>
      </c>
      <c r="R1002" s="72">
        <v>0</v>
      </c>
      <c r="S1002" s="74">
        <v>0.9</v>
      </c>
      <c r="T1002" s="72">
        <v>0</v>
      </c>
      <c r="U1002" s="72">
        <v>0</v>
      </c>
      <c r="V1002" s="72">
        <v>0</v>
      </c>
      <c r="W1002" s="72">
        <v>0</v>
      </c>
      <c r="X1002" s="74">
        <v>0.92</v>
      </c>
      <c r="Y1002" s="74">
        <v>0</v>
      </c>
      <c r="Z1002" s="74">
        <v>0</v>
      </c>
      <c r="AA1002" s="74">
        <v>0</v>
      </c>
      <c r="AB1002" s="74">
        <v>0</v>
      </c>
      <c r="AC1002" s="74">
        <v>0.92</v>
      </c>
      <c r="AD1002" s="72">
        <v>0.990228013029316</v>
      </c>
      <c r="AE1002" s="72">
        <v>0.965346534653465</v>
      </c>
      <c r="AF1002" s="72">
        <v>0.912</v>
      </c>
      <c r="AG1002" s="72">
        <v>0.934129991256194</v>
      </c>
      <c r="AH1002" s="74">
        <v>0.92</v>
      </c>
      <c r="AI1002" s="72">
        <v>0</v>
      </c>
      <c r="AJ1002" s="72">
        <v>0</v>
      </c>
      <c r="AK1002" s="72">
        <v>0</v>
      </c>
      <c r="AL1002" s="72">
        <v>0</v>
      </c>
      <c r="AM1002" s="71">
        <v>0.99</v>
      </c>
      <c r="AN1002" s="76">
        <v>0</v>
      </c>
      <c r="AO1002" s="76">
        <v>1</v>
      </c>
      <c r="AP1002" s="76">
        <v>1</v>
      </c>
      <c r="AQ1002" s="76">
        <v>1</v>
      </c>
      <c r="AR1002" s="96">
        <v>0.0656418488929858</v>
      </c>
      <c r="AS1002" s="80">
        <v>0</v>
      </c>
      <c r="AT1002" s="80">
        <v>0</v>
      </c>
      <c r="AU1002" s="80">
        <v>0</v>
      </c>
      <c r="AV1002" s="80">
        <v>0</v>
      </c>
      <c r="AW1002" s="36"/>
      <c r="AX1002" s="34"/>
    </row>
    <row r="1003" ht="14.5" spans="1:50">
      <c r="A1003" s="32"/>
      <c r="B1003" s="36"/>
      <c r="C1003" s="115" t="s">
        <v>949</v>
      </c>
      <c r="D1003" s="69" t="s">
        <v>23</v>
      </c>
      <c r="E1003" s="126" t="s">
        <v>1052</v>
      </c>
      <c r="F1003" s="127" t="s">
        <v>1052</v>
      </c>
      <c r="G1003" s="127" t="s">
        <v>1052</v>
      </c>
      <c r="H1003" s="127" t="s">
        <v>1052</v>
      </c>
      <c r="I1003" s="71">
        <v>0.9</v>
      </c>
      <c r="J1003" s="72">
        <v>0.846153846153846</v>
      </c>
      <c r="K1003" s="72">
        <v>0.714285714285714</v>
      </c>
      <c r="L1003" s="73">
        <v>0.764705882352941</v>
      </c>
      <c r="M1003" s="72">
        <v>0.762589928057554</v>
      </c>
      <c r="N1003" s="74">
        <v>0.9</v>
      </c>
      <c r="O1003" s="72">
        <v>0.924050632911392</v>
      </c>
      <c r="P1003" s="72">
        <v>0.981965734896303</v>
      </c>
      <c r="Q1003" s="72">
        <v>0.98539435248296</v>
      </c>
      <c r="R1003" s="72">
        <v>0.978005390835579</v>
      </c>
      <c r="S1003" s="74">
        <v>0.9</v>
      </c>
      <c r="T1003" s="72">
        <v>0.836497890295359</v>
      </c>
      <c r="U1003" s="72">
        <v>0.830477908025248</v>
      </c>
      <c r="V1003" s="72">
        <v>0.88412852969815</v>
      </c>
      <c r="W1003" s="72">
        <v>0.860592991913747</v>
      </c>
      <c r="X1003" s="74">
        <v>0.92</v>
      </c>
      <c r="Y1003" s="74">
        <v>0.462897526501767</v>
      </c>
      <c r="Z1003" s="74">
        <v>0.676470588235294</v>
      </c>
      <c r="AA1003" s="74">
        <v>0.782786885245902</v>
      </c>
      <c r="AB1003" s="74">
        <v>0.675195143104944</v>
      </c>
      <c r="AC1003" s="74">
        <v>0.92</v>
      </c>
      <c r="AD1003" s="72">
        <v>0.987617924528302</v>
      </c>
      <c r="AE1003" s="72">
        <v>0.694541812719079</v>
      </c>
      <c r="AF1003" s="72">
        <v>0.796200345423143</v>
      </c>
      <c r="AG1003" s="72">
        <v>0.890450495670724</v>
      </c>
      <c r="AH1003" s="74">
        <v>0.92</v>
      </c>
      <c r="AI1003" s="72">
        <v>0.795288383428107</v>
      </c>
      <c r="AJ1003" s="72">
        <v>0.904974016332591</v>
      </c>
      <c r="AK1003" s="72">
        <v>0.936270653029111</v>
      </c>
      <c r="AL1003" s="72">
        <v>0.896477292350199</v>
      </c>
      <c r="AM1003" s="71">
        <v>0.99</v>
      </c>
      <c r="AN1003" s="76">
        <v>1</v>
      </c>
      <c r="AO1003" s="76">
        <v>1</v>
      </c>
      <c r="AP1003" s="76">
        <v>1</v>
      </c>
      <c r="AQ1003" s="76">
        <v>1</v>
      </c>
      <c r="AR1003" s="96">
        <v>0.0656418488929858</v>
      </c>
      <c r="AS1003" s="80">
        <v>0</v>
      </c>
      <c r="AT1003" s="80">
        <v>0.133333333333333</v>
      </c>
      <c r="AU1003" s="80">
        <v>0.0769230769230769</v>
      </c>
      <c r="AV1003" s="80">
        <v>0.04</v>
      </c>
      <c r="AW1003" s="36"/>
      <c r="AX1003" s="34"/>
    </row>
    <row r="1004" ht="14.5" spans="1:50">
      <c r="A1004" s="32"/>
      <c r="B1004" s="36"/>
      <c r="C1004" s="115" t="s">
        <v>949</v>
      </c>
      <c r="D1004" s="69" t="s">
        <v>23</v>
      </c>
      <c r="E1004" s="116" t="s">
        <v>1053</v>
      </c>
      <c r="F1004" s="117" t="s">
        <v>1053</v>
      </c>
      <c r="G1004" s="117" t="s">
        <v>1053</v>
      </c>
      <c r="H1004" s="117" t="s">
        <v>1053</v>
      </c>
      <c r="I1004" s="71">
        <v>0.9</v>
      </c>
      <c r="J1004" s="72">
        <v>0.923076923076923</v>
      </c>
      <c r="K1004" s="72">
        <v>1</v>
      </c>
      <c r="L1004" s="73">
        <v>0.96551724137931</v>
      </c>
      <c r="M1004" s="72">
        <v>0.94758064516129</v>
      </c>
      <c r="N1004" s="74">
        <v>0.9</v>
      </c>
      <c r="O1004" s="72">
        <v>0.969301611665388</v>
      </c>
      <c r="P1004" s="72">
        <v>0.97491961414791</v>
      </c>
      <c r="Q1004" s="72">
        <v>0.972490175062522</v>
      </c>
      <c r="R1004" s="72">
        <v>0.972359854223824</v>
      </c>
      <c r="S1004" s="74">
        <v>0.9</v>
      </c>
      <c r="T1004" s="72">
        <v>0.890636991557943</v>
      </c>
      <c r="U1004" s="72">
        <v>0.922186495176849</v>
      </c>
      <c r="V1004" s="72">
        <v>0.919256877456234</v>
      </c>
      <c r="W1004" s="72">
        <v>0.917939478317841</v>
      </c>
      <c r="X1004" s="74">
        <v>0.92</v>
      </c>
      <c r="Y1004" s="74">
        <v>0.877844311377246</v>
      </c>
      <c r="Z1004" s="74">
        <v>0.881458966565349</v>
      </c>
      <c r="AA1004" s="74">
        <v>0.910714285714286</v>
      </c>
      <c r="AB1004" s="74">
        <v>0.914084742924133</v>
      </c>
      <c r="AC1004" s="74">
        <v>0.92</v>
      </c>
      <c r="AD1004" s="72">
        <v>0.922405431619787</v>
      </c>
      <c r="AE1004" s="72">
        <v>0.86890756302521</v>
      </c>
      <c r="AF1004" s="72">
        <v>0.968586387434555</v>
      </c>
      <c r="AG1004" s="72">
        <v>0.917902976244653</v>
      </c>
      <c r="AH1004" s="74">
        <v>0.92</v>
      </c>
      <c r="AI1004" s="72">
        <v>0.911072362685266</v>
      </c>
      <c r="AJ1004" s="72">
        <v>0.948527460864951</v>
      </c>
      <c r="AK1004" s="72">
        <v>0.95364238410596</v>
      </c>
      <c r="AL1004" s="72">
        <v>0.950529570422998</v>
      </c>
      <c r="AM1004" s="71">
        <v>0.99</v>
      </c>
      <c r="AN1004" s="76">
        <v>1</v>
      </c>
      <c r="AO1004" s="76">
        <v>1</v>
      </c>
      <c r="AP1004" s="76">
        <v>1</v>
      </c>
      <c r="AQ1004" s="76">
        <v>1</v>
      </c>
      <c r="AR1004" s="96">
        <v>0.0656418488929858</v>
      </c>
      <c r="AS1004" s="80">
        <v>0</v>
      </c>
      <c r="AT1004" s="80">
        <v>0.0540540540540541</v>
      </c>
      <c r="AU1004" s="80">
        <v>0.0697674418604651</v>
      </c>
      <c r="AV1004" s="80">
        <v>0.027355623100304</v>
      </c>
      <c r="AW1004" s="36"/>
      <c r="AX1004" s="34"/>
    </row>
    <row r="1005" ht="14.5" spans="1:50">
      <c r="A1005" s="32"/>
      <c r="B1005" s="36"/>
      <c r="C1005" s="115" t="s">
        <v>949</v>
      </c>
      <c r="D1005" s="69" t="s">
        <v>23</v>
      </c>
      <c r="E1005" s="116" t="s">
        <v>1054</v>
      </c>
      <c r="F1005" s="117" t="s">
        <v>1054</v>
      </c>
      <c r="G1005" s="117" t="s">
        <v>1054</v>
      </c>
      <c r="H1005" s="117" t="s">
        <v>1054</v>
      </c>
      <c r="I1005" s="71">
        <v>0.9</v>
      </c>
      <c r="J1005" s="72">
        <v>0.714285714285714</v>
      </c>
      <c r="K1005" s="72">
        <v>0.75</v>
      </c>
      <c r="L1005" s="73">
        <v>0.882352941176471</v>
      </c>
      <c r="M1005" s="72">
        <v>0.821428571428571</v>
      </c>
      <c r="N1005" s="74">
        <v>0.9</v>
      </c>
      <c r="O1005" s="72">
        <v>0.955696202531646</v>
      </c>
      <c r="P1005" s="72">
        <v>0.958912768647282</v>
      </c>
      <c r="Q1005" s="72">
        <v>0.912742382271468</v>
      </c>
      <c r="R1005" s="72">
        <v>0.951591767517151</v>
      </c>
      <c r="S1005" s="74">
        <v>0.9</v>
      </c>
      <c r="T1005" s="72">
        <v>0.893108298171589</v>
      </c>
      <c r="U1005" s="72">
        <v>0.926042983565108</v>
      </c>
      <c r="V1005" s="72">
        <v>0.935595567867036</v>
      </c>
      <c r="W1005" s="72">
        <v>0.915362676327758</v>
      </c>
      <c r="X1005" s="74">
        <v>0.92</v>
      </c>
      <c r="Y1005" s="74">
        <v>0</v>
      </c>
      <c r="Z1005" s="74">
        <v>0</v>
      </c>
      <c r="AA1005" s="74">
        <v>0</v>
      </c>
      <c r="AB1005" s="74">
        <v>0</v>
      </c>
      <c r="AC1005" s="74">
        <v>0.92</v>
      </c>
      <c r="AD1005" s="72">
        <v>0.972222222222222</v>
      </c>
      <c r="AE1005" s="72">
        <v>0.927659574468085</v>
      </c>
      <c r="AF1005" s="72">
        <v>0.976</v>
      </c>
      <c r="AG1005" s="72">
        <v>0.967762128325509</v>
      </c>
      <c r="AH1005" s="74">
        <v>0.92</v>
      </c>
      <c r="AI1005" s="72">
        <v>0.931082981715893</v>
      </c>
      <c r="AJ1005" s="72">
        <v>0.950757575757576</v>
      </c>
      <c r="AK1005" s="72">
        <v>0.967451523545706</v>
      </c>
      <c r="AL1005" s="72">
        <v>0.956930426072887</v>
      </c>
      <c r="AM1005" s="71">
        <v>0.99</v>
      </c>
      <c r="AN1005" s="76">
        <v>1</v>
      </c>
      <c r="AO1005" s="76">
        <v>1</v>
      </c>
      <c r="AP1005" s="76">
        <v>1</v>
      </c>
      <c r="AQ1005" s="76">
        <v>1</v>
      </c>
      <c r="AR1005" s="96">
        <v>0.0656418488929858</v>
      </c>
      <c r="AS1005" s="80">
        <v>0</v>
      </c>
      <c r="AT1005" s="80">
        <v>0</v>
      </c>
      <c r="AU1005" s="80">
        <v>0</v>
      </c>
      <c r="AV1005" s="80">
        <v>0.0238095238095238</v>
      </c>
      <c r="AW1005" s="36"/>
      <c r="AX1005" s="34"/>
    </row>
    <row r="1006" ht="14.5" spans="1:50">
      <c r="A1006" s="32"/>
      <c r="B1006" s="36"/>
      <c r="C1006" s="115" t="s">
        <v>949</v>
      </c>
      <c r="D1006" s="69" t="s">
        <v>23</v>
      </c>
      <c r="E1006" s="126" t="s">
        <v>1055</v>
      </c>
      <c r="F1006" s="127" t="s">
        <v>1055</v>
      </c>
      <c r="G1006" s="127" t="s">
        <v>1055</v>
      </c>
      <c r="H1006" s="127" t="s">
        <v>1055</v>
      </c>
      <c r="I1006" s="71">
        <v>0.9</v>
      </c>
      <c r="J1006" s="72">
        <v>0.736842105263158</v>
      </c>
      <c r="K1006" s="72">
        <v>0.954545454545455</v>
      </c>
      <c r="L1006" s="73">
        <v>1</v>
      </c>
      <c r="M1006" s="72">
        <v>0.928571428571429</v>
      </c>
      <c r="N1006" s="74">
        <v>0.9</v>
      </c>
      <c r="O1006" s="72">
        <v>0.968206656731247</v>
      </c>
      <c r="P1006" s="72">
        <v>0.959173871277618</v>
      </c>
      <c r="Q1006" s="72">
        <v>0.963609898107715</v>
      </c>
      <c r="R1006" s="72">
        <v>0.97179347826087</v>
      </c>
      <c r="S1006" s="74">
        <v>0.9</v>
      </c>
      <c r="T1006" s="72">
        <v>0.89518132141083</v>
      </c>
      <c r="U1006" s="72">
        <v>0.921229586935639</v>
      </c>
      <c r="V1006" s="72">
        <v>0.934497816593886</v>
      </c>
      <c r="W1006" s="72">
        <v>0.926086956521739</v>
      </c>
      <c r="X1006" s="74">
        <v>0.92</v>
      </c>
      <c r="Y1006" s="74">
        <v>0.822075782537068</v>
      </c>
      <c r="Z1006" s="74">
        <v>0.852459016393443</v>
      </c>
      <c r="AA1006" s="74">
        <v>0.908296943231441</v>
      </c>
      <c r="AB1006" s="74">
        <v>0.875359116022099</v>
      </c>
      <c r="AC1006" s="74">
        <v>0.92</v>
      </c>
      <c r="AD1006" s="72">
        <v>0.979842842500854</v>
      </c>
      <c r="AE1006" s="72">
        <v>0.978340675477239</v>
      </c>
      <c r="AF1006" s="72">
        <v>0.98796131833432</v>
      </c>
      <c r="AG1006" s="72">
        <v>0.986371817948059</v>
      </c>
      <c r="AH1006" s="74">
        <v>0.92</v>
      </c>
      <c r="AI1006" s="72">
        <v>0.921815408085431</v>
      </c>
      <c r="AJ1006" s="72">
        <v>0.939370384764866</v>
      </c>
      <c r="AK1006" s="72">
        <v>0.959110758237396</v>
      </c>
      <c r="AL1006" s="72">
        <v>0.947632336269295</v>
      </c>
      <c r="AM1006" s="71">
        <v>0.99</v>
      </c>
      <c r="AN1006" s="76">
        <v>1</v>
      </c>
      <c r="AO1006" s="76">
        <v>1</v>
      </c>
      <c r="AP1006" s="76">
        <v>1</v>
      </c>
      <c r="AQ1006" s="76">
        <v>0.999304105775922</v>
      </c>
      <c r="AR1006" s="96">
        <v>0.0656418488929858</v>
      </c>
      <c r="AS1006" s="80">
        <v>0</v>
      </c>
      <c r="AT1006" s="80">
        <v>0.0263157894736842</v>
      </c>
      <c r="AU1006" s="80">
        <v>0</v>
      </c>
      <c r="AV1006" s="80">
        <v>0.0574712643678161</v>
      </c>
      <c r="AW1006" s="36"/>
      <c r="AX1006" s="34"/>
    </row>
    <row r="1007" ht="14.5" spans="1:50">
      <c r="A1007" s="32"/>
      <c r="B1007" s="36"/>
      <c r="C1007" s="115" t="s">
        <v>949</v>
      </c>
      <c r="D1007" s="69" t="s">
        <v>23</v>
      </c>
      <c r="E1007" s="116" t="s">
        <v>1056</v>
      </c>
      <c r="F1007" s="117" t="s">
        <v>1056</v>
      </c>
      <c r="G1007" s="117" t="s">
        <v>1056</v>
      </c>
      <c r="H1007" s="117" t="s">
        <v>1056</v>
      </c>
      <c r="I1007" s="71">
        <v>0.9</v>
      </c>
      <c r="J1007" s="72">
        <v>0.692307692307692</v>
      </c>
      <c r="K1007" s="72">
        <v>0.75</v>
      </c>
      <c r="L1007" s="73">
        <v>0.846153846153846</v>
      </c>
      <c r="M1007" s="72">
        <v>0.782258064516129</v>
      </c>
      <c r="N1007" s="74">
        <v>0.9</v>
      </c>
      <c r="O1007" s="72">
        <v>0.63265306122449</v>
      </c>
      <c r="P1007" s="72">
        <v>0.848850358085187</v>
      </c>
      <c r="Q1007" s="72">
        <v>0.783715012722646</v>
      </c>
      <c r="R1007" s="72">
        <v>0.851757271468144</v>
      </c>
      <c r="S1007" s="74">
        <v>0.9</v>
      </c>
      <c r="T1007" s="72">
        <v>0.716326530612245</v>
      </c>
      <c r="U1007" s="72">
        <v>0.819072747832642</v>
      </c>
      <c r="V1007" s="72">
        <v>0.826972010178117</v>
      </c>
      <c r="W1007" s="72">
        <v>0.821372922437673</v>
      </c>
      <c r="X1007" s="74">
        <v>0.92</v>
      </c>
      <c r="Y1007" s="74">
        <v>0.591036414565826</v>
      </c>
      <c r="Z1007" s="74">
        <v>0.814084507042254</v>
      </c>
      <c r="AA1007" s="74">
        <v>0.780451127819549</v>
      </c>
      <c r="AB1007" s="74">
        <v>0.741102917601795</v>
      </c>
      <c r="AC1007" s="74">
        <v>0.92</v>
      </c>
      <c r="AD1007" s="72">
        <v>0.984848484848485</v>
      </c>
      <c r="AE1007" s="72">
        <v>0.902756508422665</v>
      </c>
      <c r="AF1007" s="72">
        <v>0.649063032367973</v>
      </c>
      <c r="AG1007" s="72">
        <v>0.862870890136327</v>
      </c>
      <c r="AH1007" s="74">
        <v>0.92</v>
      </c>
      <c r="AI1007" s="72">
        <v>0.750923033229196</v>
      </c>
      <c r="AJ1007" s="72">
        <v>0.908415105560511</v>
      </c>
      <c r="AK1007" s="72">
        <v>0.858021077283372</v>
      </c>
      <c r="AL1007" s="72">
        <v>0.87758579559009</v>
      </c>
      <c r="AM1007" s="71">
        <v>0.99</v>
      </c>
      <c r="AN1007" s="76">
        <v>1</v>
      </c>
      <c r="AO1007" s="76">
        <v>1</v>
      </c>
      <c r="AP1007" s="76">
        <v>1</v>
      </c>
      <c r="AQ1007" s="76">
        <v>1</v>
      </c>
      <c r="AR1007" s="96">
        <v>0.0656418488929858</v>
      </c>
      <c r="AS1007" s="80">
        <v>0</v>
      </c>
      <c r="AT1007" s="80">
        <v>0.0909090909090909</v>
      </c>
      <c r="AU1007" s="80">
        <v>0.0444444444444444</v>
      </c>
      <c r="AV1007" s="80">
        <v>0.0430769230769231</v>
      </c>
      <c r="AW1007" s="36"/>
      <c r="AX1007" s="34"/>
    </row>
    <row r="1008" ht="14.5" spans="1:50">
      <c r="A1008" s="32"/>
      <c r="B1008" s="36"/>
      <c r="C1008" s="115" t="s">
        <v>949</v>
      </c>
      <c r="D1008" s="69" t="s">
        <v>23</v>
      </c>
      <c r="E1008" s="116" t="s">
        <v>1057</v>
      </c>
      <c r="F1008" s="117" t="s">
        <v>1057</v>
      </c>
      <c r="G1008" s="117" t="s">
        <v>1057</v>
      </c>
      <c r="H1008" s="117" t="s">
        <v>1057</v>
      </c>
      <c r="I1008" s="71">
        <v>0.9</v>
      </c>
      <c r="J1008" s="72">
        <v>0.91304347826087</v>
      </c>
      <c r="K1008" s="72">
        <v>0.96551724137931</v>
      </c>
      <c r="L1008" s="73">
        <v>0.96551724137931</v>
      </c>
      <c r="M1008" s="72">
        <v>0.903361344537815</v>
      </c>
      <c r="N1008" s="74">
        <v>0.9</v>
      </c>
      <c r="O1008" s="72">
        <v>0.955318115590092</v>
      </c>
      <c r="P1008" s="72">
        <v>0.980630630630631</v>
      </c>
      <c r="Q1008" s="72">
        <v>0.950587084148728</v>
      </c>
      <c r="R1008" s="72">
        <v>0.943060688842466</v>
      </c>
      <c r="S1008" s="74">
        <v>0.9</v>
      </c>
      <c r="T1008" s="72">
        <v>0.712481787275376</v>
      </c>
      <c r="U1008" s="72">
        <v>0.867567567567568</v>
      </c>
      <c r="V1008" s="72">
        <v>0.89187866927593</v>
      </c>
      <c r="W1008" s="72">
        <v>0.823664899030478</v>
      </c>
      <c r="X1008" s="74">
        <v>0.92</v>
      </c>
      <c r="Y1008" s="74">
        <v>0.305084745762712</v>
      </c>
      <c r="Z1008" s="74">
        <v>0.840225563909774</v>
      </c>
      <c r="AA1008" s="74">
        <v>0.772639691714836</v>
      </c>
      <c r="AB1008" s="74">
        <v>0.641449459631278</v>
      </c>
      <c r="AC1008" s="74">
        <v>0.92</v>
      </c>
      <c r="AD1008" s="72">
        <v>0.988773388773389</v>
      </c>
      <c r="AE1008" s="72">
        <v>0.740658800393314</v>
      </c>
      <c r="AF1008" s="72">
        <v>0.702096250369058</v>
      </c>
      <c r="AG1008" s="72">
        <v>0.712676450034941</v>
      </c>
      <c r="AH1008" s="74">
        <v>0.92</v>
      </c>
      <c r="AI1008" s="72">
        <v>0.697244243110608</v>
      </c>
      <c r="AJ1008" s="72">
        <v>0.910047152702213</v>
      </c>
      <c r="AK1008" s="72">
        <v>0.904557849629918</v>
      </c>
      <c r="AL1008" s="72">
        <v>0.853296867655228</v>
      </c>
      <c r="AM1008" s="71">
        <v>0.99</v>
      </c>
      <c r="AN1008" s="76">
        <v>1</v>
      </c>
      <c r="AO1008" s="76">
        <v>1</v>
      </c>
      <c r="AP1008" s="76">
        <v>1</v>
      </c>
      <c r="AQ1008" s="76">
        <v>1</v>
      </c>
      <c r="AR1008" s="96">
        <v>0.0656418488929858</v>
      </c>
      <c r="AS1008" s="80">
        <v>0</v>
      </c>
      <c r="AT1008" s="80">
        <v>0.0425531914893617</v>
      </c>
      <c r="AU1008" s="80">
        <v>0.0277777777777778</v>
      </c>
      <c r="AV1008" s="80">
        <v>0.0286624203821656</v>
      </c>
      <c r="AW1008" s="36"/>
      <c r="AX1008" s="34"/>
    </row>
    <row r="1009" ht="14.5" spans="1:50">
      <c r="A1009" s="32"/>
      <c r="B1009" s="36"/>
      <c r="C1009" s="115" t="s">
        <v>949</v>
      </c>
      <c r="D1009" s="69" t="s">
        <v>23</v>
      </c>
      <c r="E1009" s="116" t="s">
        <v>1058</v>
      </c>
      <c r="F1009" s="117" t="s">
        <v>1058</v>
      </c>
      <c r="G1009" s="117" t="s">
        <v>1058</v>
      </c>
      <c r="H1009" s="117" t="s">
        <v>1058</v>
      </c>
      <c r="I1009" s="71">
        <v>0.9</v>
      </c>
      <c r="J1009" s="72">
        <v>0.714285714285714</v>
      </c>
      <c r="K1009" s="72">
        <v>0.785714285714286</v>
      </c>
      <c r="L1009" s="73">
        <v>0.785714285714286</v>
      </c>
      <c r="M1009" s="72">
        <v>0.779527559055118</v>
      </c>
      <c r="N1009" s="74">
        <v>0.9</v>
      </c>
      <c r="O1009" s="72">
        <v>0.729383506805444</v>
      </c>
      <c r="P1009" s="72">
        <v>0.798289379900214</v>
      </c>
      <c r="Q1009" s="72">
        <v>0.829250185597624</v>
      </c>
      <c r="R1009" s="72">
        <v>0.817215105082475</v>
      </c>
      <c r="S1009" s="74">
        <v>0.9</v>
      </c>
      <c r="T1009" s="72">
        <v>0.637309847878303</v>
      </c>
      <c r="U1009" s="72">
        <v>0.83464005702067</v>
      </c>
      <c r="V1009" s="72">
        <v>0.815887156644395</v>
      </c>
      <c r="W1009" s="72">
        <v>0.82475090010885</v>
      </c>
      <c r="X1009" s="74">
        <v>0.92</v>
      </c>
      <c r="Y1009" s="74">
        <v>0.707259953161593</v>
      </c>
      <c r="Z1009" s="74">
        <v>0.825443786982249</v>
      </c>
      <c r="AA1009" s="74">
        <v>0.839762611275964</v>
      </c>
      <c r="AB1009" s="74">
        <v>0.836544637122672</v>
      </c>
      <c r="AC1009" s="74">
        <v>0.92</v>
      </c>
      <c r="AD1009" s="72">
        <v>0.982389251997095</v>
      </c>
      <c r="AE1009" s="72">
        <v>0.893977241187899</v>
      </c>
      <c r="AF1009" s="72">
        <v>0.915136678906569</v>
      </c>
      <c r="AG1009" s="72">
        <v>0.864088073140803</v>
      </c>
      <c r="AH1009" s="74">
        <v>0.92</v>
      </c>
      <c r="AI1009" s="72">
        <v>0.795346062052506</v>
      </c>
      <c r="AJ1009" s="72">
        <v>0.877082136703044</v>
      </c>
      <c r="AK1009" s="72">
        <v>0.910332541567696</v>
      </c>
      <c r="AL1009" s="72">
        <v>0.89041641761307</v>
      </c>
      <c r="AM1009" s="71">
        <v>0.99</v>
      </c>
      <c r="AN1009" s="76">
        <v>1</v>
      </c>
      <c r="AO1009" s="76">
        <v>1</v>
      </c>
      <c r="AP1009" s="76">
        <v>1</v>
      </c>
      <c r="AQ1009" s="76">
        <v>1</v>
      </c>
      <c r="AR1009" s="96">
        <v>0.0656418488929858</v>
      </c>
      <c r="AS1009" s="80">
        <v>0.08</v>
      </c>
      <c r="AT1009" s="80">
        <v>0</v>
      </c>
      <c r="AU1009" s="80">
        <v>0.0740740740740741</v>
      </c>
      <c r="AV1009" s="80">
        <v>0.0252100840336134</v>
      </c>
      <c r="AW1009" s="36"/>
      <c r="AX1009" s="34"/>
    </row>
    <row r="1010" ht="14.5" spans="1:50">
      <c r="A1010" s="32"/>
      <c r="B1010" s="36"/>
      <c r="C1010" s="115" t="s">
        <v>949</v>
      </c>
      <c r="D1010" s="69" t="s">
        <v>23</v>
      </c>
      <c r="E1010" s="116" t="s">
        <v>1059</v>
      </c>
      <c r="F1010" s="117" t="s">
        <v>1059</v>
      </c>
      <c r="G1010" s="117" t="s">
        <v>1059</v>
      </c>
      <c r="H1010" s="117" t="s">
        <v>1059</v>
      </c>
      <c r="I1010" s="71">
        <v>0.9</v>
      </c>
      <c r="J1010" s="72">
        <v>0.75</v>
      </c>
      <c r="K1010" s="72">
        <v>0.75</v>
      </c>
      <c r="L1010" s="73">
        <v>0.666666666666667</v>
      </c>
      <c r="M1010" s="72">
        <v>0.743243243243243</v>
      </c>
      <c r="N1010" s="74">
        <v>0.9</v>
      </c>
      <c r="O1010" s="72">
        <v>0.435483870967742</v>
      </c>
      <c r="P1010" s="72">
        <v>0.405688622754491</v>
      </c>
      <c r="Q1010" s="72">
        <v>0.360429447852761</v>
      </c>
      <c r="R1010" s="72">
        <v>0.488742639418081</v>
      </c>
      <c r="S1010" s="74">
        <v>0.9</v>
      </c>
      <c r="T1010" s="72">
        <v>0.893548387096774</v>
      </c>
      <c r="U1010" s="72">
        <v>0.866766467065868</v>
      </c>
      <c r="V1010" s="72">
        <v>0.924846625766871</v>
      </c>
      <c r="W1010" s="72">
        <v>0.861447869760998</v>
      </c>
      <c r="X1010" s="74">
        <v>0.92</v>
      </c>
      <c r="Y1010" s="74">
        <v>0</v>
      </c>
      <c r="Z1010" s="74">
        <v>0</v>
      </c>
      <c r="AA1010" s="74">
        <v>0</v>
      </c>
      <c r="AB1010" s="74">
        <v>0</v>
      </c>
      <c r="AC1010" s="74">
        <v>0.92</v>
      </c>
      <c r="AD1010" s="72">
        <v>0.333333333333333</v>
      </c>
      <c r="AE1010" s="72">
        <v>0.764705882352941</v>
      </c>
      <c r="AF1010" s="72">
        <v>0.886792452830189</v>
      </c>
      <c r="AG1010" s="72">
        <v>0.822843822843823</v>
      </c>
      <c r="AH1010" s="74">
        <v>0.92</v>
      </c>
      <c r="AI1010" s="72">
        <v>0.943548387096774</v>
      </c>
      <c r="AJ1010" s="72">
        <v>0.959580838323353</v>
      </c>
      <c r="AK1010" s="72">
        <v>0.978527607361963</v>
      </c>
      <c r="AL1010" s="72">
        <v>0.948908901974368</v>
      </c>
      <c r="AM1010" s="71">
        <v>0.99</v>
      </c>
      <c r="AN1010" s="76">
        <v>1</v>
      </c>
      <c r="AO1010" s="76">
        <v>0</v>
      </c>
      <c r="AP1010" s="76">
        <v>1</v>
      </c>
      <c r="AQ1010" s="76">
        <v>1</v>
      </c>
      <c r="AR1010" s="96">
        <v>0.0656418488929858</v>
      </c>
      <c r="AS1010" s="80">
        <v>0</v>
      </c>
      <c r="AT1010" s="80">
        <v>0</v>
      </c>
      <c r="AU1010" s="80">
        <v>-0.166666666666667</v>
      </c>
      <c r="AV1010" s="80">
        <v>0</v>
      </c>
      <c r="AW1010" s="36"/>
      <c r="AX1010" s="34"/>
    </row>
    <row r="1011" ht="14.5" spans="1:50">
      <c r="A1011" s="32"/>
      <c r="B1011" s="36"/>
      <c r="C1011" s="115" t="s">
        <v>949</v>
      </c>
      <c r="D1011" s="69" t="s">
        <v>23</v>
      </c>
      <c r="E1011" s="118" t="s">
        <v>1060</v>
      </c>
      <c r="F1011" s="119" t="s">
        <v>1060</v>
      </c>
      <c r="G1011" s="119" t="s">
        <v>1060</v>
      </c>
      <c r="H1011" s="119" t="s">
        <v>1060</v>
      </c>
      <c r="I1011" s="71">
        <v>0.9</v>
      </c>
      <c r="J1011" s="72">
        <v>0.761904761904762</v>
      </c>
      <c r="K1011" s="72">
        <v>0.739130434782609</v>
      </c>
      <c r="L1011" s="73">
        <v>0.884615384615385</v>
      </c>
      <c r="M1011" s="72">
        <v>0.831775700934579</v>
      </c>
      <c r="N1011" s="74">
        <v>0.9</v>
      </c>
      <c r="O1011" s="72">
        <v>0.919337794998239</v>
      </c>
      <c r="P1011" s="72">
        <v>0.836158192090395</v>
      </c>
      <c r="Q1011" s="72">
        <v>0.973319824383654</v>
      </c>
      <c r="R1011" s="72">
        <v>0.917805618830676</v>
      </c>
      <c r="S1011" s="74">
        <v>0.9</v>
      </c>
      <c r="T1011" s="72">
        <v>0.829869672419866</v>
      </c>
      <c r="U1011" s="72">
        <v>0.889830508474576</v>
      </c>
      <c r="V1011" s="72">
        <v>0.923336710570753</v>
      </c>
      <c r="W1011" s="72">
        <v>0.884586180713743</v>
      </c>
      <c r="X1011" s="74">
        <v>0.92</v>
      </c>
      <c r="Y1011" s="74">
        <v>0.910334346504559</v>
      </c>
      <c r="Z1011" s="74">
        <v>0.92741935483871</v>
      </c>
      <c r="AA1011" s="74">
        <v>0.966157205240175</v>
      </c>
      <c r="AB1011" s="74">
        <v>0.935472915605366</v>
      </c>
      <c r="AC1011" s="74">
        <v>0.92</v>
      </c>
      <c r="AD1011" s="72">
        <v>0.998727859868872</v>
      </c>
      <c r="AE1011" s="72">
        <v>0.99441727948254</v>
      </c>
      <c r="AF1011" s="72">
        <v>0.995767652774779</v>
      </c>
      <c r="AG1011" s="72">
        <v>0.996178554082166</v>
      </c>
      <c r="AH1011" s="74">
        <v>0.92</v>
      </c>
      <c r="AI1011" s="72">
        <v>0.899685624464133</v>
      </c>
      <c r="AJ1011" s="72">
        <v>0.954848046309696</v>
      </c>
      <c r="AK1011" s="72">
        <v>0.973718113888173</v>
      </c>
      <c r="AL1011" s="72">
        <v>0.952546260422155</v>
      </c>
      <c r="AM1011" s="71">
        <v>0.99</v>
      </c>
      <c r="AN1011" s="76">
        <v>1</v>
      </c>
      <c r="AO1011" s="76">
        <v>1</v>
      </c>
      <c r="AP1011" s="76">
        <v>1</v>
      </c>
      <c r="AQ1011" s="76">
        <v>1</v>
      </c>
      <c r="AR1011" s="96">
        <v>0.0656418488929858</v>
      </c>
      <c r="AS1011" s="80">
        <v>0</v>
      </c>
      <c r="AT1011" s="80">
        <v>0.0740740740740741</v>
      </c>
      <c r="AU1011" s="80">
        <v>0.0384615384615385</v>
      </c>
      <c r="AV1011" s="80">
        <v>0.0357142857142857</v>
      </c>
      <c r="AW1011" s="36"/>
      <c r="AX1011" s="34"/>
    </row>
    <row r="1012" ht="14.5" spans="1:50">
      <c r="A1012" s="32"/>
      <c r="B1012" s="36"/>
      <c r="C1012" s="115" t="s">
        <v>949</v>
      </c>
      <c r="D1012" s="69" t="s">
        <v>23</v>
      </c>
      <c r="E1012" s="118" t="s">
        <v>1061</v>
      </c>
      <c r="F1012" s="119" t="s">
        <v>1061</v>
      </c>
      <c r="G1012" s="119" t="s">
        <v>1061</v>
      </c>
      <c r="H1012" s="119" t="s">
        <v>1061</v>
      </c>
      <c r="I1012" s="71">
        <v>0.9</v>
      </c>
      <c r="J1012" s="72">
        <v>0</v>
      </c>
      <c r="K1012" s="72">
        <v>0</v>
      </c>
      <c r="L1012" s="73">
        <v>0</v>
      </c>
      <c r="M1012" s="72">
        <v>0</v>
      </c>
      <c r="N1012" s="74">
        <v>0.9</v>
      </c>
      <c r="O1012" s="72">
        <v>0</v>
      </c>
      <c r="P1012" s="72">
        <v>0</v>
      </c>
      <c r="Q1012" s="72">
        <v>0</v>
      </c>
      <c r="R1012" s="72">
        <v>0</v>
      </c>
      <c r="S1012" s="74">
        <v>0.9</v>
      </c>
      <c r="T1012" s="72">
        <v>0</v>
      </c>
      <c r="U1012" s="72">
        <v>0</v>
      </c>
      <c r="V1012" s="72">
        <v>0</v>
      </c>
      <c r="W1012" s="72">
        <v>0</v>
      </c>
      <c r="X1012" s="74">
        <v>0.92</v>
      </c>
      <c r="Y1012" s="74">
        <v>0</v>
      </c>
      <c r="Z1012" s="74">
        <v>0</v>
      </c>
      <c r="AA1012" s="74">
        <v>0</v>
      </c>
      <c r="AB1012" s="74">
        <v>0</v>
      </c>
      <c r="AC1012" s="74">
        <v>0.92</v>
      </c>
      <c r="AD1012" s="72">
        <v>0</v>
      </c>
      <c r="AE1012" s="72">
        <v>0</v>
      </c>
      <c r="AF1012" s="72">
        <v>0</v>
      </c>
      <c r="AG1012" s="72">
        <v>0</v>
      </c>
      <c r="AH1012" s="74">
        <v>0.92</v>
      </c>
      <c r="AI1012" s="72">
        <v>0</v>
      </c>
      <c r="AJ1012" s="72">
        <v>0</v>
      </c>
      <c r="AK1012" s="72">
        <v>0</v>
      </c>
      <c r="AL1012" s="72">
        <v>0</v>
      </c>
      <c r="AM1012" s="71">
        <v>0.99</v>
      </c>
      <c r="AN1012" s="76">
        <v>0</v>
      </c>
      <c r="AO1012" s="76">
        <v>0</v>
      </c>
      <c r="AP1012" s="76">
        <v>0</v>
      </c>
      <c r="AQ1012" s="76">
        <v>0</v>
      </c>
      <c r="AR1012" s="96">
        <v>0.0656418488929858</v>
      </c>
      <c r="AS1012" s="80">
        <v>0</v>
      </c>
      <c r="AT1012" s="80">
        <v>0</v>
      </c>
      <c r="AU1012" s="80">
        <v>0</v>
      </c>
      <c r="AV1012" s="80">
        <v>0</v>
      </c>
      <c r="AW1012" s="36"/>
      <c r="AX1012" s="34"/>
    </row>
    <row r="1013" ht="14.5" spans="1:50">
      <c r="A1013" s="32"/>
      <c r="B1013" s="36"/>
      <c r="C1013" s="115" t="s">
        <v>949</v>
      </c>
      <c r="D1013" s="69" t="s">
        <v>23</v>
      </c>
      <c r="E1013" s="120" t="s">
        <v>1062</v>
      </c>
      <c r="F1013" s="121" t="s">
        <v>1062</v>
      </c>
      <c r="G1013" s="121" t="s">
        <v>1062</v>
      </c>
      <c r="H1013" s="121" t="s">
        <v>1062</v>
      </c>
      <c r="I1013" s="71">
        <v>0.9</v>
      </c>
      <c r="J1013" s="72">
        <v>0</v>
      </c>
      <c r="K1013" s="72">
        <v>0</v>
      </c>
      <c r="L1013" s="73">
        <v>0</v>
      </c>
      <c r="M1013" s="72">
        <v>0</v>
      </c>
      <c r="N1013" s="74">
        <v>0.9</v>
      </c>
      <c r="O1013" s="72">
        <v>0</v>
      </c>
      <c r="P1013" s="72">
        <v>0</v>
      </c>
      <c r="Q1013" s="72">
        <v>0</v>
      </c>
      <c r="R1013" s="72">
        <v>0</v>
      </c>
      <c r="S1013" s="74">
        <v>0.9</v>
      </c>
      <c r="T1013" s="72">
        <v>0</v>
      </c>
      <c r="U1013" s="72">
        <v>0</v>
      </c>
      <c r="V1013" s="72">
        <v>0</v>
      </c>
      <c r="W1013" s="72">
        <v>1</v>
      </c>
      <c r="X1013" s="74">
        <v>0.92</v>
      </c>
      <c r="Y1013" s="74">
        <v>0</v>
      </c>
      <c r="Z1013" s="74">
        <v>0</v>
      </c>
      <c r="AA1013" s="74">
        <v>0</v>
      </c>
      <c r="AB1013" s="74">
        <v>0</v>
      </c>
      <c r="AC1013" s="74">
        <v>0.92</v>
      </c>
      <c r="AD1013" s="72">
        <v>1</v>
      </c>
      <c r="AE1013" s="72">
        <v>1</v>
      </c>
      <c r="AF1013" s="72">
        <v>0.992337164750958</v>
      </c>
      <c r="AG1013" s="72">
        <v>0.991363124295907</v>
      </c>
      <c r="AH1013" s="74">
        <v>0.92</v>
      </c>
      <c r="AI1013" s="72">
        <v>0</v>
      </c>
      <c r="AJ1013" s="72">
        <v>0</v>
      </c>
      <c r="AK1013" s="72">
        <v>0</v>
      </c>
      <c r="AL1013" s="72">
        <v>1</v>
      </c>
      <c r="AM1013" s="71">
        <v>0.99</v>
      </c>
      <c r="AN1013" s="76">
        <v>0</v>
      </c>
      <c r="AO1013" s="76">
        <v>0</v>
      </c>
      <c r="AP1013" s="76">
        <v>0</v>
      </c>
      <c r="AQ1013" s="76">
        <v>1</v>
      </c>
      <c r="AR1013" s="96">
        <v>0.0656418488929858</v>
      </c>
      <c r="AS1013" s="80">
        <v>0</v>
      </c>
      <c r="AT1013" s="80">
        <v>0</v>
      </c>
      <c r="AU1013" s="80">
        <v>0</v>
      </c>
      <c r="AV1013" s="80">
        <v>0</v>
      </c>
      <c r="AW1013" s="36"/>
      <c r="AX1013" s="34"/>
    </row>
    <row r="1014" ht="14.5" spans="1:50">
      <c r="A1014" s="32"/>
      <c r="B1014" s="36"/>
      <c r="C1014" s="115" t="s">
        <v>949</v>
      </c>
      <c r="D1014" s="69" t="s">
        <v>23</v>
      </c>
      <c r="E1014" s="120" t="s">
        <v>1063</v>
      </c>
      <c r="F1014" s="121" t="s">
        <v>1063</v>
      </c>
      <c r="G1014" s="121" t="s">
        <v>1063</v>
      </c>
      <c r="H1014" s="121" t="s">
        <v>1063</v>
      </c>
      <c r="I1014" s="71">
        <v>0.9</v>
      </c>
      <c r="J1014" s="72">
        <v>0</v>
      </c>
      <c r="K1014" s="72">
        <v>0</v>
      </c>
      <c r="L1014" s="73">
        <v>0</v>
      </c>
      <c r="M1014" s="72">
        <v>0</v>
      </c>
      <c r="N1014" s="74">
        <v>0.9</v>
      </c>
      <c r="O1014" s="72">
        <v>0</v>
      </c>
      <c r="P1014" s="72">
        <v>0</v>
      </c>
      <c r="Q1014" s="72">
        <v>0</v>
      </c>
      <c r="R1014" s="72">
        <v>0</v>
      </c>
      <c r="S1014" s="74">
        <v>0.9</v>
      </c>
      <c r="T1014" s="72">
        <v>0</v>
      </c>
      <c r="U1014" s="72">
        <v>0</v>
      </c>
      <c r="V1014" s="72">
        <v>0</v>
      </c>
      <c r="W1014" s="72">
        <v>0</v>
      </c>
      <c r="X1014" s="74">
        <v>0.92</v>
      </c>
      <c r="Y1014" s="74">
        <v>0</v>
      </c>
      <c r="Z1014" s="74">
        <v>0</v>
      </c>
      <c r="AA1014" s="74">
        <v>0</v>
      </c>
      <c r="AB1014" s="74">
        <v>0</v>
      </c>
      <c r="AC1014" s="74">
        <v>0.92</v>
      </c>
      <c r="AD1014" s="72">
        <v>1</v>
      </c>
      <c r="AE1014" s="72">
        <v>1</v>
      </c>
      <c r="AF1014" s="72">
        <v>1</v>
      </c>
      <c r="AG1014" s="72">
        <v>0.999691071980229</v>
      </c>
      <c r="AH1014" s="74">
        <v>0.92</v>
      </c>
      <c r="AI1014" s="72">
        <v>0</v>
      </c>
      <c r="AJ1014" s="72">
        <v>0</v>
      </c>
      <c r="AK1014" s="72">
        <v>0</v>
      </c>
      <c r="AL1014" s="72">
        <v>0</v>
      </c>
      <c r="AM1014" s="71">
        <v>0.99</v>
      </c>
      <c r="AN1014" s="76">
        <v>1</v>
      </c>
      <c r="AO1014" s="76">
        <v>1</v>
      </c>
      <c r="AP1014" s="76">
        <v>1</v>
      </c>
      <c r="AQ1014" s="76">
        <v>1</v>
      </c>
      <c r="AR1014" s="96">
        <v>0.0656418488929858</v>
      </c>
      <c r="AS1014" s="80">
        <v>0</v>
      </c>
      <c r="AT1014" s="80">
        <v>0</v>
      </c>
      <c r="AU1014" s="80">
        <v>0</v>
      </c>
      <c r="AV1014" s="80">
        <v>0</v>
      </c>
      <c r="AW1014" s="36"/>
      <c r="AX1014" s="34"/>
    </row>
    <row r="1015" ht="14.5" spans="1:50">
      <c r="A1015" s="32"/>
      <c r="B1015" s="36"/>
      <c r="C1015" s="115" t="s">
        <v>949</v>
      </c>
      <c r="D1015" s="69" t="s">
        <v>23</v>
      </c>
      <c r="E1015" s="118" t="s">
        <v>1064</v>
      </c>
      <c r="F1015" s="119" t="s">
        <v>1064</v>
      </c>
      <c r="G1015" s="119" t="s">
        <v>1064</v>
      </c>
      <c r="H1015" s="119" t="s">
        <v>1064</v>
      </c>
      <c r="I1015" s="71">
        <v>0.9</v>
      </c>
      <c r="J1015" s="72">
        <v>0.857142857142857</v>
      </c>
      <c r="K1015" s="72">
        <v>0.941176470588235</v>
      </c>
      <c r="L1015" s="73">
        <v>0.829268292682927</v>
      </c>
      <c r="M1015" s="72">
        <v>0.864942528735632</v>
      </c>
      <c r="N1015" s="74">
        <v>0.9</v>
      </c>
      <c r="O1015" s="72">
        <v>0.920212765957447</v>
      </c>
      <c r="P1015" s="72">
        <v>0.95</v>
      </c>
      <c r="Q1015" s="72">
        <v>0.94788931528984</v>
      </c>
      <c r="R1015" s="72">
        <v>0.891171609585897</v>
      </c>
      <c r="S1015" s="74">
        <v>0.9</v>
      </c>
      <c r="T1015" s="72">
        <v>0.853427895981087</v>
      </c>
      <c r="U1015" s="72">
        <v>0.887136929460581</v>
      </c>
      <c r="V1015" s="72">
        <v>0.915370632195516</v>
      </c>
      <c r="W1015" s="72">
        <v>0.881645395280507</v>
      </c>
      <c r="X1015" s="74">
        <v>0.92</v>
      </c>
      <c r="Y1015" s="74">
        <v>0.83752417794971</v>
      </c>
      <c r="Z1015" s="74">
        <v>0.866666666666667</v>
      </c>
      <c r="AA1015" s="74">
        <v>0.932793522267206</v>
      </c>
      <c r="AB1015" s="74">
        <v>0.890116829807389</v>
      </c>
      <c r="AC1015" s="74">
        <v>0.92</v>
      </c>
      <c r="AD1015" s="72">
        <v>0.996098036824777</v>
      </c>
      <c r="AE1015" s="72">
        <v>0.9923090282085</v>
      </c>
      <c r="AF1015" s="72">
        <v>0.993573497465605</v>
      </c>
      <c r="AG1015" s="72">
        <v>0.990449702188187</v>
      </c>
      <c r="AH1015" s="74">
        <v>0.92</v>
      </c>
      <c r="AI1015" s="72">
        <v>0.900098103335513</v>
      </c>
      <c r="AJ1015" s="72">
        <v>0.938181198910082</v>
      </c>
      <c r="AK1015" s="72">
        <v>0.958636290192277</v>
      </c>
      <c r="AL1015" s="72">
        <v>0.939795803036582</v>
      </c>
      <c r="AM1015" s="71">
        <v>0.99</v>
      </c>
      <c r="AN1015" s="76">
        <v>1</v>
      </c>
      <c r="AO1015" s="76">
        <v>1</v>
      </c>
      <c r="AP1015" s="76">
        <v>1</v>
      </c>
      <c r="AQ1015" s="76">
        <v>1</v>
      </c>
      <c r="AR1015" s="96">
        <v>0.0656418488929858</v>
      </c>
      <c r="AS1015" s="80">
        <v>0.0303030303030303</v>
      </c>
      <c r="AT1015" s="80">
        <v>0.0869565217391304</v>
      </c>
      <c r="AU1015" s="80">
        <v>0.1</v>
      </c>
      <c r="AV1015" s="80">
        <v>0.0788643533123028</v>
      </c>
      <c r="AW1015" s="36"/>
      <c r="AX1015" s="34"/>
    </row>
    <row r="1016" ht="14.5" spans="1:50">
      <c r="A1016" s="32"/>
      <c r="B1016" s="36"/>
      <c r="C1016" s="115" t="s">
        <v>949</v>
      </c>
      <c r="D1016" s="69" t="s">
        <v>23</v>
      </c>
      <c r="E1016" s="120" t="s">
        <v>1065</v>
      </c>
      <c r="F1016" s="121" t="s">
        <v>1065</v>
      </c>
      <c r="G1016" s="121" t="s">
        <v>1065</v>
      </c>
      <c r="H1016" s="121" t="s">
        <v>1065</v>
      </c>
      <c r="I1016" s="71">
        <v>0.9</v>
      </c>
      <c r="J1016" s="72">
        <v>0</v>
      </c>
      <c r="K1016" s="72">
        <v>0</v>
      </c>
      <c r="L1016" s="73">
        <v>0</v>
      </c>
      <c r="M1016" s="72">
        <v>0</v>
      </c>
      <c r="N1016" s="74">
        <v>0.9</v>
      </c>
      <c r="O1016" s="72">
        <v>0</v>
      </c>
      <c r="P1016" s="72">
        <v>0</v>
      </c>
      <c r="Q1016" s="72">
        <v>0</v>
      </c>
      <c r="R1016" s="72">
        <v>0</v>
      </c>
      <c r="S1016" s="74">
        <v>0.9</v>
      </c>
      <c r="T1016" s="72">
        <v>0</v>
      </c>
      <c r="U1016" s="72">
        <v>0</v>
      </c>
      <c r="V1016" s="72">
        <v>1</v>
      </c>
      <c r="W1016" s="72">
        <v>1</v>
      </c>
      <c r="X1016" s="74">
        <v>0.92</v>
      </c>
      <c r="Y1016" s="74">
        <v>0</v>
      </c>
      <c r="Z1016" s="74">
        <v>0</v>
      </c>
      <c r="AA1016" s="74">
        <v>0</v>
      </c>
      <c r="AB1016" s="74">
        <v>0</v>
      </c>
      <c r="AC1016" s="74">
        <v>0.92</v>
      </c>
      <c r="AD1016" s="72">
        <v>1</v>
      </c>
      <c r="AE1016" s="72">
        <v>1</v>
      </c>
      <c r="AF1016" s="72">
        <v>1</v>
      </c>
      <c r="AG1016" s="72">
        <v>1</v>
      </c>
      <c r="AH1016" s="74">
        <v>0.92</v>
      </c>
      <c r="AI1016" s="72">
        <v>0</v>
      </c>
      <c r="AJ1016" s="72">
        <v>0</v>
      </c>
      <c r="AK1016" s="72">
        <v>1</v>
      </c>
      <c r="AL1016" s="72">
        <v>1</v>
      </c>
      <c r="AM1016" s="71">
        <v>0.99</v>
      </c>
      <c r="AN1016" s="76">
        <v>1</v>
      </c>
      <c r="AO1016" s="76">
        <v>1</v>
      </c>
      <c r="AP1016" s="76">
        <v>1</v>
      </c>
      <c r="AQ1016" s="76">
        <v>1</v>
      </c>
      <c r="AR1016" s="96">
        <v>0.0656418488929858</v>
      </c>
      <c r="AS1016" s="80">
        <v>0</v>
      </c>
      <c r="AT1016" s="80">
        <v>0</v>
      </c>
      <c r="AU1016" s="80">
        <v>0</v>
      </c>
      <c r="AV1016" s="80">
        <v>0</v>
      </c>
      <c r="AW1016" s="36"/>
      <c r="AX1016" s="34"/>
    </row>
    <row r="1017" ht="14.5" spans="1:50">
      <c r="A1017" s="32"/>
      <c r="B1017" s="36"/>
      <c r="C1017" s="115" t="s">
        <v>949</v>
      </c>
      <c r="D1017" s="69" t="s">
        <v>23</v>
      </c>
      <c r="E1017" s="120" t="s">
        <v>1066</v>
      </c>
      <c r="F1017" s="121" t="s">
        <v>1066</v>
      </c>
      <c r="G1017" s="121" t="s">
        <v>1066</v>
      </c>
      <c r="H1017" s="121" t="s">
        <v>1066</v>
      </c>
      <c r="I1017" s="71">
        <v>0.9</v>
      </c>
      <c r="J1017" s="72">
        <v>0.962962962962963</v>
      </c>
      <c r="K1017" s="72">
        <v>0.823529411764706</v>
      </c>
      <c r="L1017" s="73">
        <v>0.942857142857143</v>
      </c>
      <c r="M1017" s="72">
        <v>0.909722222222222</v>
      </c>
      <c r="N1017" s="74">
        <v>0.9</v>
      </c>
      <c r="O1017" s="72">
        <v>0.885186852769023</v>
      </c>
      <c r="P1017" s="72">
        <v>0.945939509407002</v>
      </c>
      <c r="Q1017" s="72">
        <v>0.941323062981423</v>
      </c>
      <c r="R1017" s="72">
        <v>0.91893823109088</v>
      </c>
      <c r="S1017" s="74">
        <v>0.9</v>
      </c>
      <c r="T1017" s="72">
        <v>0.830256641152634</v>
      </c>
      <c r="U1017" s="72">
        <v>0.933555608478209</v>
      </c>
      <c r="V1017" s="72">
        <v>0.918894426823743</v>
      </c>
      <c r="W1017" s="72">
        <v>0.901815487217488</v>
      </c>
      <c r="X1017" s="74">
        <v>0.92</v>
      </c>
      <c r="Y1017" s="74">
        <v>0.77662037037037</v>
      </c>
      <c r="Z1017" s="74">
        <v>0.885245901639344</v>
      </c>
      <c r="AA1017" s="74">
        <v>0.82887189292543</v>
      </c>
      <c r="AB1017" s="74">
        <v>0.837682926829268</v>
      </c>
      <c r="AC1017" s="74">
        <v>0.92</v>
      </c>
      <c r="AD1017" s="72">
        <v>0.998639455782313</v>
      </c>
      <c r="AE1017" s="72">
        <v>0.998671518512101</v>
      </c>
      <c r="AF1017" s="72">
        <v>0.997857754927164</v>
      </c>
      <c r="AG1017" s="72">
        <v>0.960532259778912</v>
      </c>
      <c r="AH1017" s="74">
        <v>0.92</v>
      </c>
      <c r="AI1017" s="72">
        <v>0.882884579175297</v>
      </c>
      <c r="AJ1017" s="72">
        <v>0.947815773868353</v>
      </c>
      <c r="AK1017" s="72">
        <v>0.93663257852447</v>
      </c>
      <c r="AL1017" s="72">
        <v>0.93401654471633</v>
      </c>
      <c r="AM1017" s="71">
        <v>0.99</v>
      </c>
      <c r="AN1017" s="76">
        <v>1</v>
      </c>
      <c r="AO1017" s="76">
        <v>1</v>
      </c>
      <c r="AP1017" s="76">
        <v>1</v>
      </c>
      <c r="AQ1017" s="76">
        <v>1</v>
      </c>
      <c r="AR1017" s="96">
        <v>0.0656418488929858</v>
      </c>
      <c r="AS1017" s="80">
        <v>0.04</v>
      </c>
      <c r="AT1017" s="80">
        <v>0.0909090909090909</v>
      </c>
      <c r="AU1017" s="80">
        <v>0.166666666666667</v>
      </c>
      <c r="AV1017" s="80">
        <v>0.0892193308550186</v>
      </c>
      <c r="AW1017" s="36"/>
      <c r="AX1017" s="34"/>
    </row>
    <row r="1018" ht="14.5" spans="1:50">
      <c r="A1018" s="32"/>
      <c r="B1018" s="36"/>
      <c r="C1018" s="115" t="s">
        <v>949</v>
      </c>
      <c r="D1018" s="69" t="s">
        <v>23</v>
      </c>
      <c r="E1018" s="120" t="s">
        <v>1067</v>
      </c>
      <c r="F1018" s="121" t="s">
        <v>1067</v>
      </c>
      <c r="G1018" s="121" t="s">
        <v>1067</v>
      </c>
      <c r="H1018" s="121" t="s">
        <v>1067</v>
      </c>
      <c r="I1018" s="71">
        <v>0.9</v>
      </c>
      <c r="J1018" s="72">
        <v>0</v>
      </c>
      <c r="K1018" s="72">
        <v>0</v>
      </c>
      <c r="L1018" s="73">
        <v>0</v>
      </c>
      <c r="M1018" s="72">
        <v>0</v>
      </c>
      <c r="N1018" s="74">
        <v>0.9</v>
      </c>
      <c r="O1018" s="72">
        <v>0</v>
      </c>
      <c r="P1018" s="72">
        <v>0</v>
      </c>
      <c r="Q1018" s="72">
        <v>0</v>
      </c>
      <c r="R1018" s="72">
        <v>0</v>
      </c>
      <c r="S1018" s="74">
        <v>0.9</v>
      </c>
      <c r="T1018" s="72">
        <v>0</v>
      </c>
      <c r="U1018" s="72">
        <v>0</v>
      </c>
      <c r="V1018" s="72">
        <v>1</v>
      </c>
      <c r="W1018" s="72">
        <v>1</v>
      </c>
      <c r="X1018" s="74">
        <v>0.92</v>
      </c>
      <c r="Y1018" s="74">
        <v>0</v>
      </c>
      <c r="Z1018" s="74">
        <v>0</v>
      </c>
      <c r="AA1018" s="74">
        <v>0</v>
      </c>
      <c r="AB1018" s="74">
        <v>1</v>
      </c>
      <c r="AC1018" s="74">
        <v>0.92</v>
      </c>
      <c r="AD1018" s="72">
        <v>1</v>
      </c>
      <c r="AE1018" s="72">
        <v>1</v>
      </c>
      <c r="AF1018" s="72">
        <v>1</v>
      </c>
      <c r="AG1018" s="72">
        <v>0.99929002484913</v>
      </c>
      <c r="AH1018" s="74">
        <v>0.92</v>
      </c>
      <c r="AI1018" s="72">
        <v>0</v>
      </c>
      <c r="AJ1018" s="72">
        <v>0</v>
      </c>
      <c r="AK1018" s="72">
        <v>1</v>
      </c>
      <c r="AL1018" s="72">
        <v>1</v>
      </c>
      <c r="AM1018" s="71">
        <v>0.99</v>
      </c>
      <c r="AN1018" s="76">
        <v>1</v>
      </c>
      <c r="AO1018" s="76">
        <v>1</v>
      </c>
      <c r="AP1018" s="76">
        <v>1</v>
      </c>
      <c r="AQ1018" s="76">
        <v>1</v>
      </c>
      <c r="AR1018" s="96">
        <v>0.0656418488929858</v>
      </c>
      <c r="AS1018" s="80">
        <v>0</v>
      </c>
      <c r="AT1018" s="80">
        <v>0</v>
      </c>
      <c r="AU1018" s="80">
        <v>0</v>
      </c>
      <c r="AV1018" s="80">
        <v>0</v>
      </c>
      <c r="AW1018" s="36"/>
      <c r="AX1018" s="34"/>
    </row>
    <row r="1019" ht="14.5" spans="1:50">
      <c r="A1019" s="32"/>
      <c r="B1019" s="36"/>
      <c r="C1019" s="115" t="s">
        <v>949</v>
      </c>
      <c r="D1019" s="69" t="s">
        <v>23</v>
      </c>
      <c r="E1019" s="120" t="s">
        <v>1068</v>
      </c>
      <c r="F1019" s="121" t="s">
        <v>1068</v>
      </c>
      <c r="G1019" s="121" t="s">
        <v>1068</v>
      </c>
      <c r="H1019" s="121" t="s">
        <v>1068</v>
      </c>
      <c r="I1019" s="71">
        <v>0.9</v>
      </c>
      <c r="J1019" s="72">
        <v>0</v>
      </c>
      <c r="K1019" s="72">
        <v>0</v>
      </c>
      <c r="L1019" s="73">
        <v>0</v>
      </c>
      <c r="M1019" s="72">
        <v>0</v>
      </c>
      <c r="N1019" s="74">
        <v>0.9</v>
      </c>
      <c r="O1019" s="72">
        <v>0</v>
      </c>
      <c r="P1019" s="72">
        <v>0</v>
      </c>
      <c r="Q1019" s="72">
        <v>0</v>
      </c>
      <c r="R1019" s="72">
        <v>0</v>
      </c>
      <c r="S1019" s="74">
        <v>0.9</v>
      </c>
      <c r="T1019" s="72">
        <v>0</v>
      </c>
      <c r="U1019" s="72">
        <v>1</v>
      </c>
      <c r="V1019" s="72">
        <v>0</v>
      </c>
      <c r="W1019" s="72">
        <v>1</v>
      </c>
      <c r="X1019" s="74">
        <v>0.92</v>
      </c>
      <c r="Y1019" s="74">
        <v>0</v>
      </c>
      <c r="Z1019" s="74">
        <v>0</v>
      </c>
      <c r="AA1019" s="74">
        <v>0</v>
      </c>
      <c r="AB1019" s="74">
        <v>0</v>
      </c>
      <c r="AC1019" s="74">
        <v>0.92</v>
      </c>
      <c r="AD1019" s="72">
        <v>1</v>
      </c>
      <c r="AE1019" s="72">
        <v>1</v>
      </c>
      <c r="AF1019" s="72">
        <v>1</v>
      </c>
      <c r="AG1019" s="72">
        <v>1</v>
      </c>
      <c r="AH1019" s="74">
        <v>0.92</v>
      </c>
      <c r="AI1019" s="72">
        <v>0</v>
      </c>
      <c r="AJ1019" s="72">
        <v>1</v>
      </c>
      <c r="AK1019" s="72">
        <v>0</v>
      </c>
      <c r="AL1019" s="72">
        <v>1</v>
      </c>
      <c r="AM1019" s="71">
        <v>0.99</v>
      </c>
      <c r="AN1019" s="76">
        <v>1</v>
      </c>
      <c r="AO1019" s="76">
        <v>1</v>
      </c>
      <c r="AP1019" s="76">
        <v>1</v>
      </c>
      <c r="AQ1019" s="76">
        <v>1</v>
      </c>
      <c r="AR1019" s="96">
        <v>0.0656418488929858</v>
      </c>
      <c r="AS1019" s="80">
        <v>0</v>
      </c>
      <c r="AT1019" s="80">
        <v>0</v>
      </c>
      <c r="AU1019" s="80">
        <v>0</v>
      </c>
      <c r="AV1019" s="80">
        <v>0</v>
      </c>
      <c r="AW1019" s="36"/>
      <c r="AX1019" s="34"/>
    </row>
    <row r="1020" ht="14.5" spans="1:50">
      <c r="A1020" s="32"/>
      <c r="B1020" s="36"/>
      <c r="C1020" s="115" t="s">
        <v>949</v>
      </c>
      <c r="D1020" s="69" t="s">
        <v>23</v>
      </c>
      <c r="E1020" s="120" t="s">
        <v>1069</v>
      </c>
      <c r="F1020" s="121" t="s">
        <v>1069</v>
      </c>
      <c r="G1020" s="121" t="s">
        <v>1069</v>
      </c>
      <c r="H1020" s="121" t="s">
        <v>1069</v>
      </c>
      <c r="I1020" s="71">
        <v>0.9</v>
      </c>
      <c r="J1020" s="72">
        <v>0</v>
      </c>
      <c r="K1020" s="72">
        <v>0</v>
      </c>
      <c r="L1020" s="73">
        <v>0</v>
      </c>
      <c r="M1020" s="72">
        <v>0</v>
      </c>
      <c r="N1020" s="74">
        <v>0.9</v>
      </c>
      <c r="O1020" s="72">
        <v>0</v>
      </c>
      <c r="P1020" s="72">
        <v>0</v>
      </c>
      <c r="Q1020" s="72">
        <v>0</v>
      </c>
      <c r="R1020" s="72">
        <v>0</v>
      </c>
      <c r="S1020" s="74">
        <v>0.9</v>
      </c>
      <c r="T1020" s="72">
        <v>0</v>
      </c>
      <c r="U1020" s="72">
        <v>0</v>
      </c>
      <c r="V1020" s="72">
        <v>0</v>
      </c>
      <c r="W1020" s="72">
        <v>0</v>
      </c>
      <c r="X1020" s="74">
        <v>0.92</v>
      </c>
      <c r="Y1020" s="74">
        <v>0</v>
      </c>
      <c r="Z1020" s="74">
        <v>0</v>
      </c>
      <c r="AA1020" s="74">
        <v>0</v>
      </c>
      <c r="AB1020" s="74">
        <v>0</v>
      </c>
      <c r="AC1020" s="74">
        <v>0.92</v>
      </c>
      <c r="AD1020" s="72">
        <v>1</v>
      </c>
      <c r="AE1020" s="72">
        <v>0</v>
      </c>
      <c r="AF1020" s="72">
        <v>1</v>
      </c>
      <c r="AG1020" s="72">
        <v>1</v>
      </c>
      <c r="AH1020" s="74">
        <v>0.92</v>
      </c>
      <c r="AI1020" s="72">
        <v>0</v>
      </c>
      <c r="AJ1020" s="72">
        <v>0</v>
      </c>
      <c r="AK1020" s="72">
        <v>0</v>
      </c>
      <c r="AL1020" s="72">
        <v>0</v>
      </c>
      <c r="AM1020" s="71">
        <v>0.99</v>
      </c>
      <c r="AN1020" s="76">
        <v>0</v>
      </c>
      <c r="AO1020" s="76">
        <v>0</v>
      </c>
      <c r="AP1020" s="76">
        <v>0</v>
      </c>
      <c r="AQ1020" s="76">
        <v>0</v>
      </c>
      <c r="AR1020" s="96">
        <v>0.0656418488929858</v>
      </c>
      <c r="AS1020" s="80">
        <v>0</v>
      </c>
      <c r="AT1020" s="80">
        <v>0</v>
      </c>
      <c r="AU1020" s="80">
        <v>0</v>
      </c>
      <c r="AV1020" s="80">
        <v>0</v>
      </c>
      <c r="AW1020" s="36"/>
      <c r="AX1020" s="34"/>
    </row>
    <row r="1021" ht="14.5" spans="1:50">
      <c r="A1021" s="32"/>
      <c r="B1021" s="36"/>
      <c r="C1021" s="115" t="s">
        <v>949</v>
      </c>
      <c r="D1021" s="69" t="s">
        <v>23</v>
      </c>
      <c r="E1021" s="120" t="s">
        <v>1070</v>
      </c>
      <c r="F1021" s="121" t="s">
        <v>1070</v>
      </c>
      <c r="G1021" s="121" t="s">
        <v>1070</v>
      </c>
      <c r="H1021" s="121" t="s">
        <v>1070</v>
      </c>
      <c r="I1021" s="71">
        <v>0.9</v>
      </c>
      <c r="J1021" s="72">
        <v>0.857142857142857</v>
      </c>
      <c r="K1021" s="72">
        <v>0.875</v>
      </c>
      <c r="L1021" s="73">
        <v>0.9375</v>
      </c>
      <c r="M1021" s="72">
        <v>0.949275362318841</v>
      </c>
      <c r="N1021" s="74">
        <v>0.9</v>
      </c>
      <c r="O1021" s="72">
        <v>0.885651857246905</v>
      </c>
      <c r="P1021" s="72">
        <v>0.966524216524216</v>
      </c>
      <c r="Q1021" s="72">
        <v>0.96242774566474</v>
      </c>
      <c r="R1021" s="72">
        <v>0.922535211267606</v>
      </c>
      <c r="S1021" s="74">
        <v>0.9</v>
      </c>
      <c r="T1021" s="72">
        <v>0.688273852876912</v>
      </c>
      <c r="U1021" s="72">
        <v>0.911680911680912</v>
      </c>
      <c r="V1021" s="72">
        <v>0.886560693641618</v>
      </c>
      <c r="W1021" s="72">
        <v>0.853153008962868</v>
      </c>
      <c r="X1021" s="74">
        <v>0.92</v>
      </c>
      <c r="Y1021" s="74">
        <v>0.720238095238095</v>
      </c>
      <c r="Z1021" s="74">
        <v>0.952681388012618</v>
      </c>
      <c r="AA1021" s="74">
        <v>0.887052341597796</v>
      </c>
      <c r="AB1021" s="74">
        <v>0.843642611683849</v>
      </c>
      <c r="AC1021" s="74">
        <v>0.92</v>
      </c>
      <c r="AD1021" s="72">
        <v>0.994798934415832</v>
      </c>
      <c r="AE1021" s="72">
        <v>0.969881213758937</v>
      </c>
      <c r="AF1021" s="72">
        <v>0.989551984555108</v>
      </c>
      <c r="AG1021" s="72">
        <v>0.984377826159772</v>
      </c>
      <c r="AH1021" s="74">
        <v>0.92</v>
      </c>
      <c r="AI1021" s="72">
        <v>0.81531268264173</v>
      </c>
      <c r="AJ1021" s="72">
        <v>0.959349593495935</v>
      </c>
      <c r="AK1021" s="72">
        <v>0.927958833619211</v>
      </c>
      <c r="AL1021" s="72">
        <v>0.913908142773855</v>
      </c>
      <c r="AM1021" s="71">
        <v>0.99</v>
      </c>
      <c r="AN1021" s="76">
        <v>1</v>
      </c>
      <c r="AO1021" s="76">
        <v>1</v>
      </c>
      <c r="AP1021" s="76">
        <v>1</v>
      </c>
      <c r="AQ1021" s="76">
        <v>1</v>
      </c>
      <c r="AR1021" s="96">
        <v>0.0656418488929858</v>
      </c>
      <c r="AS1021" s="80">
        <v>0.0909090909090909</v>
      </c>
      <c r="AT1021" s="80">
        <v>0.0714285714285714</v>
      </c>
      <c r="AU1021" s="80">
        <v>0.0769230769230769</v>
      </c>
      <c r="AV1021" s="80">
        <v>0.0535714285714286</v>
      </c>
      <c r="AW1021" s="36"/>
      <c r="AX1021" s="34"/>
    </row>
    <row r="1022" ht="14.5" spans="1:50">
      <c r="A1022" s="32"/>
      <c r="B1022" s="36"/>
      <c r="C1022" s="115" t="s">
        <v>949</v>
      </c>
      <c r="D1022" s="69" t="s">
        <v>23</v>
      </c>
      <c r="E1022" s="118" t="s">
        <v>1071</v>
      </c>
      <c r="F1022" s="119" t="s">
        <v>1071</v>
      </c>
      <c r="G1022" s="119" t="s">
        <v>1071</v>
      </c>
      <c r="H1022" s="119" t="s">
        <v>1071</v>
      </c>
      <c r="I1022" s="71">
        <v>0.9</v>
      </c>
      <c r="J1022" s="72">
        <v>0</v>
      </c>
      <c r="K1022" s="72">
        <v>0</v>
      </c>
      <c r="L1022" s="73">
        <v>0</v>
      </c>
      <c r="M1022" s="72">
        <v>0</v>
      </c>
      <c r="N1022" s="74">
        <v>0.9</v>
      </c>
      <c r="O1022" s="72">
        <v>0</v>
      </c>
      <c r="P1022" s="72">
        <v>0</v>
      </c>
      <c r="Q1022" s="72">
        <v>0</v>
      </c>
      <c r="R1022" s="72">
        <v>1</v>
      </c>
      <c r="S1022" s="74">
        <v>0.9</v>
      </c>
      <c r="T1022" s="72">
        <v>0</v>
      </c>
      <c r="U1022" s="72">
        <v>0</v>
      </c>
      <c r="V1022" s="72">
        <v>0</v>
      </c>
      <c r="W1022" s="72">
        <v>1</v>
      </c>
      <c r="X1022" s="74">
        <v>0.92</v>
      </c>
      <c r="Y1022" s="74">
        <v>0</v>
      </c>
      <c r="Z1022" s="74">
        <v>0</v>
      </c>
      <c r="AA1022" s="74">
        <v>0</v>
      </c>
      <c r="AB1022" s="74">
        <v>0</v>
      </c>
      <c r="AC1022" s="74">
        <v>0.92</v>
      </c>
      <c r="AD1022" s="72">
        <v>0.988980716253444</v>
      </c>
      <c r="AE1022" s="72">
        <v>0.993727598566308</v>
      </c>
      <c r="AF1022" s="72">
        <v>0.989819004524887</v>
      </c>
      <c r="AG1022" s="72">
        <v>0.995765072996768</v>
      </c>
      <c r="AH1022" s="74">
        <v>0.92</v>
      </c>
      <c r="AI1022" s="72">
        <v>0</v>
      </c>
      <c r="AJ1022" s="72">
        <v>0</v>
      </c>
      <c r="AK1022" s="72">
        <v>0</v>
      </c>
      <c r="AL1022" s="72">
        <v>1</v>
      </c>
      <c r="AM1022" s="71">
        <v>0.99</v>
      </c>
      <c r="AN1022" s="76">
        <v>1</v>
      </c>
      <c r="AO1022" s="76">
        <v>1</v>
      </c>
      <c r="AP1022" s="76">
        <v>1</v>
      </c>
      <c r="AQ1022" s="76">
        <v>1</v>
      </c>
      <c r="AR1022" s="96">
        <v>0.0656418488929858</v>
      </c>
      <c r="AS1022" s="80">
        <v>0</v>
      </c>
      <c r="AT1022" s="80">
        <v>0</v>
      </c>
      <c r="AU1022" s="80">
        <v>0</v>
      </c>
      <c r="AV1022" s="80">
        <v>0.0588235294117647</v>
      </c>
      <c r="AW1022" s="36"/>
      <c r="AX1022" s="34"/>
    </row>
    <row r="1023" ht="14.5" spans="1:50">
      <c r="A1023" s="32"/>
      <c r="B1023" s="36"/>
      <c r="C1023" s="115" t="s">
        <v>949</v>
      </c>
      <c r="D1023" s="69" t="s">
        <v>23</v>
      </c>
      <c r="E1023" s="118" t="s">
        <v>1072</v>
      </c>
      <c r="F1023" s="119" t="s">
        <v>1072</v>
      </c>
      <c r="G1023" s="119" t="s">
        <v>1072</v>
      </c>
      <c r="H1023" s="119" t="s">
        <v>1072</v>
      </c>
      <c r="I1023" s="71">
        <v>0.9</v>
      </c>
      <c r="J1023" s="72">
        <v>0</v>
      </c>
      <c r="K1023" s="72">
        <v>0</v>
      </c>
      <c r="L1023" s="73">
        <v>0</v>
      </c>
      <c r="M1023" s="72">
        <v>0</v>
      </c>
      <c r="N1023" s="74">
        <v>0.9</v>
      </c>
      <c r="O1023" s="72">
        <v>0</v>
      </c>
      <c r="P1023" s="72">
        <v>0</v>
      </c>
      <c r="Q1023" s="72">
        <v>0</v>
      </c>
      <c r="R1023" s="72">
        <v>0</v>
      </c>
      <c r="S1023" s="74">
        <v>0.9</v>
      </c>
      <c r="T1023" s="72">
        <v>0</v>
      </c>
      <c r="U1023" s="72">
        <v>0</v>
      </c>
      <c r="V1023" s="72">
        <v>0</v>
      </c>
      <c r="W1023" s="72">
        <v>0</v>
      </c>
      <c r="X1023" s="74">
        <v>0.92</v>
      </c>
      <c r="Y1023" s="74">
        <v>0</v>
      </c>
      <c r="Z1023" s="74">
        <v>0</v>
      </c>
      <c r="AA1023" s="74">
        <v>0</v>
      </c>
      <c r="AB1023" s="74">
        <v>0</v>
      </c>
      <c r="AC1023" s="74">
        <v>0.92</v>
      </c>
      <c r="AD1023" s="72">
        <v>1</v>
      </c>
      <c r="AE1023" s="72">
        <v>1</v>
      </c>
      <c r="AF1023" s="72">
        <v>1</v>
      </c>
      <c r="AG1023" s="72">
        <v>0.999634836589374</v>
      </c>
      <c r="AH1023" s="74">
        <v>0.92</v>
      </c>
      <c r="AI1023" s="72">
        <v>0</v>
      </c>
      <c r="AJ1023" s="72">
        <v>0</v>
      </c>
      <c r="AK1023" s="72">
        <v>0</v>
      </c>
      <c r="AL1023" s="72">
        <v>0</v>
      </c>
      <c r="AM1023" s="71">
        <v>0.99</v>
      </c>
      <c r="AN1023" s="76">
        <v>0</v>
      </c>
      <c r="AO1023" s="76">
        <v>1</v>
      </c>
      <c r="AP1023" s="76">
        <v>1</v>
      </c>
      <c r="AQ1023" s="76">
        <v>1</v>
      </c>
      <c r="AR1023" s="96">
        <v>0.0656418488929858</v>
      </c>
      <c r="AS1023" s="80">
        <v>0</v>
      </c>
      <c r="AT1023" s="80">
        <v>0</v>
      </c>
      <c r="AU1023" s="80">
        <v>0</v>
      </c>
      <c r="AV1023" s="80">
        <v>0</v>
      </c>
      <c r="AW1023" s="36"/>
      <c r="AX1023" s="34"/>
    </row>
    <row r="1024" ht="14.5" spans="1:50">
      <c r="A1024" s="32"/>
      <c r="B1024" s="36"/>
      <c r="C1024" s="115" t="s">
        <v>949</v>
      </c>
      <c r="D1024" s="69" t="s">
        <v>23</v>
      </c>
      <c r="E1024" s="118" t="s">
        <v>1073</v>
      </c>
      <c r="F1024" s="119" t="s">
        <v>1073</v>
      </c>
      <c r="G1024" s="119" t="s">
        <v>1073</v>
      </c>
      <c r="H1024" s="119" t="s">
        <v>1073</v>
      </c>
      <c r="I1024" s="71">
        <v>0.9</v>
      </c>
      <c r="J1024" s="72">
        <v>0</v>
      </c>
      <c r="K1024" s="72">
        <v>0</v>
      </c>
      <c r="L1024" s="73">
        <v>0</v>
      </c>
      <c r="M1024" s="72">
        <v>0</v>
      </c>
      <c r="N1024" s="74">
        <v>0.9</v>
      </c>
      <c r="O1024" s="72">
        <v>0</v>
      </c>
      <c r="P1024" s="72">
        <v>0</v>
      </c>
      <c r="Q1024" s="72">
        <v>0</v>
      </c>
      <c r="R1024" s="72">
        <v>0</v>
      </c>
      <c r="S1024" s="74">
        <v>0.9</v>
      </c>
      <c r="T1024" s="72">
        <v>0</v>
      </c>
      <c r="U1024" s="72">
        <v>0</v>
      </c>
      <c r="V1024" s="72">
        <v>0</v>
      </c>
      <c r="W1024" s="72">
        <v>0</v>
      </c>
      <c r="X1024" s="74">
        <v>0.92</v>
      </c>
      <c r="Y1024" s="74">
        <v>0</v>
      </c>
      <c r="Z1024" s="74">
        <v>0</v>
      </c>
      <c r="AA1024" s="74">
        <v>0</v>
      </c>
      <c r="AB1024" s="74">
        <v>0</v>
      </c>
      <c r="AC1024" s="74">
        <v>0.92</v>
      </c>
      <c r="AD1024" s="72">
        <v>1</v>
      </c>
      <c r="AE1024" s="72">
        <v>1</v>
      </c>
      <c r="AF1024" s="72">
        <v>1</v>
      </c>
      <c r="AG1024" s="72">
        <v>1</v>
      </c>
      <c r="AH1024" s="74">
        <v>0.92</v>
      </c>
      <c r="AI1024" s="72">
        <v>0</v>
      </c>
      <c r="AJ1024" s="72">
        <v>0</v>
      </c>
      <c r="AK1024" s="72">
        <v>0</v>
      </c>
      <c r="AL1024" s="72">
        <v>0</v>
      </c>
      <c r="AM1024" s="71">
        <v>0.99</v>
      </c>
      <c r="AN1024" s="76">
        <v>1</v>
      </c>
      <c r="AO1024" s="76">
        <v>1</v>
      </c>
      <c r="AP1024" s="76">
        <v>1</v>
      </c>
      <c r="AQ1024" s="76">
        <v>1</v>
      </c>
      <c r="AR1024" s="96">
        <v>0.0656418488929858</v>
      </c>
      <c r="AS1024" s="80">
        <v>0</v>
      </c>
      <c r="AT1024" s="80">
        <v>0</v>
      </c>
      <c r="AU1024" s="80">
        <v>0</v>
      </c>
      <c r="AV1024" s="80">
        <v>0</v>
      </c>
      <c r="AW1024" s="36"/>
      <c r="AX1024" s="34"/>
    </row>
    <row r="1025" ht="14.5" spans="1:50">
      <c r="A1025" s="32"/>
      <c r="B1025" s="36"/>
      <c r="C1025" s="115" t="s">
        <v>949</v>
      </c>
      <c r="D1025" s="69" t="s">
        <v>23</v>
      </c>
      <c r="E1025" s="120" t="s">
        <v>1074</v>
      </c>
      <c r="F1025" s="121" t="s">
        <v>1074</v>
      </c>
      <c r="G1025" s="121" t="s">
        <v>1074</v>
      </c>
      <c r="H1025" s="121" t="s">
        <v>1074</v>
      </c>
      <c r="I1025" s="71">
        <v>0.9</v>
      </c>
      <c r="J1025" s="72">
        <v>0</v>
      </c>
      <c r="K1025" s="72">
        <v>0</v>
      </c>
      <c r="L1025" s="73">
        <v>0</v>
      </c>
      <c r="M1025" s="72">
        <v>0</v>
      </c>
      <c r="N1025" s="74">
        <v>0.9</v>
      </c>
      <c r="O1025" s="72">
        <v>0</v>
      </c>
      <c r="P1025" s="72">
        <v>0</v>
      </c>
      <c r="Q1025" s="72">
        <v>0</v>
      </c>
      <c r="R1025" s="72">
        <v>0</v>
      </c>
      <c r="S1025" s="74">
        <v>0.9</v>
      </c>
      <c r="T1025" s="72">
        <v>0</v>
      </c>
      <c r="U1025" s="72">
        <v>0</v>
      </c>
      <c r="V1025" s="72">
        <v>1</v>
      </c>
      <c r="W1025" s="72">
        <v>1</v>
      </c>
      <c r="X1025" s="74">
        <v>0.92</v>
      </c>
      <c r="Y1025" s="74">
        <v>0</v>
      </c>
      <c r="Z1025" s="74">
        <v>0</v>
      </c>
      <c r="AA1025" s="74">
        <v>0</v>
      </c>
      <c r="AB1025" s="74">
        <v>0</v>
      </c>
      <c r="AC1025" s="74">
        <v>0.92</v>
      </c>
      <c r="AD1025" s="72">
        <v>1</v>
      </c>
      <c r="AE1025" s="72">
        <v>0.99860529986053</v>
      </c>
      <c r="AF1025" s="72">
        <v>1</v>
      </c>
      <c r="AG1025" s="72">
        <v>0.999768572089794</v>
      </c>
      <c r="AH1025" s="74">
        <v>0.92</v>
      </c>
      <c r="AI1025" s="72">
        <v>0</v>
      </c>
      <c r="AJ1025" s="72">
        <v>0</v>
      </c>
      <c r="AK1025" s="72">
        <v>1</v>
      </c>
      <c r="AL1025" s="72">
        <v>1</v>
      </c>
      <c r="AM1025" s="71">
        <v>0.99</v>
      </c>
      <c r="AN1025" s="76">
        <v>0</v>
      </c>
      <c r="AO1025" s="76">
        <v>0</v>
      </c>
      <c r="AP1025" s="76">
        <v>0</v>
      </c>
      <c r="AQ1025" s="76">
        <v>0</v>
      </c>
      <c r="AR1025" s="96">
        <v>0.0656418488929858</v>
      </c>
      <c r="AS1025" s="80">
        <v>0</v>
      </c>
      <c r="AT1025" s="80">
        <v>0</v>
      </c>
      <c r="AU1025" s="80">
        <v>0</v>
      </c>
      <c r="AV1025" s="80">
        <v>0</v>
      </c>
      <c r="AW1025" s="36"/>
      <c r="AX1025" s="34"/>
    </row>
    <row r="1026" ht="14.5" spans="1:50">
      <c r="A1026" s="32"/>
      <c r="B1026" s="36"/>
      <c r="C1026" s="115" t="s">
        <v>949</v>
      </c>
      <c r="D1026" s="69" t="s">
        <v>23</v>
      </c>
      <c r="E1026" s="120" t="s">
        <v>1075</v>
      </c>
      <c r="F1026" s="121" t="s">
        <v>1075</v>
      </c>
      <c r="G1026" s="121" t="s">
        <v>1075</v>
      </c>
      <c r="H1026" s="121" t="s">
        <v>1075</v>
      </c>
      <c r="I1026" s="71">
        <v>0.9</v>
      </c>
      <c r="J1026" s="72">
        <v>0.8125</v>
      </c>
      <c r="K1026" s="72">
        <v>0.894736842105263</v>
      </c>
      <c r="L1026" s="73">
        <v>1</v>
      </c>
      <c r="M1026" s="72">
        <v>0.930232558139535</v>
      </c>
      <c r="N1026" s="74">
        <v>0.9</v>
      </c>
      <c r="O1026" s="72">
        <v>0.962346760070052</v>
      </c>
      <c r="P1026" s="72">
        <v>0.982047549733139</v>
      </c>
      <c r="Q1026" s="72">
        <v>0.978323699421965</v>
      </c>
      <c r="R1026" s="72">
        <v>0.956225782804482</v>
      </c>
      <c r="S1026" s="74">
        <v>0.9</v>
      </c>
      <c r="T1026" s="72">
        <v>0.725481611208406</v>
      </c>
      <c r="U1026" s="72">
        <v>0.872877244056283</v>
      </c>
      <c r="V1026" s="72">
        <v>0.912813102119461</v>
      </c>
      <c r="W1026" s="72">
        <v>0.860090061786575</v>
      </c>
      <c r="X1026" s="74">
        <v>0.92</v>
      </c>
      <c r="Y1026" s="74">
        <v>0.770562770562771</v>
      </c>
      <c r="Z1026" s="74">
        <v>0.897674418604651</v>
      </c>
      <c r="AA1026" s="74">
        <v>0.934865900383142</v>
      </c>
      <c r="AB1026" s="74">
        <v>0.893031189083821</v>
      </c>
      <c r="AC1026" s="74">
        <v>0.92</v>
      </c>
      <c r="AD1026" s="72">
        <v>0.993513075207784</v>
      </c>
      <c r="AE1026" s="72">
        <v>0.981239242685026</v>
      </c>
      <c r="AF1026" s="72">
        <v>0.980673533155885</v>
      </c>
      <c r="AG1026" s="72">
        <v>0.978714878370734</v>
      </c>
      <c r="AH1026" s="74">
        <v>0.92</v>
      </c>
      <c r="AI1026" s="72">
        <v>0.813250819075355</v>
      </c>
      <c r="AJ1026" s="72">
        <v>0.934590690208668</v>
      </c>
      <c r="AK1026" s="72">
        <v>0.959984609465179</v>
      </c>
      <c r="AL1026" s="72">
        <v>0.924647796303477</v>
      </c>
      <c r="AM1026" s="71">
        <v>0.99</v>
      </c>
      <c r="AN1026" s="76">
        <v>1</v>
      </c>
      <c r="AO1026" s="76">
        <v>1</v>
      </c>
      <c r="AP1026" s="76">
        <v>1</v>
      </c>
      <c r="AQ1026" s="76">
        <v>1</v>
      </c>
      <c r="AR1026" s="96">
        <v>0.0656418488929858</v>
      </c>
      <c r="AS1026" s="80">
        <v>0.05</v>
      </c>
      <c r="AT1026" s="80">
        <v>0</v>
      </c>
      <c r="AU1026" s="80">
        <v>0</v>
      </c>
      <c r="AV1026" s="80">
        <v>0.0486111111111111</v>
      </c>
      <c r="AW1026" s="36"/>
      <c r="AX1026" s="34"/>
    </row>
    <row r="1027" ht="14.5" spans="1:50">
      <c r="A1027" s="32"/>
      <c r="B1027" s="36"/>
      <c r="C1027" s="115" t="s">
        <v>949</v>
      </c>
      <c r="D1027" s="69" t="s">
        <v>23</v>
      </c>
      <c r="E1027" s="118" t="s">
        <v>1076</v>
      </c>
      <c r="F1027" s="119" t="s">
        <v>1076</v>
      </c>
      <c r="G1027" s="119" t="s">
        <v>1076</v>
      </c>
      <c r="H1027" s="119" t="s">
        <v>1076</v>
      </c>
      <c r="I1027" s="71">
        <v>0.9</v>
      </c>
      <c r="J1027" s="72">
        <v>1</v>
      </c>
      <c r="K1027" s="72">
        <v>0.96551724137931</v>
      </c>
      <c r="L1027" s="73">
        <v>1</v>
      </c>
      <c r="M1027" s="72">
        <v>0.977611940298508</v>
      </c>
      <c r="N1027" s="74">
        <v>0.9</v>
      </c>
      <c r="O1027" s="72">
        <v>0.974974974974975</v>
      </c>
      <c r="P1027" s="72">
        <v>0.983169705469846</v>
      </c>
      <c r="Q1027" s="72">
        <v>0.983976693372178</v>
      </c>
      <c r="R1027" s="72">
        <v>0.981084925608396</v>
      </c>
      <c r="S1027" s="74">
        <v>0.9</v>
      </c>
      <c r="T1027" s="72">
        <v>0.867867867867868</v>
      </c>
      <c r="U1027" s="72">
        <v>0.92601683029453</v>
      </c>
      <c r="V1027" s="72">
        <v>0.942097596504006</v>
      </c>
      <c r="W1027" s="72">
        <v>0.921956095498058</v>
      </c>
      <c r="X1027" s="74">
        <v>0.92</v>
      </c>
      <c r="Y1027" s="74">
        <v>0.891472868217054</v>
      </c>
      <c r="Z1027" s="74">
        <v>0.942913385826772</v>
      </c>
      <c r="AA1027" s="74">
        <v>0.943198804185351</v>
      </c>
      <c r="AB1027" s="74">
        <v>0.929560505719446</v>
      </c>
      <c r="AC1027" s="74">
        <v>0.92</v>
      </c>
      <c r="AD1027" s="72">
        <v>0.998953427524856</v>
      </c>
      <c r="AE1027" s="72">
        <v>0.942670157068063</v>
      </c>
      <c r="AF1027" s="72">
        <v>0.990267639902676</v>
      </c>
      <c r="AG1027" s="72">
        <v>0.989475271411339</v>
      </c>
      <c r="AH1027" s="74">
        <v>0.92</v>
      </c>
      <c r="AI1027" s="72">
        <v>0.922310756972112</v>
      </c>
      <c r="AJ1027" s="72">
        <v>0.969660916121356</v>
      </c>
      <c r="AK1027" s="72">
        <v>0.976580796252927</v>
      </c>
      <c r="AL1027" s="72">
        <v>0.963554265441058</v>
      </c>
      <c r="AM1027" s="71">
        <v>0.99</v>
      </c>
      <c r="AN1027" s="76">
        <v>1</v>
      </c>
      <c r="AO1027" s="76">
        <v>1</v>
      </c>
      <c r="AP1027" s="76">
        <v>1</v>
      </c>
      <c r="AQ1027" s="76">
        <v>1</v>
      </c>
      <c r="AR1027" s="96">
        <v>0.0656418488929858</v>
      </c>
      <c r="AS1027" s="80">
        <v>0</v>
      </c>
      <c r="AT1027" s="80">
        <v>0</v>
      </c>
      <c r="AU1027" s="80">
        <v>0.111111111111111</v>
      </c>
      <c r="AV1027" s="80">
        <v>0.036144578313253</v>
      </c>
      <c r="AW1027" s="36"/>
      <c r="AX1027" s="34"/>
    </row>
    <row r="1028" ht="14.5" spans="1:50">
      <c r="A1028" s="32"/>
      <c r="B1028" s="36"/>
      <c r="C1028" s="115" t="s">
        <v>949</v>
      </c>
      <c r="D1028" s="69" t="s">
        <v>23</v>
      </c>
      <c r="E1028" s="118" t="s">
        <v>1077</v>
      </c>
      <c r="F1028" s="119" t="s">
        <v>1077</v>
      </c>
      <c r="G1028" s="119" t="s">
        <v>1077</v>
      </c>
      <c r="H1028" s="119" t="s">
        <v>1077</v>
      </c>
      <c r="I1028" s="71">
        <v>0.9</v>
      </c>
      <c r="J1028" s="72">
        <v>0.75</v>
      </c>
      <c r="K1028" s="72">
        <v>0.807692307692308</v>
      </c>
      <c r="L1028" s="73">
        <v>0.863636363636364</v>
      </c>
      <c r="M1028" s="72">
        <v>0.766519823788546</v>
      </c>
      <c r="N1028" s="74">
        <v>0.9</v>
      </c>
      <c r="O1028" s="72">
        <v>0.35588705380927</v>
      </c>
      <c r="P1028" s="72">
        <v>0.324198250728863</v>
      </c>
      <c r="Q1028" s="72">
        <v>0.31685527099464</v>
      </c>
      <c r="R1028" s="72">
        <v>0.353299017313992</v>
      </c>
      <c r="S1028" s="74">
        <v>0.9</v>
      </c>
      <c r="T1028" s="72">
        <v>0.416888652104422</v>
      </c>
      <c r="U1028" s="72">
        <v>0.512827988338192</v>
      </c>
      <c r="V1028" s="72">
        <v>0.530375223347231</v>
      </c>
      <c r="W1028" s="72">
        <v>0.515613788800499</v>
      </c>
      <c r="X1028" s="74">
        <v>0.92</v>
      </c>
      <c r="Y1028" s="74">
        <v>0.516962843295638</v>
      </c>
      <c r="Z1028" s="74">
        <v>0.625194401244168</v>
      </c>
      <c r="AA1028" s="74">
        <v>0.560298826040555</v>
      </c>
      <c r="AB1028" s="74">
        <v>0.589305489637716</v>
      </c>
      <c r="AC1028" s="74">
        <v>0.92</v>
      </c>
      <c r="AD1028" s="72">
        <v>0.988278840222085</v>
      </c>
      <c r="AE1028" s="72">
        <v>0.99576580522704</v>
      </c>
      <c r="AF1028" s="72">
        <v>0.988358208955224</v>
      </c>
      <c r="AG1028" s="72">
        <v>0.992981533545033</v>
      </c>
      <c r="AH1028" s="74">
        <v>0.92</v>
      </c>
      <c r="AI1028" s="72">
        <v>0.658135283363803</v>
      </c>
      <c r="AJ1028" s="72">
        <v>0.788518155053974</v>
      </c>
      <c r="AK1028" s="72">
        <v>0.724627560521415</v>
      </c>
      <c r="AL1028" s="72">
        <v>0.783124055645287</v>
      </c>
      <c r="AM1028" s="71">
        <v>0.99</v>
      </c>
      <c r="AN1028" s="76">
        <v>1</v>
      </c>
      <c r="AO1028" s="76">
        <v>1</v>
      </c>
      <c r="AP1028" s="76">
        <v>1</v>
      </c>
      <c r="AQ1028" s="76">
        <v>1</v>
      </c>
      <c r="AR1028" s="96">
        <v>0.0656418488929858</v>
      </c>
      <c r="AS1028" s="80">
        <v>0.0714285714285714</v>
      </c>
      <c r="AT1028" s="80">
        <v>0.05</v>
      </c>
      <c r="AU1028" s="80">
        <v>0</v>
      </c>
      <c r="AV1028" s="80">
        <v>0.0465116279069767</v>
      </c>
      <c r="AW1028" s="36"/>
      <c r="AX1028" s="34"/>
    </row>
    <row r="1029" ht="14.5" spans="1:50">
      <c r="A1029" s="32"/>
      <c r="B1029" s="36"/>
      <c r="C1029" s="115" t="s">
        <v>949</v>
      </c>
      <c r="D1029" s="69" t="s">
        <v>23</v>
      </c>
      <c r="E1029" s="118" t="s">
        <v>1078</v>
      </c>
      <c r="F1029" s="119" t="s">
        <v>1078</v>
      </c>
      <c r="G1029" s="119" t="s">
        <v>1078</v>
      </c>
      <c r="H1029" s="119" t="s">
        <v>1078</v>
      </c>
      <c r="I1029" s="71">
        <v>0.9</v>
      </c>
      <c r="J1029" s="72">
        <v>0.96</v>
      </c>
      <c r="K1029" s="72">
        <v>0.923076923076923</v>
      </c>
      <c r="L1029" s="73">
        <v>1</v>
      </c>
      <c r="M1029" s="72">
        <v>0.931914893617021</v>
      </c>
      <c r="N1029" s="74">
        <v>0.9</v>
      </c>
      <c r="O1029" s="72">
        <v>0.901960784313726</v>
      </c>
      <c r="P1029" s="72">
        <v>0.911805555555556</v>
      </c>
      <c r="Q1029" s="72">
        <v>0.937523105360444</v>
      </c>
      <c r="R1029" s="72">
        <v>0.911446570783312</v>
      </c>
      <c r="S1029" s="74">
        <v>0.9</v>
      </c>
      <c r="T1029" s="72">
        <v>0.849346405228758</v>
      </c>
      <c r="U1029" s="72">
        <v>0.873958333333333</v>
      </c>
      <c r="V1029" s="72">
        <v>0.893530499075786</v>
      </c>
      <c r="W1029" s="72">
        <v>0.858671104243433</v>
      </c>
      <c r="X1029" s="74">
        <v>0.92</v>
      </c>
      <c r="Y1029" s="74">
        <v>0.84280303030303</v>
      </c>
      <c r="Z1029" s="74">
        <v>0.838709677419355</v>
      </c>
      <c r="AA1029" s="74">
        <v>0.860326894502229</v>
      </c>
      <c r="AB1029" s="74">
        <v>0.873050779688125</v>
      </c>
      <c r="AC1029" s="74">
        <v>0.92</v>
      </c>
      <c r="AD1029" s="72">
        <v>0.998699609882965</v>
      </c>
      <c r="AE1029" s="72">
        <v>0.997518610421836</v>
      </c>
      <c r="AF1029" s="72">
        <v>0.997947214076246</v>
      </c>
      <c r="AG1029" s="72">
        <v>0.996492084311991</v>
      </c>
      <c r="AH1029" s="74">
        <v>0.92</v>
      </c>
      <c r="AI1029" s="72">
        <v>0.93953747561995</v>
      </c>
      <c r="AJ1029" s="72">
        <v>0.941106128550075</v>
      </c>
      <c r="AK1029" s="72">
        <v>0.944954128440367</v>
      </c>
      <c r="AL1029" s="72">
        <v>0.952352610521443</v>
      </c>
      <c r="AM1029" s="71">
        <v>0.99</v>
      </c>
      <c r="AN1029" s="76">
        <v>1</v>
      </c>
      <c r="AO1029" s="76">
        <v>1</v>
      </c>
      <c r="AP1029" s="76">
        <v>1</v>
      </c>
      <c r="AQ1029" s="76">
        <v>1</v>
      </c>
      <c r="AR1029" s="96">
        <v>0.0656418488929858</v>
      </c>
      <c r="AS1029" s="80">
        <v>0</v>
      </c>
      <c r="AT1029" s="80">
        <v>0</v>
      </c>
      <c r="AU1029" s="80">
        <v>0</v>
      </c>
      <c r="AV1029" s="80">
        <v>0</v>
      </c>
      <c r="AW1029" s="36"/>
      <c r="AX1029" s="34"/>
    </row>
    <row r="1030" ht="14.5" spans="1:50">
      <c r="A1030" s="32"/>
      <c r="B1030" s="36"/>
      <c r="C1030" s="115" t="s">
        <v>949</v>
      </c>
      <c r="D1030" s="69" t="s">
        <v>23</v>
      </c>
      <c r="E1030" s="118" t="s">
        <v>1079</v>
      </c>
      <c r="F1030" s="119" t="s">
        <v>1079</v>
      </c>
      <c r="G1030" s="119" t="s">
        <v>1079</v>
      </c>
      <c r="H1030" s="119" t="s">
        <v>1079</v>
      </c>
      <c r="I1030" s="71">
        <v>0.9</v>
      </c>
      <c r="J1030" s="72">
        <v>1</v>
      </c>
      <c r="K1030" s="72">
        <v>0.966666666666667</v>
      </c>
      <c r="L1030" s="73">
        <v>1</v>
      </c>
      <c r="M1030" s="72">
        <v>0.972789115646258</v>
      </c>
      <c r="N1030" s="74">
        <v>0.9</v>
      </c>
      <c r="O1030" s="72">
        <v>0.901381215469613</v>
      </c>
      <c r="P1030" s="72">
        <v>0.944007549543882</v>
      </c>
      <c r="Q1030" s="72">
        <v>0.961190168175938</v>
      </c>
      <c r="R1030" s="72">
        <v>0.942452607035448</v>
      </c>
      <c r="S1030" s="74">
        <v>0.9</v>
      </c>
      <c r="T1030" s="72">
        <v>0.869337016574586</v>
      </c>
      <c r="U1030" s="72">
        <v>0.855300408933627</v>
      </c>
      <c r="V1030" s="72">
        <v>0.913971539456662</v>
      </c>
      <c r="W1030" s="72">
        <v>0.888622309329909</v>
      </c>
      <c r="X1030" s="74">
        <v>0.92</v>
      </c>
      <c r="Y1030" s="74">
        <v>0.936842105263158</v>
      </c>
      <c r="Z1030" s="74">
        <v>0.922955974842767</v>
      </c>
      <c r="AA1030" s="74">
        <v>0.930475086906141</v>
      </c>
      <c r="AB1030" s="74">
        <v>0.937236375906867</v>
      </c>
      <c r="AC1030" s="74">
        <v>0.92</v>
      </c>
      <c r="AD1030" s="72">
        <v>0.990070921985816</v>
      </c>
      <c r="AE1030" s="72">
        <v>0.9880810488677</v>
      </c>
      <c r="AF1030" s="72">
        <v>0.998611111111111</v>
      </c>
      <c r="AG1030" s="72">
        <v>0.990923441199684</v>
      </c>
      <c r="AH1030" s="74">
        <v>0.92</v>
      </c>
      <c r="AI1030" s="72">
        <v>0.964677804295943</v>
      </c>
      <c r="AJ1030" s="72">
        <v>0.960429769392034</v>
      </c>
      <c r="AK1030" s="72">
        <v>0.969666329625885</v>
      </c>
      <c r="AL1030" s="72">
        <v>0.970497156691628</v>
      </c>
      <c r="AM1030" s="71">
        <v>0.99</v>
      </c>
      <c r="AN1030" s="76">
        <v>1</v>
      </c>
      <c r="AO1030" s="76">
        <v>1</v>
      </c>
      <c r="AP1030" s="76">
        <v>1</v>
      </c>
      <c r="AQ1030" s="76">
        <v>1</v>
      </c>
      <c r="AR1030" s="96">
        <v>0.0656418488929858</v>
      </c>
      <c r="AS1030" s="80">
        <v>0</v>
      </c>
      <c r="AT1030" s="80">
        <v>0.0769230769230769</v>
      </c>
      <c r="AU1030" s="80">
        <v>0.0714285714285714</v>
      </c>
      <c r="AV1030" s="80">
        <v>0.0578512396694215</v>
      </c>
      <c r="AW1030" s="36"/>
      <c r="AX1030" s="34"/>
    </row>
    <row r="1031" ht="14.5" spans="1:50">
      <c r="A1031" s="32"/>
      <c r="B1031" s="36"/>
      <c r="C1031" s="115" t="s">
        <v>949</v>
      </c>
      <c r="D1031" s="69" t="s">
        <v>23</v>
      </c>
      <c r="E1031" s="118" t="s">
        <v>1080</v>
      </c>
      <c r="F1031" s="119" t="s">
        <v>1080</v>
      </c>
      <c r="G1031" s="119" t="s">
        <v>1080</v>
      </c>
      <c r="H1031" s="119" t="s">
        <v>1080</v>
      </c>
      <c r="I1031" s="71">
        <v>0.9</v>
      </c>
      <c r="J1031" s="72">
        <v>0.926829268292683</v>
      </c>
      <c r="K1031" s="72">
        <v>0.976190476190476</v>
      </c>
      <c r="L1031" s="73">
        <v>0.931818181818182</v>
      </c>
      <c r="M1031" s="72">
        <v>0.835443037974684</v>
      </c>
      <c r="N1031" s="74">
        <v>0.9</v>
      </c>
      <c r="O1031" s="72">
        <v>0.964884592621819</v>
      </c>
      <c r="P1031" s="72">
        <v>0.974015428339423</v>
      </c>
      <c r="Q1031" s="72">
        <v>0.963768115942029</v>
      </c>
      <c r="R1031" s="72">
        <v>0.971446151041429</v>
      </c>
      <c r="S1031" s="74">
        <v>0.9</v>
      </c>
      <c r="T1031" s="72">
        <v>0.914973367528112</v>
      </c>
      <c r="U1031" s="72">
        <v>0.949857896873731</v>
      </c>
      <c r="V1031" s="72">
        <v>0.960997442455243</v>
      </c>
      <c r="W1031" s="72">
        <v>0.942823936921745</v>
      </c>
      <c r="X1031" s="74">
        <v>0.92</v>
      </c>
      <c r="Y1031" s="74">
        <v>1</v>
      </c>
      <c r="Z1031" s="74">
        <v>0</v>
      </c>
      <c r="AA1031" s="74">
        <v>0</v>
      </c>
      <c r="AB1031" s="74">
        <v>0.25</v>
      </c>
      <c r="AC1031" s="74">
        <v>0.92</v>
      </c>
      <c r="AD1031" s="72">
        <v>0.998607630186577</v>
      </c>
      <c r="AE1031" s="72">
        <v>0.999186826590771</v>
      </c>
      <c r="AF1031" s="72">
        <v>0.99848828420257</v>
      </c>
      <c r="AG1031" s="72">
        <v>0.998731212180363</v>
      </c>
      <c r="AH1031" s="74">
        <v>0.92</v>
      </c>
      <c r="AI1031" s="72">
        <v>0.972988958990536</v>
      </c>
      <c r="AJ1031" s="72">
        <v>0.988636363636364</v>
      </c>
      <c r="AK1031" s="72">
        <v>0.990198167483486</v>
      </c>
      <c r="AL1031" s="72">
        <v>0.985443859769015</v>
      </c>
      <c r="AM1031" s="71">
        <v>0.99</v>
      </c>
      <c r="AN1031" s="76">
        <v>1</v>
      </c>
      <c r="AO1031" s="76">
        <v>1</v>
      </c>
      <c r="AP1031" s="76">
        <v>1</v>
      </c>
      <c r="AQ1031" s="76">
        <v>1</v>
      </c>
      <c r="AR1031" s="96">
        <v>0.0656418488929858</v>
      </c>
      <c r="AS1031" s="80">
        <v>0.166666666666667</v>
      </c>
      <c r="AT1031" s="80">
        <v>0.235294117647059</v>
      </c>
      <c r="AU1031" s="80">
        <v>0.0526315789473684</v>
      </c>
      <c r="AV1031" s="80">
        <v>0.127388535031847</v>
      </c>
      <c r="AW1031" s="36"/>
      <c r="AX1031" s="34"/>
    </row>
    <row r="1032" ht="14.5" spans="1:50">
      <c r="A1032" s="32"/>
      <c r="B1032" s="36"/>
      <c r="C1032" s="115" t="s">
        <v>949</v>
      </c>
      <c r="D1032" s="69" t="s">
        <v>23</v>
      </c>
      <c r="E1032" s="118" t="s">
        <v>1081</v>
      </c>
      <c r="F1032" s="119" t="s">
        <v>1081</v>
      </c>
      <c r="G1032" s="119" t="s">
        <v>1081</v>
      </c>
      <c r="H1032" s="119" t="s">
        <v>1081</v>
      </c>
      <c r="I1032" s="71">
        <v>0.9</v>
      </c>
      <c r="J1032" s="72">
        <v>0.857142857142857</v>
      </c>
      <c r="K1032" s="72">
        <v>0.838709677419355</v>
      </c>
      <c r="L1032" s="73">
        <v>0.838709677419355</v>
      </c>
      <c r="M1032" s="72">
        <v>0.874172185430464</v>
      </c>
      <c r="N1032" s="74">
        <v>0.9</v>
      </c>
      <c r="O1032" s="72">
        <v>0.86374695863747</v>
      </c>
      <c r="P1032" s="72">
        <v>0.904920553562276</v>
      </c>
      <c r="Q1032" s="72">
        <v>0.854863612969635</v>
      </c>
      <c r="R1032" s="72">
        <v>0.898604574353893</v>
      </c>
      <c r="S1032" s="74">
        <v>0.9</v>
      </c>
      <c r="T1032" s="72">
        <v>0.747931873479319</v>
      </c>
      <c r="U1032" s="72">
        <v>0.769605330599692</v>
      </c>
      <c r="V1032" s="72">
        <v>0.744467318579516</v>
      </c>
      <c r="W1032" s="72">
        <v>0.780337434288388</v>
      </c>
      <c r="X1032" s="74">
        <v>0.92</v>
      </c>
      <c r="Y1032" s="74">
        <v>0</v>
      </c>
      <c r="Z1032" s="74">
        <v>0</v>
      </c>
      <c r="AA1032" s="74">
        <v>0</v>
      </c>
      <c r="AB1032" s="74">
        <v>0</v>
      </c>
      <c r="AC1032" s="74">
        <v>0.92</v>
      </c>
      <c r="AD1032" s="72">
        <v>0.999647017296152</v>
      </c>
      <c r="AE1032" s="72">
        <v>0.998281196287384</v>
      </c>
      <c r="AF1032" s="72">
        <v>0.99931577146767</v>
      </c>
      <c r="AG1032" s="72">
        <v>0.989476058032023</v>
      </c>
      <c r="AH1032" s="74">
        <v>0.92</v>
      </c>
      <c r="AI1032" s="72">
        <v>0.949890537582097</v>
      </c>
      <c r="AJ1032" s="72">
        <v>0.942337262942081</v>
      </c>
      <c r="AK1032" s="72">
        <v>0.915079773546063</v>
      </c>
      <c r="AL1032" s="72">
        <v>0.951510815124663</v>
      </c>
      <c r="AM1032" s="71">
        <v>0.99</v>
      </c>
      <c r="AN1032" s="76">
        <v>1</v>
      </c>
      <c r="AO1032" s="76">
        <v>1</v>
      </c>
      <c r="AP1032" s="76">
        <v>1</v>
      </c>
      <c r="AQ1032" s="76">
        <v>1</v>
      </c>
      <c r="AR1032" s="96">
        <v>0.0656418488929858</v>
      </c>
      <c r="AS1032" s="80">
        <v>0.153846153846154</v>
      </c>
      <c r="AT1032" s="80">
        <v>0</v>
      </c>
      <c r="AU1032" s="80">
        <v>0</v>
      </c>
      <c r="AV1032" s="80">
        <v>0.0305343511450382</v>
      </c>
      <c r="AW1032" s="36"/>
      <c r="AX1032" s="34"/>
    </row>
    <row r="1033" ht="14.5" spans="1:50">
      <c r="A1033" s="32"/>
      <c r="B1033" s="36"/>
      <c r="C1033" s="115" t="s">
        <v>949</v>
      </c>
      <c r="D1033" s="69" t="s">
        <v>23</v>
      </c>
      <c r="E1033" s="122" t="s">
        <v>1082</v>
      </c>
      <c r="F1033" s="123" t="s">
        <v>1082</v>
      </c>
      <c r="G1033" s="123" t="s">
        <v>1082</v>
      </c>
      <c r="H1033" s="123" t="s">
        <v>1082</v>
      </c>
      <c r="I1033" s="71">
        <v>0.9</v>
      </c>
      <c r="J1033" s="72">
        <v>0.954545454545455</v>
      </c>
      <c r="K1033" s="72">
        <v>1</v>
      </c>
      <c r="L1033" s="73">
        <v>0.875</v>
      </c>
      <c r="M1033" s="72">
        <v>0.951219512195122</v>
      </c>
      <c r="N1033" s="74">
        <v>0.9</v>
      </c>
      <c r="O1033" s="72">
        <v>0.947817189631651</v>
      </c>
      <c r="P1033" s="72">
        <v>0.954111600587372</v>
      </c>
      <c r="Q1033" s="72">
        <v>0.956930305403289</v>
      </c>
      <c r="R1033" s="72">
        <v>0.947018807523009</v>
      </c>
      <c r="S1033" s="74">
        <v>0.9</v>
      </c>
      <c r="T1033" s="72">
        <v>0.899386084583902</v>
      </c>
      <c r="U1033" s="72">
        <v>0.893538913362702</v>
      </c>
      <c r="V1033" s="72">
        <v>0.927956147220047</v>
      </c>
      <c r="W1033" s="72">
        <v>0.897839135654262</v>
      </c>
      <c r="X1033" s="74">
        <v>0.92</v>
      </c>
      <c r="Y1033" s="74">
        <v>0.86426116838488</v>
      </c>
      <c r="Z1033" s="74">
        <v>0.867494824016563</v>
      </c>
      <c r="AA1033" s="74">
        <v>0.92382271468144</v>
      </c>
      <c r="AB1033" s="74">
        <v>0.898968269417948</v>
      </c>
      <c r="AC1033" s="74">
        <v>0.92</v>
      </c>
      <c r="AD1033" s="72">
        <v>0.993231516834432</v>
      </c>
      <c r="AE1033" s="72">
        <v>0.860783653306388</v>
      </c>
      <c r="AF1033" s="72">
        <v>0.949703440094899</v>
      </c>
      <c r="AG1033" s="72">
        <v>0.92389654163823</v>
      </c>
      <c r="AH1033" s="74">
        <v>0.92</v>
      </c>
      <c r="AI1033" s="72">
        <v>0.94226393629124</v>
      </c>
      <c r="AJ1033" s="72">
        <v>0.956359102244389</v>
      </c>
      <c r="AK1033" s="72">
        <v>0.970103721781574</v>
      </c>
      <c r="AL1033" s="72">
        <v>0.957158027477268</v>
      </c>
      <c r="AM1033" s="71">
        <v>0.99</v>
      </c>
      <c r="AN1033" s="76">
        <v>1</v>
      </c>
      <c r="AO1033" s="76">
        <v>1</v>
      </c>
      <c r="AP1033" s="76">
        <v>1</v>
      </c>
      <c r="AQ1033" s="76">
        <v>1</v>
      </c>
      <c r="AR1033" s="96">
        <v>0.0656418488929858</v>
      </c>
      <c r="AS1033" s="80">
        <v>0.111111111111111</v>
      </c>
      <c r="AT1033" s="80">
        <v>0</v>
      </c>
      <c r="AU1033" s="80">
        <v>0</v>
      </c>
      <c r="AV1033" s="80">
        <v>0.0147058823529412</v>
      </c>
      <c r="AW1033" s="36"/>
      <c r="AX1033" s="34"/>
    </row>
    <row r="1034" ht="14.5" spans="1:50">
      <c r="A1034" s="32"/>
      <c r="B1034" s="36"/>
      <c r="C1034" s="115" t="s">
        <v>949</v>
      </c>
      <c r="D1034" s="69" t="s">
        <v>23</v>
      </c>
      <c r="E1034" s="118" t="s">
        <v>1083</v>
      </c>
      <c r="F1034" s="119" t="s">
        <v>1083</v>
      </c>
      <c r="G1034" s="119" t="s">
        <v>1083</v>
      </c>
      <c r="H1034" s="119" t="s">
        <v>1083</v>
      </c>
      <c r="I1034" s="71">
        <v>0.9</v>
      </c>
      <c r="J1034" s="72">
        <v>0.948717948717949</v>
      </c>
      <c r="K1034" s="72">
        <v>0.947368421052632</v>
      </c>
      <c r="L1034" s="73">
        <v>0.951219512195122</v>
      </c>
      <c r="M1034" s="72">
        <v>0.974930362116992</v>
      </c>
      <c r="N1034" s="74">
        <v>0.9</v>
      </c>
      <c r="O1034" s="72">
        <v>0.930423509075194</v>
      </c>
      <c r="P1034" s="72">
        <v>0.937035417577613</v>
      </c>
      <c r="Q1034" s="72">
        <v>0.967118877902966</v>
      </c>
      <c r="R1034" s="72">
        <v>0.93534018967545</v>
      </c>
      <c r="S1034" s="74">
        <v>0.9</v>
      </c>
      <c r="T1034" s="72">
        <v>0.885479688850475</v>
      </c>
      <c r="U1034" s="72">
        <v>0.89790118058592</v>
      </c>
      <c r="V1034" s="72">
        <v>0.942515520809382</v>
      </c>
      <c r="W1034" s="72">
        <v>0.90621324725371</v>
      </c>
      <c r="X1034" s="74">
        <v>0.92</v>
      </c>
      <c r="Y1034" s="74">
        <v>0</v>
      </c>
      <c r="Z1034" s="74">
        <v>0</v>
      </c>
      <c r="AA1034" s="74">
        <v>0</v>
      </c>
      <c r="AB1034" s="74">
        <v>0</v>
      </c>
      <c r="AC1034" s="74">
        <v>0.92</v>
      </c>
      <c r="AD1034" s="72">
        <v>0.999653259361997</v>
      </c>
      <c r="AE1034" s="72">
        <v>0.998260004971414</v>
      </c>
      <c r="AF1034" s="72">
        <v>0.993630573248408</v>
      </c>
      <c r="AG1034" s="72">
        <v>0.996795701708959</v>
      </c>
      <c r="AH1034" s="74">
        <v>0.92</v>
      </c>
      <c r="AI1034" s="72">
        <v>0.961330740980773</v>
      </c>
      <c r="AJ1034" s="72">
        <v>0.971147540983607</v>
      </c>
      <c r="AK1034" s="72">
        <v>0.982544786403307</v>
      </c>
      <c r="AL1034" s="72">
        <v>0.970633848616739</v>
      </c>
      <c r="AM1034" s="71">
        <v>0.99</v>
      </c>
      <c r="AN1034" s="76">
        <v>1</v>
      </c>
      <c r="AO1034" s="76">
        <v>1</v>
      </c>
      <c r="AP1034" s="76">
        <v>1</v>
      </c>
      <c r="AQ1034" s="76">
        <v>1</v>
      </c>
      <c r="AR1034" s="96">
        <v>0.0656418488929858</v>
      </c>
      <c r="AS1034" s="80">
        <v>0.0714285714285714</v>
      </c>
      <c r="AT1034" s="80">
        <v>0</v>
      </c>
      <c r="AU1034" s="80">
        <v>0</v>
      </c>
      <c r="AV1034" s="80">
        <v>0.0472972972972973</v>
      </c>
      <c r="AW1034" s="36"/>
      <c r="AX1034" s="34"/>
    </row>
    <row r="1035" ht="14.5" spans="1:50">
      <c r="A1035" s="32"/>
      <c r="B1035" s="36"/>
      <c r="C1035" s="115" t="s">
        <v>949</v>
      </c>
      <c r="D1035" s="69" t="s">
        <v>23</v>
      </c>
      <c r="E1035" s="118" t="s">
        <v>1084</v>
      </c>
      <c r="F1035" s="119" t="s">
        <v>1084</v>
      </c>
      <c r="G1035" s="119" t="s">
        <v>1084</v>
      </c>
      <c r="H1035" s="119" t="s">
        <v>1084</v>
      </c>
      <c r="I1035" s="71">
        <v>0.9</v>
      </c>
      <c r="J1035" s="72">
        <v>0</v>
      </c>
      <c r="K1035" s="72">
        <v>0</v>
      </c>
      <c r="L1035" s="73">
        <v>0</v>
      </c>
      <c r="M1035" s="72">
        <v>0</v>
      </c>
      <c r="N1035" s="74">
        <v>0.9</v>
      </c>
      <c r="O1035" s="72">
        <v>1</v>
      </c>
      <c r="P1035" s="72">
        <v>1</v>
      </c>
      <c r="Q1035" s="72">
        <v>0</v>
      </c>
      <c r="R1035" s="72">
        <v>1</v>
      </c>
      <c r="S1035" s="74">
        <v>0.9</v>
      </c>
      <c r="T1035" s="72">
        <v>1</v>
      </c>
      <c r="U1035" s="72">
        <v>1</v>
      </c>
      <c r="V1035" s="72">
        <v>0</v>
      </c>
      <c r="W1035" s="72">
        <v>1</v>
      </c>
      <c r="X1035" s="74">
        <v>0.92</v>
      </c>
      <c r="Y1035" s="74">
        <v>0</v>
      </c>
      <c r="Z1035" s="74">
        <v>0</v>
      </c>
      <c r="AA1035" s="74">
        <v>0</v>
      </c>
      <c r="AB1035" s="74">
        <v>0</v>
      </c>
      <c r="AC1035" s="74">
        <v>0.92</v>
      </c>
      <c r="AD1035" s="72">
        <v>1</v>
      </c>
      <c r="AE1035" s="72">
        <v>1</v>
      </c>
      <c r="AF1035" s="72">
        <v>1</v>
      </c>
      <c r="AG1035" s="72">
        <v>0.999095329639263</v>
      </c>
      <c r="AH1035" s="74">
        <v>0.92</v>
      </c>
      <c r="AI1035" s="72">
        <v>1</v>
      </c>
      <c r="AJ1035" s="72">
        <v>1</v>
      </c>
      <c r="AK1035" s="72">
        <v>0</v>
      </c>
      <c r="AL1035" s="72">
        <v>1</v>
      </c>
      <c r="AM1035" s="71">
        <v>0.99</v>
      </c>
      <c r="AN1035" s="76">
        <v>0</v>
      </c>
      <c r="AO1035" s="76">
        <v>1</v>
      </c>
      <c r="AP1035" s="76">
        <v>1</v>
      </c>
      <c r="AQ1035" s="76">
        <v>1</v>
      </c>
      <c r="AR1035" s="96">
        <v>0.0656418488929858</v>
      </c>
      <c r="AS1035" s="80">
        <v>0</v>
      </c>
      <c r="AT1035" s="80">
        <v>0</v>
      </c>
      <c r="AU1035" s="80">
        <v>0</v>
      </c>
      <c r="AV1035" s="80">
        <v>0</v>
      </c>
      <c r="AW1035" s="36"/>
      <c r="AX1035" s="34"/>
    </row>
    <row r="1036" ht="14.5" spans="1:50">
      <c r="A1036" s="32"/>
      <c r="B1036" s="36"/>
      <c r="C1036" s="115" t="s">
        <v>949</v>
      </c>
      <c r="D1036" s="69" t="s">
        <v>23</v>
      </c>
      <c r="E1036" s="118" t="s">
        <v>1085</v>
      </c>
      <c r="F1036" s="119" t="s">
        <v>1085</v>
      </c>
      <c r="G1036" s="119" t="s">
        <v>1085</v>
      </c>
      <c r="H1036" s="119" t="s">
        <v>1085</v>
      </c>
      <c r="I1036" s="71">
        <v>0.9</v>
      </c>
      <c r="J1036" s="72">
        <v>1</v>
      </c>
      <c r="K1036" s="72">
        <v>1</v>
      </c>
      <c r="L1036" s="73">
        <v>1</v>
      </c>
      <c r="M1036" s="72">
        <v>0.96969696969697</v>
      </c>
      <c r="N1036" s="74">
        <v>0.9</v>
      </c>
      <c r="O1036" s="72">
        <v>0.995913601868068</v>
      </c>
      <c r="P1036" s="72">
        <v>0.988446726572529</v>
      </c>
      <c r="Q1036" s="72">
        <v>0.998842592592593</v>
      </c>
      <c r="R1036" s="72">
        <v>0.994103935280406</v>
      </c>
      <c r="S1036" s="74">
        <v>0.9</v>
      </c>
      <c r="T1036" s="72">
        <v>0.913601868067717</v>
      </c>
      <c r="U1036" s="72">
        <v>0.951219512195122</v>
      </c>
      <c r="V1036" s="72">
        <v>0.927662037037037</v>
      </c>
      <c r="W1036" s="72">
        <v>0.931852461264226</v>
      </c>
      <c r="X1036" s="74">
        <v>0.92</v>
      </c>
      <c r="Y1036" s="74">
        <v>0.944297082228117</v>
      </c>
      <c r="Z1036" s="74">
        <v>0.963888888888889</v>
      </c>
      <c r="AA1036" s="74">
        <v>0.966745843230404</v>
      </c>
      <c r="AB1036" s="74">
        <v>0.951793400286944</v>
      </c>
      <c r="AC1036" s="74">
        <v>0.92</v>
      </c>
      <c r="AD1036" s="72">
        <v>0.996970614965162</v>
      </c>
      <c r="AE1036" s="72">
        <v>0.998650699949401</v>
      </c>
      <c r="AF1036" s="72">
        <v>0.999804228660924</v>
      </c>
      <c r="AG1036" s="72">
        <v>0.998975122314271</v>
      </c>
      <c r="AH1036" s="74">
        <v>0.92</v>
      </c>
      <c r="AI1036" s="72">
        <v>0.963157894736842</v>
      </c>
      <c r="AJ1036" s="72">
        <v>0.978623566214807</v>
      </c>
      <c r="AK1036" s="72">
        <v>0.979990693345742</v>
      </c>
      <c r="AL1036" s="72">
        <v>0.972335952196525</v>
      </c>
      <c r="AM1036" s="71">
        <v>0.99</v>
      </c>
      <c r="AN1036" s="76">
        <v>1</v>
      </c>
      <c r="AO1036" s="76">
        <v>1</v>
      </c>
      <c r="AP1036" s="76">
        <v>1</v>
      </c>
      <c r="AQ1036" s="76">
        <v>1</v>
      </c>
      <c r="AR1036" s="96">
        <v>0.0656418488929858</v>
      </c>
      <c r="AS1036" s="80">
        <v>0.0645161290322581</v>
      </c>
      <c r="AT1036" s="80">
        <v>0</v>
      </c>
      <c r="AU1036" s="80">
        <v>0</v>
      </c>
      <c r="AV1036" s="80">
        <v>0.0282485875706215</v>
      </c>
      <c r="AW1036" s="36"/>
      <c r="AX1036" s="34"/>
    </row>
    <row r="1037" ht="14.5" spans="1:50">
      <c r="A1037" s="32"/>
      <c r="B1037" s="36"/>
      <c r="C1037" s="115" t="s">
        <v>949</v>
      </c>
      <c r="D1037" s="69" t="s">
        <v>23</v>
      </c>
      <c r="E1037" s="118" t="s">
        <v>1086</v>
      </c>
      <c r="F1037" s="119" t="s">
        <v>1086</v>
      </c>
      <c r="G1037" s="119" t="s">
        <v>1086</v>
      </c>
      <c r="H1037" s="119" t="s">
        <v>1086</v>
      </c>
      <c r="I1037" s="71">
        <v>0.9</v>
      </c>
      <c r="J1037" s="72">
        <v>0.92</v>
      </c>
      <c r="K1037" s="72">
        <v>0.903225806451613</v>
      </c>
      <c r="L1037" s="73">
        <v>0.9375</v>
      </c>
      <c r="M1037" s="72">
        <v>0.907749077490775</v>
      </c>
      <c r="N1037" s="74">
        <v>0.9</v>
      </c>
      <c r="O1037" s="72">
        <v>0.727140361094933</v>
      </c>
      <c r="P1037" s="72">
        <v>0.836605255209906</v>
      </c>
      <c r="Q1037" s="72">
        <v>0.82061191626409</v>
      </c>
      <c r="R1037" s="72">
        <v>0.798918437895746</v>
      </c>
      <c r="S1037" s="74">
        <v>0.9</v>
      </c>
      <c r="T1037" s="72">
        <v>0.663075131042516</v>
      </c>
      <c r="U1037" s="72">
        <v>0.86892177589852</v>
      </c>
      <c r="V1037" s="72">
        <v>0.892431561996779</v>
      </c>
      <c r="W1037" s="72">
        <v>0.827942636136496</v>
      </c>
      <c r="X1037" s="74">
        <v>0.92</v>
      </c>
      <c r="Y1037" s="74">
        <v>0.736543909348442</v>
      </c>
      <c r="Z1037" s="74">
        <v>0.841149773071104</v>
      </c>
      <c r="AA1037" s="74">
        <v>0.908291457286432</v>
      </c>
      <c r="AB1037" s="74">
        <v>0.872109485606418</v>
      </c>
      <c r="AC1037" s="74">
        <v>0.92</v>
      </c>
      <c r="AD1037" s="72">
        <v>0.994837758112094</v>
      </c>
      <c r="AE1037" s="72">
        <v>0.955667668527265</v>
      </c>
      <c r="AF1037" s="72">
        <v>0.964377840560128</v>
      </c>
      <c r="AG1037" s="72">
        <v>0.922815956575174</v>
      </c>
      <c r="AH1037" s="74">
        <v>0.92</v>
      </c>
      <c r="AI1037" s="72">
        <v>0.823515210043457</v>
      </c>
      <c r="AJ1037" s="72">
        <v>0.923057581091275</v>
      </c>
      <c r="AK1037" s="72">
        <v>0.959026888604353</v>
      </c>
      <c r="AL1037" s="72">
        <v>0.930730337078652</v>
      </c>
      <c r="AM1037" s="71">
        <v>0.99</v>
      </c>
      <c r="AN1037" s="76">
        <v>1</v>
      </c>
      <c r="AO1037" s="76">
        <v>1</v>
      </c>
      <c r="AP1037" s="76">
        <v>1</v>
      </c>
      <c r="AQ1037" s="76">
        <v>1</v>
      </c>
      <c r="AR1037" s="96">
        <v>0.0656418488929858</v>
      </c>
      <c r="AS1037" s="80">
        <v>0.0555555555555556</v>
      </c>
      <c r="AT1037" s="80">
        <v>0</v>
      </c>
      <c r="AU1037" s="80">
        <v>0.0555555555555556</v>
      </c>
      <c r="AV1037" s="80">
        <v>0.020746887966805</v>
      </c>
      <c r="AW1037" s="36"/>
      <c r="AX1037" s="34"/>
    </row>
    <row r="1038" ht="14.5" spans="1:50">
      <c r="A1038" s="32"/>
      <c r="B1038" s="36"/>
      <c r="C1038" s="115" t="s">
        <v>949</v>
      </c>
      <c r="D1038" s="69" t="s">
        <v>23</v>
      </c>
      <c r="E1038" s="118" t="s">
        <v>1087</v>
      </c>
      <c r="F1038" s="119" t="s">
        <v>1087</v>
      </c>
      <c r="G1038" s="119" t="s">
        <v>1087</v>
      </c>
      <c r="H1038" s="119" t="s">
        <v>1087</v>
      </c>
      <c r="I1038" s="71">
        <v>0.9</v>
      </c>
      <c r="J1038" s="72">
        <v>0.958333333333333</v>
      </c>
      <c r="K1038" s="72">
        <v>1</v>
      </c>
      <c r="L1038" s="73">
        <v>0.928571428571429</v>
      </c>
      <c r="M1038" s="72">
        <v>0.943089430894309</v>
      </c>
      <c r="N1038" s="74">
        <v>0.9</v>
      </c>
      <c r="O1038" s="72">
        <v>0.88708430007734</v>
      </c>
      <c r="P1038" s="72">
        <v>0.98121682319314</v>
      </c>
      <c r="Q1038" s="72">
        <v>0.953211736716891</v>
      </c>
      <c r="R1038" s="72">
        <v>0.951367781155015</v>
      </c>
      <c r="S1038" s="74">
        <v>0.9</v>
      </c>
      <c r="T1038" s="72">
        <v>0.655065738592421</v>
      </c>
      <c r="U1038" s="72">
        <v>0.881992650061249</v>
      </c>
      <c r="V1038" s="72">
        <v>0.868358445678033</v>
      </c>
      <c r="W1038" s="72">
        <v>0.859257301440465</v>
      </c>
      <c r="X1038" s="74">
        <v>0.92</v>
      </c>
      <c r="Y1038" s="74">
        <v>0.752961082910321</v>
      </c>
      <c r="Z1038" s="74">
        <v>0.893967093235832</v>
      </c>
      <c r="AA1038" s="74">
        <v>0.929745889387145</v>
      </c>
      <c r="AB1038" s="74">
        <v>0.902134204960584</v>
      </c>
      <c r="AC1038" s="74">
        <v>0.92</v>
      </c>
      <c r="AD1038" s="72">
        <v>0.982980832782551</v>
      </c>
      <c r="AE1038" s="72">
        <v>0.928901505149195</v>
      </c>
      <c r="AF1038" s="72">
        <v>0.973748639825898</v>
      </c>
      <c r="AG1038" s="72">
        <v>0.963267841888639</v>
      </c>
      <c r="AH1038" s="74">
        <v>0.92</v>
      </c>
      <c r="AI1038" s="72">
        <v>0.893925086559647</v>
      </c>
      <c r="AJ1038" s="72">
        <v>0.954606141522029</v>
      </c>
      <c r="AK1038" s="72">
        <v>0.964610084559975</v>
      </c>
      <c r="AL1038" s="72">
        <v>0.953307532430302</v>
      </c>
      <c r="AM1038" s="71">
        <v>0.99</v>
      </c>
      <c r="AN1038" s="76">
        <v>1</v>
      </c>
      <c r="AO1038" s="76">
        <v>1</v>
      </c>
      <c r="AP1038" s="76">
        <v>1</v>
      </c>
      <c r="AQ1038" s="76">
        <v>1</v>
      </c>
      <c r="AR1038" s="96">
        <v>0.0656418488929858</v>
      </c>
      <c r="AS1038" s="80">
        <v>0</v>
      </c>
      <c r="AT1038" s="80">
        <v>0</v>
      </c>
      <c r="AU1038" s="80">
        <v>0.0588235294117647</v>
      </c>
      <c r="AV1038" s="80">
        <v>0.021978021978022</v>
      </c>
      <c r="AW1038" s="36"/>
      <c r="AX1038" s="34"/>
    </row>
    <row r="1039" ht="14.5" spans="1:50">
      <c r="A1039" s="32"/>
      <c r="B1039" s="36"/>
      <c r="C1039" s="115" t="s">
        <v>949</v>
      </c>
      <c r="D1039" s="69" t="s">
        <v>23</v>
      </c>
      <c r="E1039" s="118" t="s">
        <v>1088</v>
      </c>
      <c r="F1039" s="119" t="s">
        <v>1088</v>
      </c>
      <c r="G1039" s="119" t="s">
        <v>1088</v>
      </c>
      <c r="H1039" s="119" t="s">
        <v>1088</v>
      </c>
      <c r="I1039" s="71">
        <v>0.9</v>
      </c>
      <c r="J1039" s="72">
        <v>0</v>
      </c>
      <c r="K1039" s="72">
        <v>0</v>
      </c>
      <c r="L1039" s="73">
        <v>0</v>
      </c>
      <c r="M1039" s="72">
        <v>0</v>
      </c>
      <c r="N1039" s="74">
        <v>0.9</v>
      </c>
      <c r="O1039" s="72">
        <v>0</v>
      </c>
      <c r="P1039" s="72">
        <v>0</v>
      </c>
      <c r="Q1039" s="72">
        <v>0</v>
      </c>
      <c r="R1039" s="72">
        <v>0</v>
      </c>
      <c r="S1039" s="74">
        <v>0.9</v>
      </c>
      <c r="T1039" s="72">
        <v>0</v>
      </c>
      <c r="U1039" s="72">
        <v>0</v>
      </c>
      <c r="V1039" s="72">
        <v>0</v>
      </c>
      <c r="W1039" s="72">
        <v>0</v>
      </c>
      <c r="X1039" s="74">
        <v>0.92</v>
      </c>
      <c r="Y1039" s="74">
        <v>0</v>
      </c>
      <c r="Z1039" s="74">
        <v>0</v>
      </c>
      <c r="AA1039" s="74">
        <v>0</v>
      </c>
      <c r="AB1039" s="74">
        <v>0</v>
      </c>
      <c r="AC1039" s="74">
        <v>0.92</v>
      </c>
      <c r="AD1039" s="72">
        <v>1</v>
      </c>
      <c r="AE1039" s="72">
        <v>1</v>
      </c>
      <c r="AF1039" s="72">
        <v>1</v>
      </c>
      <c r="AG1039" s="72">
        <v>0.999530516431925</v>
      </c>
      <c r="AH1039" s="74">
        <v>0.92</v>
      </c>
      <c r="AI1039" s="72">
        <v>0</v>
      </c>
      <c r="AJ1039" s="72">
        <v>0</v>
      </c>
      <c r="AK1039" s="72">
        <v>0</v>
      </c>
      <c r="AL1039" s="72">
        <v>0</v>
      </c>
      <c r="AM1039" s="71">
        <v>0.99</v>
      </c>
      <c r="AN1039" s="76">
        <v>0</v>
      </c>
      <c r="AO1039" s="76">
        <v>0</v>
      </c>
      <c r="AP1039" s="76">
        <v>1</v>
      </c>
      <c r="AQ1039" s="76">
        <v>1</v>
      </c>
      <c r="AR1039" s="96">
        <v>0.0656418488929858</v>
      </c>
      <c r="AS1039" s="80">
        <v>0</v>
      </c>
      <c r="AT1039" s="80">
        <v>0</v>
      </c>
      <c r="AU1039" s="80">
        <v>0</v>
      </c>
      <c r="AV1039" s="80">
        <v>0</v>
      </c>
      <c r="AW1039" s="36"/>
      <c r="AX1039" s="34"/>
    </row>
    <row r="1040" ht="14.5" spans="1:50">
      <c r="A1040" s="32"/>
      <c r="B1040" s="36"/>
      <c r="C1040" s="115" t="s">
        <v>949</v>
      </c>
      <c r="D1040" s="69" t="s">
        <v>23</v>
      </c>
      <c r="E1040" s="118" t="s">
        <v>1089</v>
      </c>
      <c r="F1040" s="119" t="s">
        <v>1089</v>
      </c>
      <c r="G1040" s="119" t="s">
        <v>1089</v>
      </c>
      <c r="H1040" s="119" t="s">
        <v>1089</v>
      </c>
      <c r="I1040" s="71">
        <v>0.9</v>
      </c>
      <c r="J1040" s="72">
        <v>0.794117647058823</v>
      </c>
      <c r="K1040" s="72">
        <v>0.944444444444444</v>
      </c>
      <c r="L1040" s="73">
        <v>0.914285714285714</v>
      </c>
      <c r="M1040" s="72">
        <v>0.864779874213837</v>
      </c>
      <c r="N1040" s="74">
        <v>0.9</v>
      </c>
      <c r="O1040" s="72">
        <v>0.629010145324925</v>
      </c>
      <c r="P1040" s="72">
        <v>0.869847543760587</v>
      </c>
      <c r="Q1040" s="72">
        <v>0.740256273358249</v>
      </c>
      <c r="R1040" s="72">
        <v>0.777032156195913</v>
      </c>
      <c r="S1040" s="74">
        <v>0.9</v>
      </c>
      <c r="T1040" s="72">
        <v>0.677543186180422</v>
      </c>
      <c r="U1040" s="72">
        <v>0.84669678147939</v>
      </c>
      <c r="V1040" s="72">
        <v>0.867592098238121</v>
      </c>
      <c r="W1040" s="72">
        <v>0.813530501320864</v>
      </c>
      <c r="X1040" s="74">
        <v>0.92</v>
      </c>
      <c r="Y1040" s="74">
        <v>0.778054862842893</v>
      </c>
      <c r="Z1040" s="74">
        <v>0.900560224089636</v>
      </c>
      <c r="AA1040" s="74">
        <v>0.922993492407809</v>
      </c>
      <c r="AB1040" s="74">
        <v>0.886297778391058</v>
      </c>
      <c r="AC1040" s="74">
        <v>0.92</v>
      </c>
      <c r="AD1040" s="72">
        <v>0.971603990790484</v>
      </c>
      <c r="AE1040" s="72">
        <v>0.995661183784484</v>
      </c>
      <c r="AF1040" s="72">
        <v>0.997994729001948</v>
      </c>
      <c r="AG1040" s="72">
        <v>0.979881319797736</v>
      </c>
      <c r="AH1040" s="74">
        <v>0.92</v>
      </c>
      <c r="AI1040" s="72">
        <v>0.884070995281959</v>
      </c>
      <c r="AJ1040" s="72">
        <v>0.955378111789573</v>
      </c>
      <c r="AK1040" s="72">
        <v>0.964017991004498</v>
      </c>
      <c r="AL1040" s="72">
        <v>0.942832976765013</v>
      </c>
      <c r="AM1040" s="71">
        <v>0.99</v>
      </c>
      <c r="AN1040" s="76">
        <v>1</v>
      </c>
      <c r="AO1040" s="76">
        <v>1</v>
      </c>
      <c r="AP1040" s="76">
        <v>1</v>
      </c>
      <c r="AQ1040" s="76">
        <v>1</v>
      </c>
      <c r="AR1040" s="96">
        <v>0.0656418488929858</v>
      </c>
      <c r="AS1040" s="80">
        <v>0.05</v>
      </c>
      <c r="AT1040" s="80">
        <v>0.0689655172413793</v>
      </c>
      <c r="AU1040" s="80">
        <v>0.0645161290322581</v>
      </c>
      <c r="AV1040" s="80">
        <v>0.0506329113924051</v>
      </c>
      <c r="AW1040" s="36"/>
      <c r="AX1040" s="34"/>
    </row>
    <row r="1041" ht="14.5" spans="1:50">
      <c r="A1041" s="32"/>
      <c r="B1041" s="36"/>
      <c r="C1041" s="115" t="s">
        <v>949</v>
      </c>
      <c r="D1041" s="69" t="s">
        <v>23</v>
      </c>
      <c r="E1041" s="118" t="s">
        <v>1090</v>
      </c>
      <c r="F1041" s="119" t="s">
        <v>1090</v>
      </c>
      <c r="G1041" s="119" t="s">
        <v>1090</v>
      </c>
      <c r="H1041" s="119" t="s">
        <v>1090</v>
      </c>
      <c r="I1041" s="71">
        <v>0.9</v>
      </c>
      <c r="J1041" s="72">
        <v>0.952380952380952</v>
      </c>
      <c r="K1041" s="72">
        <v>0.952380952380952</v>
      </c>
      <c r="L1041" s="73">
        <v>0.954545454545455</v>
      </c>
      <c r="M1041" s="72">
        <v>0.947089947089947</v>
      </c>
      <c r="N1041" s="74">
        <v>0.9</v>
      </c>
      <c r="O1041" s="72">
        <v>0.995340167753961</v>
      </c>
      <c r="P1041" s="72">
        <v>0.989956958393113</v>
      </c>
      <c r="Q1041" s="72">
        <v>0.990147783251232</v>
      </c>
      <c r="R1041" s="72">
        <v>0.98987074650488</v>
      </c>
      <c r="S1041" s="74">
        <v>0.9</v>
      </c>
      <c r="T1041" s="72">
        <v>0.875582479030755</v>
      </c>
      <c r="U1041" s="72">
        <v>0.90674318507891</v>
      </c>
      <c r="V1041" s="72">
        <v>0.907389162561576</v>
      </c>
      <c r="W1041" s="72">
        <v>0.891268794513321</v>
      </c>
      <c r="X1041" s="74">
        <v>0.92</v>
      </c>
      <c r="Y1041" s="74">
        <v>0.883295194508009</v>
      </c>
      <c r="Z1041" s="74">
        <v>0.916666666666667</v>
      </c>
      <c r="AA1041" s="74">
        <v>0.914225941422594</v>
      </c>
      <c r="AB1041" s="74">
        <v>0.916745283018868</v>
      </c>
      <c r="AC1041" s="74">
        <v>0.92</v>
      </c>
      <c r="AD1041" s="72">
        <v>0.995629717918157</v>
      </c>
      <c r="AE1041" s="72">
        <v>0.996018051499867</v>
      </c>
      <c r="AF1041" s="72">
        <v>0.97123645872245</v>
      </c>
      <c r="AG1041" s="72">
        <v>0.932683883039546</v>
      </c>
      <c r="AH1041" s="74">
        <v>0.92</v>
      </c>
      <c r="AI1041" s="72">
        <v>0.934572202864886</v>
      </c>
      <c r="AJ1041" s="72">
        <v>0.959000390472472</v>
      </c>
      <c r="AK1041" s="72">
        <v>0.96451355661882</v>
      </c>
      <c r="AL1041" s="72">
        <v>0.958917101349312</v>
      </c>
      <c r="AM1041" s="71">
        <v>0.99</v>
      </c>
      <c r="AN1041" s="76">
        <v>1</v>
      </c>
      <c r="AO1041" s="76">
        <v>1</v>
      </c>
      <c r="AP1041" s="76">
        <v>1</v>
      </c>
      <c r="AQ1041" s="76">
        <v>1</v>
      </c>
      <c r="AR1041" s="96">
        <v>0.0656418488929858</v>
      </c>
      <c r="AS1041" s="80">
        <v>0.0588235294117647</v>
      </c>
      <c r="AT1041" s="80">
        <v>0.0476190476190476</v>
      </c>
      <c r="AU1041" s="80">
        <v>0.0909090909090909</v>
      </c>
      <c r="AV1041" s="80">
        <v>0.0393700787401575</v>
      </c>
      <c r="AW1041" s="36"/>
      <c r="AX1041" s="34"/>
    </row>
    <row r="1042" ht="14.5" spans="1:50">
      <c r="A1042" s="32"/>
      <c r="B1042" s="36"/>
      <c r="C1042" s="115" t="s">
        <v>949</v>
      </c>
      <c r="D1042" s="69" t="s">
        <v>23</v>
      </c>
      <c r="E1042" s="118" t="s">
        <v>1091</v>
      </c>
      <c r="F1042" s="119" t="s">
        <v>1091</v>
      </c>
      <c r="G1042" s="119" t="s">
        <v>1091</v>
      </c>
      <c r="H1042" s="119" t="s">
        <v>1091</v>
      </c>
      <c r="I1042" s="71">
        <v>0.9</v>
      </c>
      <c r="J1042" s="72">
        <v>0.939393939393939</v>
      </c>
      <c r="K1042" s="72">
        <v>0.972972972972973</v>
      </c>
      <c r="L1042" s="73">
        <v>0.975</v>
      </c>
      <c r="M1042" s="72">
        <v>0.965014577259475</v>
      </c>
      <c r="N1042" s="74">
        <v>0.9</v>
      </c>
      <c r="O1042" s="72">
        <v>0.67364238410596</v>
      </c>
      <c r="P1042" s="72">
        <v>0.810869565217391</v>
      </c>
      <c r="Q1042" s="72">
        <v>0.870958828405637</v>
      </c>
      <c r="R1042" s="72">
        <v>0.822807551766139</v>
      </c>
      <c r="S1042" s="74">
        <v>0.9</v>
      </c>
      <c r="T1042" s="72">
        <v>0.721059602649007</v>
      </c>
      <c r="U1042" s="72">
        <v>0.857608695652174</v>
      </c>
      <c r="V1042" s="72">
        <v>0.90466979828682</v>
      </c>
      <c r="W1042" s="72">
        <v>0.835079171741778</v>
      </c>
      <c r="X1042" s="74">
        <v>0.92</v>
      </c>
      <c r="Y1042" s="74">
        <v>0.781362007168459</v>
      </c>
      <c r="Z1042" s="74">
        <v>0.887359198998748</v>
      </c>
      <c r="AA1042" s="74">
        <v>0.923509561304837</v>
      </c>
      <c r="AB1042" s="74">
        <v>0.876185388005877</v>
      </c>
      <c r="AC1042" s="74">
        <v>0.92</v>
      </c>
      <c r="AD1042" s="72">
        <v>0.999092382495948</v>
      </c>
      <c r="AE1042" s="72">
        <v>0.983500336366533</v>
      </c>
      <c r="AF1042" s="72">
        <v>0.984742080533522</v>
      </c>
      <c r="AG1042" s="72">
        <v>0.974891868022374</v>
      </c>
      <c r="AH1042" s="74">
        <v>0.92</v>
      </c>
      <c r="AI1042" s="72">
        <v>0.85946649316851</v>
      </c>
      <c r="AJ1042" s="72">
        <v>0.94418396963608</v>
      </c>
      <c r="AK1042" s="72">
        <v>0.958749168330007</v>
      </c>
      <c r="AL1042" s="72">
        <v>0.935280698274152</v>
      </c>
      <c r="AM1042" s="71">
        <v>0.99</v>
      </c>
      <c r="AN1042" s="76">
        <v>1</v>
      </c>
      <c r="AO1042" s="76">
        <v>1</v>
      </c>
      <c r="AP1042" s="76">
        <v>1</v>
      </c>
      <c r="AQ1042" s="76">
        <v>1</v>
      </c>
      <c r="AR1042" s="96">
        <v>0.0656418488929858</v>
      </c>
      <c r="AS1042" s="80">
        <v>0.157894736842105</v>
      </c>
      <c r="AT1042" s="80">
        <v>0.0344827586206897</v>
      </c>
      <c r="AU1042" s="80">
        <v>0.0454545454545455</v>
      </c>
      <c r="AV1042" s="80">
        <v>0.0300751879699248</v>
      </c>
      <c r="AW1042" s="36"/>
      <c r="AX1042" s="34"/>
    </row>
    <row r="1043" ht="14.5" spans="1:50">
      <c r="A1043" s="32"/>
      <c r="B1043" s="36"/>
      <c r="C1043" s="115" t="s">
        <v>949</v>
      </c>
      <c r="D1043" s="69" t="s">
        <v>23</v>
      </c>
      <c r="E1043" s="118" t="s">
        <v>1092</v>
      </c>
      <c r="F1043" s="119" t="s">
        <v>1092</v>
      </c>
      <c r="G1043" s="119" t="s">
        <v>1092</v>
      </c>
      <c r="H1043" s="119" t="s">
        <v>1092</v>
      </c>
      <c r="I1043" s="71">
        <v>0.9</v>
      </c>
      <c r="J1043" s="72">
        <v>0.947368421052632</v>
      </c>
      <c r="K1043" s="72">
        <v>0.951219512195122</v>
      </c>
      <c r="L1043" s="73">
        <v>0.976190476190476</v>
      </c>
      <c r="M1043" s="72">
        <v>0.967567567567568</v>
      </c>
      <c r="N1043" s="74">
        <v>0.9</v>
      </c>
      <c r="O1043" s="72">
        <v>0.753060753060753</v>
      </c>
      <c r="P1043" s="72">
        <v>0.886540330417881</v>
      </c>
      <c r="Q1043" s="72">
        <v>0.933379920801304</v>
      </c>
      <c r="R1043" s="72">
        <v>0.901002946662702</v>
      </c>
      <c r="S1043" s="74">
        <v>0.9</v>
      </c>
      <c r="T1043" s="72">
        <v>0.581196581196581</v>
      </c>
      <c r="U1043" s="72">
        <v>0.816083576287658</v>
      </c>
      <c r="V1043" s="72">
        <v>0.829955741905427</v>
      </c>
      <c r="W1043" s="72">
        <v>0.781838825660296</v>
      </c>
      <c r="X1043" s="74">
        <v>0.92</v>
      </c>
      <c r="Y1043" s="74">
        <v>0.658185840707965</v>
      </c>
      <c r="Z1043" s="74">
        <v>0.821215733015495</v>
      </c>
      <c r="AA1043" s="74">
        <v>0.923076923076923</v>
      </c>
      <c r="AB1043" s="74">
        <v>0.844401357246728</v>
      </c>
      <c r="AC1043" s="74">
        <v>0.92</v>
      </c>
      <c r="AD1043" s="72">
        <v>0.998806682577566</v>
      </c>
      <c r="AE1043" s="72">
        <v>0.99638268679057</v>
      </c>
      <c r="AF1043" s="72">
        <v>0.98870795197908</v>
      </c>
      <c r="AG1043" s="72">
        <v>0.980128565187543</v>
      </c>
      <c r="AH1043" s="74">
        <v>0.92</v>
      </c>
      <c r="AI1043" s="72">
        <v>0.837982422621322</v>
      </c>
      <c r="AJ1043" s="72">
        <v>0.945318805488297</v>
      </c>
      <c r="AK1043" s="72">
        <v>0.963987377018749</v>
      </c>
      <c r="AL1043" s="72">
        <v>0.934785971580739</v>
      </c>
      <c r="AM1043" s="71">
        <v>0.99</v>
      </c>
      <c r="AN1043" s="76">
        <v>1</v>
      </c>
      <c r="AO1043" s="76">
        <v>1</v>
      </c>
      <c r="AP1043" s="76">
        <v>1</v>
      </c>
      <c r="AQ1043" s="76">
        <v>1</v>
      </c>
      <c r="AR1043" s="96">
        <v>0.0656418488929858</v>
      </c>
      <c r="AS1043" s="80">
        <v>0.117647058823529</v>
      </c>
      <c r="AT1043" s="80">
        <v>0.0344827586206897</v>
      </c>
      <c r="AU1043" s="80">
        <v>0.0277777777777778</v>
      </c>
      <c r="AV1043" s="80">
        <v>0.0344827586206897</v>
      </c>
      <c r="AW1043" s="36"/>
      <c r="AX1043" s="34"/>
    </row>
    <row r="1044" ht="14.5" spans="1:50">
      <c r="A1044" s="32"/>
      <c r="B1044" s="36"/>
      <c r="C1044" s="115" t="s">
        <v>949</v>
      </c>
      <c r="D1044" s="69" t="s">
        <v>23</v>
      </c>
      <c r="E1044" s="118" t="s">
        <v>1093</v>
      </c>
      <c r="F1044" s="119" t="s">
        <v>1093</v>
      </c>
      <c r="G1044" s="119" t="s">
        <v>1093</v>
      </c>
      <c r="H1044" s="119" t="s">
        <v>1093</v>
      </c>
      <c r="I1044" s="71">
        <v>0.9</v>
      </c>
      <c r="J1044" s="72">
        <v>0.888888888888889</v>
      </c>
      <c r="K1044" s="72">
        <v>0.8125</v>
      </c>
      <c r="L1044" s="73">
        <v>0.823529411764706</v>
      </c>
      <c r="M1044" s="72">
        <v>0.872611464968153</v>
      </c>
      <c r="N1044" s="74">
        <v>0.9</v>
      </c>
      <c r="O1044" s="72">
        <v>0.89953171562367</v>
      </c>
      <c r="P1044" s="72">
        <v>0.882874889086069</v>
      </c>
      <c r="Q1044" s="72">
        <v>0.864081996434938</v>
      </c>
      <c r="R1044" s="72">
        <v>0.888974854932302</v>
      </c>
      <c r="S1044" s="74">
        <v>0.9</v>
      </c>
      <c r="T1044" s="72">
        <v>0.776926351638995</v>
      </c>
      <c r="U1044" s="72">
        <v>0.739574090505768</v>
      </c>
      <c r="V1044" s="72">
        <v>0.790998217468806</v>
      </c>
      <c r="W1044" s="72">
        <v>0.786847195357834</v>
      </c>
      <c r="X1044" s="74">
        <v>0.92</v>
      </c>
      <c r="Y1044" s="74">
        <v>0</v>
      </c>
      <c r="Z1044" s="74">
        <v>0</v>
      </c>
      <c r="AA1044" s="74">
        <v>0</v>
      </c>
      <c r="AB1044" s="74">
        <v>0</v>
      </c>
      <c r="AC1044" s="74">
        <v>0.92</v>
      </c>
      <c r="AD1044" s="72">
        <v>0.995642701525055</v>
      </c>
      <c r="AE1044" s="72">
        <v>1</v>
      </c>
      <c r="AF1044" s="72">
        <v>1</v>
      </c>
      <c r="AG1044" s="72">
        <v>0.995441884021271</v>
      </c>
      <c r="AH1044" s="74">
        <v>0.92</v>
      </c>
      <c r="AI1044" s="72">
        <v>0.942528735632184</v>
      </c>
      <c r="AJ1044" s="72">
        <v>0.941881100266193</v>
      </c>
      <c r="AK1044" s="72">
        <v>0.948752228163993</v>
      </c>
      <c r="AL1044" s="72">
        <v>0.941588898022339</v>
      </c>
      <c r="AM1044" s="71">
        <v>0.99</v>
      </c>
      <c r="AN1044" s="76">
        <v>1</v>
      </c>
      <c r="AO1044" s="76">
        <v>1</v>
      </c>
      <c r="AP1044" s="76">
        <v>1</v>
      </c>
      <c r="AQ1044" s="76">
        <v>1</v>
      </c>
      <c r="AR1044" s="96">
        <v>0.0656418488929858</v>
      </c>
      <c r="AS1044" s="80">
        <v>0</v>
      </c>
      <c r="AT1044" s="80">
        <v>0</v>
      </c>
      <c r="AU1044" s="80">
        <v>0.142857142857143</v>
      </c>
      <c r="AV1044" s="80">
        <v>0.0545454545454545</v>
      </c>
      <c r="AW1044" s="36"/>
      <c r="AX1044" s="34"/>
    </row>
    <row r="1045" ht="14.5" spans="1:50">
      <c r="A1045" s="32"/>
      <c r="B1045" s="36"/>
      <c r="C1045" s="115" t="s">
        <v>949</v>
      </c>
      <c r="D1045" s="69" t="s">
        <v>23</v>
      </c>
      <c r="E1045" s="118" t="s">
        <v>1094</v>
      </c>
      <c r="F1045" s="119" t="s">
        <v>1094</v>
      </c>
      <c r="G1045" s="119" t="s">
        <v>1094</v>
      </c>
      <c r="H1045" s="119" t="s">
        <v>1094</v>
      </c>
      <c r="I1045" s="71">
        <v>0.9</v>
      </c>
      <c r="J1045" s="72">
        <v>1</v>
      </c>
      <c r="K1045" s="72">
        <v>1</v>
      </c>
      <c r="L1045" s="73">
        <v>0.961538461538462</v>
      </c>
      <c r="M1045" s="72">
        <v>0.96652719665272</v>
      </c>
      <c r="N1045" s="74">
        <v>0.9</v>
      </c>
      <c r="O1045" s="72">
        <v>0.93577694235589</v>
      </c>
      <c r="P1045" s="72">
        <v>0.936244819891616</v>
      </c>
      <c r="Q1045" s="72">
        <v>0.933040243490024</v>
      </c>
      <c r="R1045" s="72">
        <v>0.940368460900602</v>
      </c>
      <c r="S1045" s="74">
        <v>0.9</v>
      </c>
      <c r="T1045" s="72">
        <v>0.911027568922306</v>
      </c>
      <c r="U1045" s="72">
        <v>0.924768887472107</v>
      </c>
      <c r="V1045" s="72">
        <v>0.915454852891444</v>
      </c>
      <c r="W1045" s="72">
        <v>0.913617190034971</v>
      </c>
      <c r="X1045" s="74">
        <v>0.92</v>
      </c>
      <c r="Y1045" s="74">
        <v>0</v>
      </c>
      <c r="Z1045" s="74">
        <v>0</v>
      </c>
      <c r="AA1045" s="74">
        <v>0</v>
      </c>
      <c r="AB1045" s="74">
        <v>0</v>
      </c>
      <c r="AC1045" s="74">
        <v>0.92</v>
      </c>
      <c r="AD1045" s="72">
        <v>0.998644986449865</v>
      </c>
      <c r="AE1045" s="72">
        <v>0.995418098510882</v>
      </c>
      <c r="AF1045" s="72">
        <v>0.9921875</v>
      </c>
      <c r="AG1045" s="72">
        <v>0.988651743883394</v>
      </c>
      <c r="AH1045" s="74">
        <v>0.92</v>
      </c>
      <c r="AI1045" s="72">
        <v>0.939261114589856</v>
      </c>
      <c r="AJ1045" s="72">
        <v>0.961428116034428</v>
      </c>
      <c r="AK1045" s="72">
        <v>0.961460446247465</v>
      </c>
      <c r="AL1045" s="72">
        <v>0.960311452362928</v>
      </c>
      <c r="AM1045" s="71">
        <v>0.99</v>
      </c>
      <c r="AN1045" s="76">
        <v>1</v>
      </c>
      <c r="AO1045" s="76">
        <v>1</v>
      </c>
      <c r="AP1045" s="76">
        <v>1</v>
      </c>
      <c r="AQ1045" s="76">
        <v>1</v>
      </c>
      <c r="AR1045" s="96">
        <v>0.0656418488929858</v>
      </c>
      <c r="AS1045" s="80">
        <v>0</v>
      </c>
      <c r="AT1045" s="80">
        <v>0</v>
      </c>
      <c r="AU1045" s="80">
        <v>0</v>
      </c>
      <c r="AV1045" s="80">
        <v>0.075</v>
      </c>
      <c r="AW1045" s="36"/>
      <c r="AX1045" s="34"/>
    </row>
    <row r="1046" ht="14.5" spans="1:50">
      <c r="A1046" s="32"/>
      <c r="B1046" s="36"/>
      <c r="C1046" s="115" t="s">
        <v>949</v>
      </c>
      <c r="D1046" s="69" t="s">
        <v>23</v>
      </c>
      <c r="E1046" s="122" t="s">
        <v>1095</v>
      </c>
      <c r="F1046" s="123" t="s">
        <v>1095</v>
      </c>
      <c r="G1046" s="123" t="s">
        <v>1095</v>
      </c>
      <c r="H1046" s="123" t="s">
        <v>1095</v>
      </c>
      <c r="I1046" s="71">
        <v>0.9</v>
      </c>
      <c r="J1046" s="72">
        <v>0.966666666666667</v>
      </c>
      <c r="K1046" s="72">
        <v>1</v>
      </c>
      <c r="L1046" s="73">
        <v>1</v>
      </c>
      <c r="M1046" s="72">
        <v>0.980842911877395</v>
      </c>
      <c r="N1046" s="74">
        <v>0.9</v>
      </c>
      <c r="O1046" s="72">
        <v>0.913002139291657</v>
      </c>
      <c r="P1046" s="72">
        <v>0.95788926436184</v>
      </c>
      <c r="Q1046" s="72">
        <v>0.963631606488749</v>
      </c>
      <c r="R1046" s="72">
        <v>0.944808046465505</v>
      </c>
      <c r="S1046" s="74">
        <v>0.9</v>
      </c>
      <c r="T1046" s="72">
        <v>0.895174708818636</v>
      </c>
      <c r="U1046" s="72">
        <v>0.9113595009098</v>
      </c>
      <c r="V1046" s="72">
        <v>0.91156462585034</v>
      </c>
      <c r="W1046" s="72">
        <v>0.909987250318742</v>
      </c>
      <c r="X1046" s="74">
        <v>0.92</v>
      </c>
      <c r="Y1046" s="74">
        <v>0</v>
      </c>
      <c r="Z1046" s="74">
        <v>0</v>
      </c>
      <c r="AA1046" s="74">
        <v>0</v>
      </c>
      <c r="AB1046" s="74">
        <v>1</v>
      </c>
      <c r="AC1046" s="74">
        <v>0.92</v>
      </c>
      <c r="AD1046" s="72">
        <v>0.999090743771595</v>
      </c>
      <c r="AE1046" s="72">
        <v>0.997195606450105</v>
      </c>
      <c r="AF1046" s="72">
        <v>0.99734395750332</v>
      </c>
      <c r="AG1046" s="72">
        <v>0.997142952061393</v>
      </c>
      <c r="AH1046" s="74">
        <v>0.92</v>
      </c>
      <c r="AI1046" s="72">
        <v>0.95888783269962</v>
      </c>
      <c r="AJ1046" s="72">
        <v>0.973745775929296</v>
      </c>
      <c r="AK1046" s="72">
        <v>0.968864468864469</v>
      </c>
      <c r="AL1046" s="72">
        <v>0.969998300186979</v>
      </c>
      <c r="AM1046" s="71">
        <v>0.99</v>
      </c>
      <c r="AN1046" s="76">
        <v>1</v>
      </c>
      <c r="AO1046" s="76">
        <v>1</v>
      </c>
      <c r="AP1046" s="76">
        <v>1</v>
      </c>
      <c r="AQ1046" s="76">
        <v>1</v>
      </c>
      <c r="AR1046" s="96">
        <v>0.0656418488929858</v>
      </c>
      <c r="AS1046" s="80">
        <v>0.272727272727273</v>
      </c>
      <c r="AT1046" s="80">
        <v>0</v>
      </c>
      <c r="AU1046" s="80">
        <v>0</v>
      </c>
      <c r="AV1046" s="80">
        <v>0.0495049504950495</v>
      </c>
      <c r="AW1046" s="36"/>
      <c r="AX1046" s="34"/>
    </row>
    <row r="1047" ht="14.5" spans="1:50">
      <c r="A1047" s="32"/>
      <c r="B1047" s="36"/>
      <c r="C1047" s="115" t="s">
        <v>949</v>
      </c>
      <c r="D1047" s="69" t="s">
        <v>23</v>
      </c>
      <c r="E1047" s="118" t="s">
        <v>1096</v>
      </c>
      <c r="F1047" s="119" t="s">
        <v>1096</v>
      </c>
      <c r="G1047" s="119" t="s">
        <v>1096</v>
      </c>
      <c r="H1047" s="119" t="s">
        <v>1096</v>
      </c>
      <c r="I1047" s="71">
        <v>0.9</v>
      </c>
      <c r="J1047" s="72">
        <v>0.941176470588235</v>
      </c>
      <c r="K1047" s="72">
        <v>0.941176470588235</v>
      </c>
      <c r="L1047" s="73">
        <v>1</v>
      </c>
      <c r="M1047" s="72">
        <v>0.86013986013986</v>
      </c>
      <c r="N1047" s="74">
        <v>0.9</v>
      </c>
      <c r="O1047" s="72">
        <v>0.951264367816092</v>
      </c>
      <c r="P1047" s="72">
        <v>0.952995391705069</v>
      </c>
      <c r="Q1047" s="72">
        <v>0.941259398496241</v>
      </c>
      <c r="R1047" s="72">
        <v>0.935601090138286</v>
      </c>
      <c r="S1047" s="74">
        <v>0.9</v>
      </c>
      <c r="T1047" s="72">
        <v>0.904367816091954</v>
      </c>
      <c r="U1047" s="72">
        <v>0.861290322580645</v>
      </c>
      <c r="V1047" s="72">
        <v>0.896616541353383</v>
      </c>
      <c r="W1047" s="72">
        <v>0.888361764409004</v>
      </c>
      <c r="X1047" s="74">
        <v>0.92</v>
      </c>
      <c r="Y1047" s="74">
        <v>0</v>
      </c>
      <c r="Z1047" s="74">
        <v>0</v>
      </c>
      <c r="AA1047" s="74">
        <v>0</v>
      </c>
      <c r="AB1047" s="74">
        <v>0</v>
      </c>
      <c r="AC1047" s="74">
        <v>0.92</v>
      </c>
      <c r="AD1047" s="72">
        <v>1</v>
      </c>
      <c r="AE1047" s="72">
        <v>0.996336996336996</v>
      </c>
      <c r="AF1047" s="72">
        <v>1</v>
      </c>
      <c r="AG1047" s="72">
        <v>0.993150684931507</v>
      </c>
      <c r="AH1047" s="74">
        <v>0.92</v>
      </c>
      <c r="AI1047" s="72">
        <v>0.963218390804598</v>
      </c>
      <c r="AJ1047" s="72">
        <v>0.970046082949309</v>
      </c>
      <c r="AK1047" s="72">
        <v>0.979323308270677</v>
      </c>
      <c r="AL1047" s="72">
        <v>0.963510649036035</v>
      </c>
      <c r="AM1047" s="71">
        <v>0.99</v>
      </c>
      <c r="AN1047" s="76">
        <v>1</v>
      </c>
      <c r="AO1047" s="76">
        <v>1</v>
      </c>
      <c r="AP1047" s="76">
        <v>1</v>
      </c>
      <c r="AQ1047" s="76">
        <v>1</v>
      </c>
      <c r="AR1047" s="96">
        <v>0.0656418488929858</v>
      </c>
      <c r="AS1047" s="80">
        <v>0</v>
      </c>
      <c r="AT1047" s="80">
        <v>0</v>
      </c>
      <c r="AU1047" s="80">
        <v>0</v>
      </c>
      <c r="AV1047" s="80">
        <v>0.02</v>
      </c>
      <c r="AW1047" s="36"/>
      <c r="AX1047" s="34"/>
    </row>
    <row r="1048" ht="14.5" spans="1:50">
      <c r="A1048" s="32"/>
      <c r="B1048" s="36"/>
      <c r="C1048" s="115" t="s">
        <v>949</v>
      </c>
      <c r="D1048" s="69" t="s">
        <v>23</v>
      </c>
      <c r="E1048" s="118" t="s">
        <v>1097</v>
      </c>
      <c r="F1048" s="119" t="s">
        <v>1097</v>
      </c>
      <c r="G1048" s="119" t="s">
        <v>1097</v>
      </c>
      <c r="H1048" s="119" t="s">
        <v>1097</v>
      </c>
      <c r="I1048" s="71">
        <v>0.9</v>
      </c>
      <c r="J1048" s="72">
        <v>0.909090909090909</v>
      </c>
      <c r="K1048" s="72">
        <v>1</v>
      </c>
      <c r="L1048" s="73">
        <v>0.909090909090909</v>
      </c>
      <c r="M1048" s="72">
        <v>0.979591836734694</v>
      </c>
      <c r="N1048" s="74">
        <v>0.9</v>
      </c>
      <c r="O1048" s="72">
        <v>0.914518900343643</v>
      </c>
      <c r="P1048" s="72">
        <v>0.94938996836873</v>
      </c>
      <c r="Q1048" s="72">
        <v>0.919164396003633</v>
      </c>
      <c r="R1048" s="72">
        <v>0.933253036234066</v>
      </c>
      <c r="S1048" s="74">
        <v>0.9</v>
      </c>
      <c r="T1048" s="72">
        <v>0.882731958762887</v>
      </c>
      <c r="U1048" s="72">
        <v>0.915047446904654</v>
      </c>
      <c r="V1048" s="72">
        <v>0.91008174386921</v>
      </c>
      <c r="W1048" s="72">
        <v>0.908862792331627</v>
      </c>
      <c r="X1048" s="74">
        <v>0.92</v>
      </c>
      <c r="Y1048" s="74">
        <v>0</v>
      </c>
      <c r="Z1048" s="74">
        <v>0</v>
      </c>
      <c r="AA1048" s="74">
        <v>0</v>
      </c>
      <c r="AB1048" s="74">
        <v>0</v>
      </c>
      <c r="AC1048" s="74">
        <v>0.92</v>
      </c>
      <c r="AD1048" s="72">
        <v>0.997740963855422</v>
      </c>
      <c r="AE1048" s="72">
        <v>0.994190652231318</v>
      </c>
      <c r="AF1048" s="72">
        <v>0.995565410199557</v>
      </c>
      <c r="AG1048" s="72">
        <v>0.995263304541655</v>
      </c>
      <c r="AH1048" s="74">
        <v>0.92</v>
      </c>
      <c r="AI1048" s="72">
        <v>0.956633748389867</v>
      </c>
      <c r="AJ1048" s="72">
        <v>0.96249435155897</v>
      </c>
      <c r="AK1048" s="72">
        <v>0.968210717529519</v>
      </c>
      <c r="AL1048" s="72">
        <v>0.963219428972854</v>
      </c>
      <c r="AM1048" s="71">
        <v>0.99</v>
      </c>
      <c r="AN1048" s="76">
        <v>1</v>
      </c>
      <c r="AO1048" s="76">
        <v>1</v>
      </c>
      <c r="AP1048" s="76">
        <v>1</v>
      </c>
      <c r="AQ1048" s="76">
        <v>1</v>
      </c>
      <c r="AR1048" s="96">
        <v>0.0656418488929858</v>
      </c>
      <c r="AS1048" s="80">
        <v>0</v>
      </c>
      <c r="AT1048" s="80">
        <v>0.166666666666667</v>
      </c>
      <c r="AU1048" s="80">
        <v>0.1</v>
      </c>
      <c r="AV1048" s="80">
        <v>0.0545454545454545</v>
      </c>
      <c r="AW1048" s="36"/>
      <c r="AX1048" s="34"/>
    </row>
    <row r="1049" ht="14.5" spans="1:50">
      <c r="A1049" s="32"/>
      <c r="B1049" s="36"/>
      <c r="C1049" s="115" t="s">
        <v>949</v>
      </c>
      <c r="D1049" s="69" t="s">
        <v>23</v>
      </c>
      <c r="E1049" s="118" t="s">
        <v>1098</v>
      </c>
      <c r="F1049" s="119" t="s">
        <v>1098</v>
      </c>
      <c r="G1049" s="119" t="s">
        <v>1098</v>
      </c>
      <c r="H1049" s="119" t="s">
        <v>1098</v>
      </c>
      <c r="I1049" s="71">
        <v>0.9</v>
      </c>
      <c r="J1049" s="72">
        <v>1</v>
      </c>
      <c r="K1049" s="72">
        <v>0.942857142857143</v>
      </c>
      <c r="L1049" s="73">
        <v>1</v>
      </c>
      <c r="M1049" s="72">
        <v>0.952380952380952</v>
      </c>
      <c r="N1049" s="74">
        <v>0.9</v>
      </c>
      <c r="O1049" s="72">
        <v>0.928205128205128</v>
      </c>
      <c r="P1049" s="72">
        <v>0.952188552188552</v>
      </c>
      <c r="Q1049" s="72">
        <v>0.962114337568058</v>
      </c>
      <c r="R1049" s="72">
        <v>0.95209551174081</v>
      </c>
      <c r="S1049" s="74">
        <v>0.9</v>
      </c>
      <c r="T1049" s="72">
        <v>0.890746934225195</v>
      </c>
      <c r="U1049" s="72">
        <v>0.930639730639731</v>
      </c>
      <c r="V1049" s="72">
        <v>0.937840290381125</v>
      </c>
      <c r="W1049" s="72">
        <v>0.913405330427029</v>
      </c>
      <c r="X1049" s="74">
        <v>0.92</v>
      </c>
      <c r="Y1049" s="74">
        <v>0</v>
      </c>
      <c r="Z1049" s="74">
        <v>0</v>
      </c>
      <c r="AA1049" s="74">
        <v>0</v>
      </c>
      <c r="AB1049" s="74">
        <v>0</v>
      </c>
      <c r="AC1049" s="74">
        <v>0.92</v>
      </c>
      <c r="AD1049" s="72">
        <v>0.994590417310665</v>
      </c>
      <c r="AE1049" s="72">
        <v>0.995305164319249</v>
      </c>
      <c r="AF1049" s="72">
        <v>0.997678018575851</v>
      </c>
      <c r="AG1049" s="72">
        <v>0.994340732029987</v>
      </c>
      <c r="AH1049" s="74">
        <v>0.92</v>
      </c>
      <c r="AI1049" s="72">
        <v>0.924191750278707</v>
      </c>
      <c r="AJ1049" s="72">
        <v>0.958473625140292</v>
      </c>
      <c r="AK1049" s="72">
        <v>0.966651542649728</v>
      </c>
      <c r="AL1049" s="72">
        <v>0.95781938871551</v>
      </c>
      <c r="AM1049" s="71">
        <v>0.99</v>
      </c>
      <c r="AN1049" s="76">
        <v>1</v>
      </c>
      <c r="AO1049" s="76">
        <v>1</v>
      </c>
      <c r="AP1049" s="76">
        <v>1</v>
      </c>
      <c r="AQ1049" s="76">
        <v>1</v>
      </c>
      <c r="AR1049" s="96">
        <v>0.0656418488929858</v>
      </c>
      <c r="AS1049" s="80">
        <v>0</v>
      </c>
      <c r="AT1049" s="80">
        <v>0.0666666666666667</v>
      </c>
      <c r="AU1049" s="80">
        <v>0.0588235294117647</v>
      </c>
      <c r="AV1049" s="80">
        <v>0.0797101449275362</v>
      </c>
      <c r="AW1049" s="36"/>
      <c r="AX1049" s="34"/>
    </row>
    <row r="1050" ht="14.5" spans="1:50">
      <c r="A1050" s="32"/>
      <c r="B1050" s="36"/>
      <c r="C1050" s="115" t="s">
        <v>949</v>
      </c>
      <c r="D1050" s="69" t="s">
        <v>23</v>
      </c>
      <c r="E1050" s="118" t="s">
        <v>1099</v>
      </c>
      <c r="F1050" s="119" t="s">
        <v>1099</v>
      </c>
      <c r="G1050" s="119" t="s">
        <v>1099</v>
      </c>
      <c r="H1050" s="119" t="s">
        <v>1099</v>
      </c>
      <c r="I1050" s="71">
        <v>0.9</v>
      </c>
      <c r="J1050" s="72">
        <v>1</v>
      </c>
      <c r="K1050" s="72">
        <v>0.962962962962963</v>
      </c>
      <c r="L1050" s="73">
        <v>1</v>
      </c>
      <c r="M1050" s="72">
        <v>0.987341772151899</v>
      </c>
      <c r="N1050" s="74">
        <v>0.9</v>
      </c>
      <c r="O1050" s="72">
        <v>0.957007447528775</v>
      </c>
      <c r="P1050" s="72">
        <v>0.965934065934066</v>
      </c>
      <c r="Q1050" s="72">
        <v>0.958960843373494</v>
      </c>
      <c r="R1050" s="72">
        <v>0.955479181480604</v>
      </c>
      <c r="S1050" s="74">
        <v>0.9</v>
      </c>
      <c r="T1050" s="72">
        <v>0.919431279620853</v>
      </c>
      <c r="U1050" s="72">
        <v>0.914652014652015</v>
      </c>
      <c r="V1050" s="72">
        <v>0.931852409638554</v>
      </c>
      <c r="W1050" s="72">
        <v>0.921150351584104</v>
      </c>
      <c r="X1050" s="74">
        <v>0.92</v>
      </c>
      <c r="Y1050" s="74">
        <v>0</v>
      </c>
      <c r="Z1050" s="74">
        <v>0</v>
      </c>
      <c r="AA1050" s="74">
        <v>0</v>
      </c>
      <c r="AB1050" s="74">
        <v>0</v>
      </c>
      <c r="AC1050" s="74">
        <v>0.92</v>
      </c>
      <c r="AD1050" s="72">
        <v>1</v>
      </c>
      <c r="AE1050" s="72">
        <v>0.995806328631338</v>
      </c>
      <c r="AF1050" s="72">
        <v>0.99484270242393</v>
      </c>
      <c r="AG1050" s="72">
        <v>0.995378966043652</v>
      </c>
      <c r="AH1050" s="74">
        <v>0.92</v>
      </c>
      <c r="AI1050" s="72">
        <v>0.958700067704807</v>
      </c>
      <c r="AJ1050" s="72">
        <v>0.962271062271062</v>
      </c>
      <c r="AK1050" s="72">
        <v>0.969126506024096</v>
      </c>
      <c r="AL1050" s="72">
        <v>0.963498459350557</v>
      </c>
      <c r="AM1050" s="71">
        <v>0.99</v>
      </c>
      <c r="AN1050" s="76">
        <v>1</v>
      </c>
      <c r="AO1050" s="76">
        <v>1</v>
      </c>
      <c r="AP1050" s="76">
        <v>1</v>
      </c>
      <c r="AQ1050" s="76">
        <v>1</v>
      </c>
      <c r="AR1050" s="96">
        <v>0.0656418488929858</v>
      </c>
      <c r="AS1050" s="80">
        <v>0.111111111111111</v>
      </c>
      <c r="AT1050" s="80">
        <v>0</v>
      </c>
      <c r="AU1050" s="80">
        <v>0.2</v>
      </c>
      <c r="AV1050" s="80">
        <v>0.1</v>
      </c>
      <c r="AW1050" s="36"/>
      <c r="AX1050" s="34"/>
    </row>
    <row r="1051" ht="14.5" spans="1:50">
      <c r="A1051" s="32"/>
      <c r="B1051" s="36"/>
      <c r="C1051" s="115" t="s">
        <v>949</v>
      </c>
      <c r="D1051" s="69" t="s">
        <v>23</v>
      </c>
      <c r="E1051" s="122" t="s">
        <v>1100</v>
      </c>
      <c r="F1051" s="123" t="s">
        <v>1100</v>
      </c>
      <c r="G1051" s="123" t="s">
        <v>1100</v>
      </c>
      <c r="H1051" s="123" t="s">
        <v>1100</v>
      </c>
      <c r="I1051" s="71">
        <v>0.9</v>
      </c>
      <c r="J1051" s="72">
        <v>0.833333333333333</v>
      </c>
      <c r="K1051" s="72">
        <v>0.944444444444444</v>
      </c>
      <c r="L1051" s="73">
        <v>0.823529411764706</v>
      </c>
      <c r="M1051" s="72">
        <v>0.875</v>
      </c>
      <c r="N1051" s="74">
        <v>0.9</v>
      </c>
      <c r="O1051" s="72">
        <v>0.930182599355532</v>
      </c>
      <c r="P1051" s="72">
        <v>0.921899736147757</v>
      </c>
      <c r="Q1051" s="72">
        <v>0.964841498559078</v>
      </c>
      <c r="R1051" s="72">
        <v>0.933482089012182</v>
      </c>
      <c r="S1051" s="74">
        <v>0.9</v>
      </c>
      <c r="T1051" s="72">
        <v>0.865198711063373</v>
      </c>
      <c r="U1051" s="72">
        <v>0.910817941952507</v>
      </c>
      <c r="V1051" s="72">
        <v>0.869164265129683</v>
      </c>
      <c r="W1051" s="72">
        <v>0.878301773006875</v>
      </c>
      <c r="X1051" s="74">
        <v>0.92</v>
      </c>
      <c r="Y1051" s="74">
        <v>0</v>
      </c>
      <c r="Z1051" s="74">
        <v>0</v>
      </c>
      <c r="AA1051" s="74">
        <v>0</v>
      </c>
      <c r="AB1051" s="74">
        <v>0</v>
      </c>
      <c r="AC1051" s="74">
        <v>0.92</v>
      </c>
      <c r="AD1051" s="72">
        <v>0.996805111821086</v>
      </c>
      <c r="AE1051" s="72">
        <v>0.972602739726027</v>
      </c>
      <c r="AF1051" s="72">
        <v>0.987767584097859</v>
      </c>
      <c r="AG1051" s="72">
        <v>0.973988439306358</v>
      </c>
      <c r="AH1051" s="74">
        <v>0.92</v>
      </c>
      <c r="AI1051" s="72">
        <v>0.896885069817401</v>
      </c>
      <c r="AJ1051" s="72">
        <v>0.94353562005277</v>
      </c>
      <c r="AK1051" s="72">
        <v>0.922190201729107</v>
      </c>
      <c r="AL1051" s="72">
        <v>0.929743094922205</v>
      </c>
      <c r="AM1051" s="71">
        <v>0.99</v>
      </c>
      <c r="AN1051" s="76">
        <v>1</v>
      </c>
      <c r="AO1051" s="76">
        <v>1</v>
      </c>
      <c r="AP1051" s="76">
        <v>1</v>
      </c>
      <c r="AQ1051" s="76">
        <v>1</v>
      </c>
      <c r="AR1051" s="96">
        <v>0.0656418488929858</v>
      </c>
      <c r="AS1051" s="80">
        <v>0</v>
      </c>
      <c r="AT1051" s="80">
        <v>0</v>
      </c>
      <c r="AU1051" s="80">
        <v>0.111111111111111</v>
      </c>
      <c r="AV1051" s="80">
        <v>0.0681818181818182</v>
      </c>
      <c r="AW1051" s="36"/>
      <c r="AX1051" s="34"/>
    </row>
    <row r="1052" ht="14.5" spans="1:50">
      <c r="A1052" s="32"/>
      <c r="B1052" s="36"/>
      <c r="C1052" s="115" t="s">
        <v>949</v>
      </c>
      <c r="D1052" s="69" t="s">
        <v>23</v>
      </c>
      <c r="E1052" s="120" t="s">
        <v>1101</v>
      </c>
      <c r="F1052" s="121" t="s">
        <v>1101</v>
      </c>
      <c r="G1052" s="121" t="s">
        <v>1101</v>
      </c>
      <c r="H1052" s="121" t="s">
        <v>1101</v>
      </c>
      <c r="I1052" s="71">
        <v>0.9</v>
      </c>
      <c r="J1052" s="72">
        <v>1</v>
      </c>
      <c r="K1052" s="72">
        <v>0.91304347826087</v>
      </c>
      <c r="L1052" s="73">
        <v>1</v>
      </c>
      <c r="M1052" s="72">
        <v>0.984455958549223</v>
      </c>
      <c r="N1052" s="74">
        <v>0.9</v>
      </c>
      <c r="O1052" s="72">
        <v>0.932357813362783</v>
      </c>
      <c r="P1052" s="72">
        <v>0.953159645232816</v>
      </c>
      <c r="Q1052" s="72">
        <v>0.955684596577017</v>
      </c>
      <c r="R1052" s="72">
        <v>0.951732153811384</v>
      </c>
      <c r="S1052" s="74">
        <v>0.9</v>
      </c>
      <c r="T1052" s="72">
        <v>0.883765875207068</v>
      </c>
      <c r="U1052" s="72">
        <v>0.893015521064302</v>
      </c>
      <c r="V1052" s="72">
        <v>0.896393643031785</v>
      </c>
      <c r="W1052" s="72">
        <v>0.88599748167759</v>
      </c>
      <c r="X1052" s="74">
        <v>0.92</v>
      </c>
      <c r="Y1052" s="74">
        <v>0</v>
      </c>
      <c r="Z1052" s="74">
        <v>0</v>
      </c>
      <c r="AA1052" s="74">
        <v>0</v>
      </c>
      <c r="AB1052" s="74">
        <v>0</v>
      </c>
      <c r="AC1052" s="74">
        <v>0.92</v>
      </c>
      <c r="AD1052" s="72">
        <v>0.99789029535865</v>
      </c>
      <c r="AE1052" s="72">
        <v>0.997981327277315</v>
      </c>
      <c r="AF1052" s="72">
        <v>0.999749498997996</v>
      </c>
      <c r="AG1052" s="72">
        <v>0.954976702408353</v>
      </c>
      <c r="AH1052" s="74">
        <v>0.92</v>
      </c>
      <c r="AI1052" s="72">
        <v>0.969906129210381</v>
      </c>
      <c r="AJ1052" s="72">
        <v>0.980326960376836</v>
      </c>
      <c r="AK1052" s="72">
        <v>0.978001833180568</v>
      </c>
      <c r="AL1052" s="72">
        <v>0.975044390637611</v>
      </c>
      <c r="AM1052" s="71">
        <v>0.99</v>
      </c>
      <c r="AN1052" s="76">
        <v>1</v>
      </c>
      <c r="AO1052" s="76">
        <v>1</v>
      </c>
      <c r="AP1052" s="76">
        <v>1</v>
      </c>
      <c r="AQ1052" s="76">
        <v>1</v>
      </c>
      <c r="AR1052" s="96">
        <v>0.0656418488929858</v>
      </c>
      <c r="AS1052" s="80">
        <v>0</v>
      </c>
      <c r="AT1052" s="80">
        <v>0.0769230769230769</v>
      </c>
      <c r="AU1052" s="80">
        <v>0.333333333333333</v>
      </c>
      <c r="AV1052" s="80">
        <v>0.0441176470588235</v>
      </c>
      <c r="AW1052" s="36"/>
      <c r="AX1052" s="34"/>
    </row>
    <row r="1053" ht="14.5" spans="1:50">
      <c r="A1053" s="32"/>
      <c r="B1053" s="36"/>
      <c r="C1053" s="115" t="s">
        <v>949</v>
      </c>
      <c r="D1053" s="69" t="s">
        <v>23</v>
      </c>
      <c r="E1053" s="118" t="s">
        <v>1102</v>
      </c>
      <c r="F1053" s="119" t="s">
        <v>1102</v>
      </c>
      <c r="G1053" s="119" t="s">
        <v>1102</v>
      </c>
      <c r="H1053" s="119" t="s">
        <v>1102</v>
      </c>
      <c r="I1053" s="71">
        <v>0.9</v>
      </c>
      <c r="J1053" s="72">
        <v>0.815384615384615</v>
      </c>
      <c r="K1053" s="72">
        <v>0.911764705882353</v>
      </c>
      <c r="L1053" s="73">
        <v>0.852941176470588</v>
      </c>
      <c r="M1053" s="72">
        <v>0.836666666666667</v>
      </c>
      <c r="N1053" s="74">
        <v>0.9</v>
      </c>
      <c r="O1053" s="72">
        <v>0.900619876024795</v>
      </c>
      <c r="P1053" s="72">
        <v>0.933850767331099</v>
      </c>
      <c r="Q1053" s="72">
        <v>0.944433908590935</v>
      </c>
      <c r="R1053" s="72">
        <v>0.933697794164389</v>
      </c>
      <c r="S1053" s="74">
        <v>0.9</v>
      </c>
      <c r="T1053" s="72">
        <v>0.859428114377125</v>
      </c>
      <c r="U1053" s="72">
        <v>0.885517727994355</v>
      </c>
      <c r="V1053" s="72">
        <v>0.887540299639674</v>
      </c>
      <c r="W1053" s="72">
        <v>0.867120123747166</v>
      </c>
      <c r="X1053" s="74">
        <v>0.92</v>
      </c>
      <c r="Y1053" s="74">
        <v>0</v>
      </c>
      <c r="Z1053" s="74">
        <v>0</v>
      </c>
      <c r="AA1053" s="74">
        <v>0</v>
      </c>
      <c r="AB1053" s="74">
        <v>1</v>
      </c>
      <c r="AC1053" s="74">
        <v>0.92</v>
      </c>
      <c r="AD1053" s="72">
        <v>0.964497041420118</v>
      </c>
      <c r="AE1053" s="72">
        <v>0.975557917109458</v>
      </c>
      <c r="AF1053" s="72">
        <v>0.987363100252738</v>
      </c>
      <c r="AG1053" s="72">
        <v>0.968789013732834</v>
      </c>
      <c r="AH1053" s="74">
        <v>0.92</v>
      </c>
      <c r="AI1053" s="72">
        <v>0.916416716656669</v>
      </c>
      <c r="AJ1053" s="72">
        <v>0.943552654789204</v>
      </c>
      <c r="AK1053" s="72">
        <v>0.944054617864593</v>
      </c>
      <c r="AL1053" s="72">
        <v>0.941541656072548</v>
      </c>
      <c r="AM1053" s="71">
        <v>0.99</v>
      </c>
      <c r="AN1053" s="76">
        <v>1</v>
      </c>
      <c r="AO1053" s="76">
        <v>1</v>
      </c>
      <c r="AP1053" s="76">
        <v>1</v>
      </c>
      <c r="AQ1053" s="76">
        <v>1</v>
      </c>
      <c r="AR1053" s="96">
        <v>0.0656418488929858</v>
      </c>
      <c r="AS1053" s="80">
        <v>0.0434782608695652</v>
      </c>
      <c r="AT1053" s="80">
        <v>0.0303030303030303</v>
      </c>
      <c r="AU1053" s="80">
        <v>0</v>
      </c>
      <c r="AV1053" s="80">
        <v>0.0297872340425532</v>
      </c>
      <c r="AW1053" s="36"/>
      <c r="AX1053" s="34"/>
    </row>
    <row r="1054" ht="14.5" spans="1:50">
      <c r="A1054" s="32"/>
      <c r="B1054" s="36"/>
      <c r="C1054" s="115" t="s">
        <v>949</v>
      </c>
      <c r="D1054" s="69" t="s">
        <v>23</v>
      </c>
      <c r="E1054" s="118" t="s">
        <v>1103</v>
      </c>
      <c r="F1054" s="119" t="s">
        <v>1103</v>
      </c>
      <c r="G1054" s="119" t="s">
        <v>1103</v>
      </c>
      <c r="H1054" s="119" t="s">
        <v>1103</v>
      </c>
      <c r="I1054" s="71">
        <v>0.9</v>
      </c>
      <c r="J1054" s="72">
        <v>0.977777777777778</v>
      </c>
      <c r="K1054" s="72">
        <v>0.976744186046512</v>
      </c>
      <c r="L1054" s="73">
        <v>1</v>
      </c>
      <c r="M1054" s="72">
        <v>0.984848484848485</v>
      </c>
      <c r="N1054" s="74">
        <v>0.9</v>
      </c>
      <c r="O1054" s="72">
        <v>0.951496138996139</v>
      </c>
      <c r="P1054" s="72">
        <v>0.949398683911958</v>
      </c>
      <c r="Q1054" s="72">
        <v>0.960907335907336</v>
      </c>
      <c r="R1054" s="72">
        <v>0.957195882802011</v>
      </c>
      <c r="S1054" s="74">
        <v>0.9</v>
      </c>
      <c r="T1054" s="72">
        <v>0.920608108108108</v>
      </c>
      <c r="U1054" s="72">
        <v>0.912638983435444</v>
      </c>
      <c r="V1054" s="72">
        <v>0.923503861003861</v>
      </c>
      <c r="W1054" s="72">
        <v>0.928528180693395</v>
      </c>
      <c r="X1054" s="74">
        <v>0.92</v>
      </c>
      <c r="Y1054" s="74">
        <v>0</v>
      </c>
      <c r="Z1054" s="74">
        <v>0</v>
      </c>
      <c r="AA1054" s="74">
        <v>0</v>
      </c>
      <c r="AB1054" s="74">
        <v>0</v>
      </c>
      <c r="AC1054" s="74">
        <v>0.92</v>
      </c>
      <c r="AD1054" s="72">
        <v>0.998257839721254</v>
      </c>
      <c r="AE1054" s="72">
        <v>0.996677740863787</v>
      </c>
      <c r="AF1054" s="72">
        <v>0.995726495726496</v>
      </c>
      <c r="AG1054" s="72">
        <v>0.995556453241769</v>
      </c>
      <c r="AH1054" s="74">
        <v>0.92</v>
      </c>
      <c r="AI1054" s="72">
        <v>0.943532818532819</v>
      </c>
      <c r="AJ1054" s="72">
        <v>0.94735647832993</v>
      </c>
      <c r="AK1054" s="72">
        <v>0.950048262548263</v>
      </c>
      <c r="AL1054" s="72">
        <v>0.955646222690182</v>
      </c>
      <c r="AM1054" s="71">
        <v>0.99</v>
      </c>
      <c r="AN1054" s="76">
        <v>1</v>
      </c>
      <c r="AO1054" s="76">
        <v>1</v>
      </c>
      <c r="AP1054" s="76">
        <v>1</v>
      </c>
      <c r="AQ1054" s="76">
        <v>1</v>
      </c>
      <c r="AR1054" s="96">
        <v>0.0656418488929858</v>
      </c>
      <c r="AS1054" s="80">
        <v>0.0588235294117647</v>
      </c>
      <c r="AT1054" s="80">
        <v>0.0666666666666667</v>
      </c>
      <c r="AU1054" s="80">
        <v>0.0833333333333333</v>
      </c>
      <c r="AV1054" s="80">
        <v>0.0529100529100529</v>
      </c>
      <c r="AW1054" s="36"/>
      <c r="AX1054" s="34"/>
    </row>
    <row r="1055" ht="14.5" spans="1:50">
      <c r="A1055" s="32"/>
      <c r="B1055" s="36"/>
      <c r="C1055" s="115" t="s">
        <v>949</v>
      </c>
      <c r="D1055" s="69" t="s">
        <v>23</v>
      </c>
      <c r="E1055" s="118" t="s">
        <v>1104</v>
      </c>
      <c r="F1055" s="119" t="s">
        <v>1104</v>
      </c>
      <c r="G1055" s="119" t="s">
        <v>1104</v>
      </c>
      <c r="H1055" s="119" t="s">
        <v>1104</v>
      </c>
      <c r="I1055" s="71">
        <v>0.9</v>
      </c>
      <c r="J1055" s="72">
        <v>0.896551724137931</v>
      </c>
      <c r="K1055" s="72">
        <v>0.806451612903226</v>
      </c>
      <c r="L1055" s="73">
        <v>0.967741935483871</v>
      </c>
      <c r="M1055" s="72">
        <v>0.909090909090909</v>
      </c>
      <c r="N1055" s="74">
        <v>0.9</v>
      </c>
      <c r="O1055" s="72">
        <v>0.951781059947871</v>
      </c>
      <c r="P1055" s="72">
        <v>0.971760797342193</v>
      </c>
      <c r="Q1055" s="72">
        <v>0.985688729874776</v>
      </c>
      <c r="R1055" s="72">
        <v>0.971573411664377</v>
      </c>
      <c r="S1055" s="74">
        <v>0.9</v>
      </c>
      <c r="T1055" s="72">
        <v>0.874022589052997</v>
      </c>
      <c r="U1055" s="72">
        <v>0.882059800664452</v>
      </c>
      <c r="V1055" s="72">
        <v>0.908318425760286</v>
      </c>
      <c r="W1055" s="72">
        <v>0.873833325437059</v>
      </c>
      <c r="X1055" s="74">
        <v>0.92</v>
      </c>
      <c r="Y1055" s="74">
        <v>0</v>
      </c>
      <c r="Z1055" s="74">
        <v>0</v>
      </c>
      <c r="AA1055" s="74">
        <v>0</v>
      </c>
      <c r="AB1055" s="74">
        <v>0</v>
      </c>
      <c r="AC1055" s="74">
        <v>0.92</v>
      </c>
      <c r="AD1055" s="72">
        <v>0.997340425531915</v>
      </c>
      <c r="AE1055" s="72">
        <v>0.995024875621891</v>
      </c>
      <c r="AF1055" s="72">
        <v>0.997050147492625</v>
      </c>
      <c r="AG1055" s="72">
        <v>0.995638266938063</v>
      </c>
      <c r="AH1055" s="74">
        <v>0.92</v>
      </c>
      <c r="AI1055" s="72">
        <v>0.945288753799392</v>
      </c>
      <c r="AJ1055" s="72">
        <v>0.953488372093023</v>
      </c>
      <c r="AK1055" s="72">
        <v>0.962432915921288</v>
      </c>
      <c r="AL1055" s="72">
        <v>0.959257153685806</v>
      </c>
      <c r="AM1055" s="71">
        <v>0.99</v>
      </c>
      <c r="AN1055" s="76">
        <v>1</v>
      </c>
      <c r="AO1055" s="76">
        <v>1</v>
      </c>
      <c r="AP1055" s="76">
        <v>1</v>
      </c>
      <c r="AQ1055" s="76">
        <v>1</v>
      </c>
      <c r="AR1055" s="96">
        <v>0.0656418488929858</v>
      </c>
      <c r="AS1055" s="80">
        <v>0</v>
      </c>
      <c r="AT1055" s="80">
        <v>0</v>
      </c>
      <c r="AU1055" s="80">
        <v>0.285714285714286</v>
      </c>
      <c r="AV1055" s="80">
        <v>0.0625</v>
      </c>
      <c r="AW1055" s="36"/>
      <c r="AX1055" s="34"/>
    </row>
    <row r="1056" ht="14.5" spans="1:50">
      <c r="A1056" s="32"/>
      <c r="B1056" s="36"/>
      <c r="C1056" s="93"/>
      <c r="D1056" s="94"/>
      <c r="E1056" s="94"/>
      <c r="F1056" s="94"/>
      <c r="G1056" s="94"/>
      <c r="H1056" s="94"/>
      <c r="I1056" s="85"/>
      <c r="J1056" s="128"/>
      <c r="K1056" s="128"/>
      <c r="L1056" s="128"/>
      <c r="M1056" s="128"/>
      <c r="N1056" s="89"/>
      <c r="O1056" s="86"/>
      <c r="P1056" s="86"/>
      <c r="Q1056" s="72"/>
      <c r="R1056" s="86"/>
      <c r="S1056" s="89"/>
      <c r="T1056" s="86"/>
      <c r="U1056" s="86"/>
      <c r="V1056" s="72"/>
      <c r="W1056" s="86"/>
      <c r="X1056" s="89"/>
      <c r="Y1056" s="89"/>
      <c r="Z1056" s="89"/>
      <c r="AA1056" s="74"/>
      <c r="AB1056" s="89"/>
      <c r="AC1056" s="86"/>
      <c r="AD1056" s="86"/>
      <c r="AE1056" s="86"/>
      <c r="AF1056" s="72"/>
      <c r="AG1056" s="86"/>
      <c r="AH1056" s="86"/>
      <c r="AI1056" s="86"/>
      <c r="AJ1056" s="86"/>
      <c r="AK1056" s="72"/>
      <c r="AL1056" s="86"/>
      <c r="AM1056" s="85"/>
      <c r="AN1056" s="85"/>
      <c r="AO1056" s="85"/>
      <c r="AP1056" s="76"/>
      <c r="AQ1056" s="85"/>
      <c r="AR1056" s="86"/>
      <c r="AS1056" s="85"/>
      <c r="AT1056" s="85"/>
      <c r="AU1056" s="80"/>
      <c r="AV1056" s="85"/>
      <c r="AW1056" s="36"/>
      <c r="AX1056" s="34"/>
    </row>
    <row r="1057" ht="14.5" spans="1:50">
      <c r="A1057" s="32"/>
      <c r="B1057" s="36"/>
      <c r="C1057" s="91" t="s">
        <v>1105</v>
      </c>
      <c r="D1057" s="69" t="s">
        <v>25</v>
      </c>
      <c r="E1057" s="129" t="s">
        <v>1106</v>
      </c>
      <c r="F1057" s="129" t="s">
        <v>1106</v>
      </c>
      <c r="G1057" s="129" t="s">
        <v>1106</v>
      </c>
      <c r="H1057" s="129" t="s">
        <v>1106</v>
      </c>
      <c r="I1057" s="71">
        <v>0.9</v>
      </c>
      <c r="J1057" s="72">
        <v>0.961538461538462</v>
      </c>
      <c r="K1057" s="72">
        <v>0.928571428571429</v>
      </c>
      <c r="L1057" s="73">
        <v>0.827586206896552</v>
      </c>
      <c r="M1057" s="72">
        <v>0.937007874015748</v>
      </c>
      <c r="N1057" s="74">
        <v>0.9</v>
      </c>
      <c r="O1057" s="72">
        <v>0.980116959064327</v>
      </c>
      <c r="P1057" s="72">
        <v>0.990060739922695</v>
      </c>
      <c r="Q1057" s="72">
        <v>0.947311827956989</v>
      </c>
      <c r="R1057" s="72">
        <v>0.969116334424278</v>
      </c>
      <c r="S1057" s="74">
        <v>0.9</v>
      </c>
      <c r="T1057" s="72">
        <v>0.934502923976608</v>
      </c>
      <c r="U1057" s="72">
        <v>0.916620651573716</v>
      </c>
      <c r="V1057" s="72">
        <v>0.926881720430108</v>
      </c>
      <c r="W1057" s="72">
        <v>0.926747991669146</v>
      </c>
      <c r="X1057" s="74">
        <v>0.92</v>
      </c>
      <c r="Y1057" s="74">
        <v>0.943269230769231</v>
      </c>
      <c r="Z1057" s="74">
        <v>0.956521739130435</v>
      </c>
      <c r="AA1057" s="74">
        <v>0.964360587002096</v>
      </c>
      <c r="AB1057" s="74">
        <v>0.955220821805513</v>
      </c>
      <c r="AC1057" s="74">
        <v>0.92</v>
      </c>
      <c r="AD1057" s="72">
        <v>1</v>
      </c>
      <c r="AE1057" s="72">
        <v>1</v>
      </c>
      <c r="AF1057" s="72">
        <v>1</v>
      </c>
      <c r="AG1057" s="72">
        <v>0.994276290259992</v>
      </c>
      <c r="AH1057" s="74">
        <v>0.92</v>
      </c>
      <c r="AI1057" s="72">
        <v>0.961090909090909</v>
      </c>
      <c r="AJ1057" s="72">
        <v>0.96843910806175</v>
      </c>
      <c r="AK1057" s="72">
        <v>0.979396092362345</v>
      </c>
      <c r="AL1057" s="72">
        <v>0.971053225927878</v>
      </c>
      <c r="AM1057" s="71">
        <v>0.99</v>
      </c>
      <c r="AN1057" s="76">
        <v>1</v>
      </c>
      <c r="AO1057" s="76">
        <v>1</v>
      </c>
      <c r="AP1057" s="76">
        <v>1</v>
      </c>
      <c r="AQ1057" s="76">
        <v>1</v>
      </c>
      <c r="AR1057" s="96">
        <v>0.0721861525408278</v>
      </c>
      <c r="AS1057" s="80">
        <v>0</v>
      </c>
      <c r="AT1057" s="80">
        <v>0.2</v>
      </c>
      <c r="AU1057" s="80">
        <v>0</v>
      </c>
      <c r="AV1057" s="80">
        <v>0.0882352941176471</v>
      </c>
      <c r="AW1057" s="36"/>
      <c r="AX1057" s="34"/>
    </row>
    <row r="1058" ht="14.5" spans="1:50">
      <c r="A1058" s="32"/>
      <c r="B1058" s="36"/>
      <c r="C1058" s="91" t="s">
        <v>1105</v>
      </c>
      <c r="D1058" s="69" t="s">
        <v>25</v>
      </c>
      <c r="E1058" s="129" t="s">
        <v>1107</v>
      </c>
      <c r="F1058" s="129" t="s">
        <v>1107</v>
      </c>
      <c r="G1058" s="129" t="s">
        <v>1107</v>
      </c>
      <c r="H1058" s="129" t="s">
        <v>1107</v>
      </c>
      <c r="I1058" s="71">
        <v>0.9</v>
      </c>
      <c r="J1058" s="72">
        <v>0.91304347826087</v>
      </c>
      <c r="K1058" s="72">
        <v>0.888888888888889</v>
      </c>
      <c r="L1058" s="73">
        <v>0.92</v>
      </c>
      <c r="M1058" s="72">
        <v>0.93719806763285</v>
      </c>
      <c r="N1058" s="74">
        <v>0.9</v>
      </c>
      <c r="O1058" s="72">
        <v>0.987174504469491</v>
      </c>
      <c r="P1058" s="72">
        <v>0.989683386695126</v>
      </c>
      <c r="Q1058" s="72">
        <v>0.977949283351709</v>
      </c>
      <c r="R1058" s="72">
        <v>0.979517780824127</v>
      </c>
      <c r="S1058" s="74">
        <v>0.9</v>
      </c>
      <c r="T1058" s="72">
        <v>0.907500971628449</v>
      </c>
      <c r="U1058" s="72">
        <v>0.887228744219139</v>
      </c>
      <c r="V1058" s="72">
        <v>0.87247335538405</v>
      </c>
      <c r="W1058" s="72">
        <v>0.898113055398758</v>
      </c>
      <c r="X1058" s="74">
        <v>0.92</v>
      </c>
      <c r="Y1058" s="74">
        <v>0.955418381344307</v>
      </c>
      <c r="Z1058" s="74">
        <v>0.921824104234528</v>
      </c>
      <c r="AA1058" s="74">
        <v>0.959912536443149</v>
      </c>
      <c r="AB1058" s="74">
        <v>0.943810790007697</v>
      </c>
      <c r="AC1058" s="74">
        <v>0.92</v>
      </c>
      <c r="AD1058" s="72">
        <v>0.90273556231003</v>
      </c>
      <c r="AE1058" s="72">
        <v>0.807692307692308</v>
      </c>
      <c r="AF1058" s="72">
        <v>0.720502901353965</v>
      </c>
      <c r="AG1058" s="72">
        <v>0.851113070310778</v>
      </c>
      <c r="AH1058" s="74">
        <v>0.92</v>
      </c>
      <c r="AI1058" s="72">
        <v>0.969486479781692</v>
      </c>
      <c r="AJ1058" s="72">
        <v>0.958352508053382</v>
      </c>
      <c r="AK1058" s="72">
        <v>0.970193012460298</v>
      </c>
      <c r="AL1058" s="72">
        <v>0.963957741795206</v>
      </c>
      <c r="AM1058" s="71">
        <v>0.99</v>
      </c>
      <c r="AN1058" s="76">
        <v>1</v>
      </c>
      <c r="AO1058" s="76">
        <v>1</v>
      </c>
      <c r="AP1058" s="76">
        <v>1</v>
      </c>
      <c r="AQ1058" s="76">
        <v>1</v>
      </c>
      <c r="AR1058" s="96">
        <v>0.0721861525408278</v>
      </c>
      <c r="AS1058" s="80">
        <v>0</v>
      </c>
      <c r="AT1058" s="80">
        <v>0</v>
      </c>
      <c r="AU1058" s="80">
        <v>0</v>
      </c>
      <c r="AV1058" s="80">
        <v>0.0462962962962963</v>
      </c>
      <c r="AW1058" s="36"/>
      <c r="AX1058" s="34"/>
    </row>
    <row r="1059" ht="14.5" spans="1:50">
      <c r="A1059" s="32"/>
      <c r="B1059" s="36"/>
      <c r="C1059" s="91" t="s">
        <v>1105</v>
      </c>
      <c r="D1059" s="69" t="s">
        <v>25</v>
      </c>
      <c r="E1059" s="129" t="s">
        <v>1108</v>
      </c>
      <c r="F1059" s="129" t="s">
        <v>1108</v>
      </c>
      <c r="G1059" s="129" t="s">
        <v>1108</v>
      </c>
      <c r="H1059" s="129" t="s">
        <v>1108</v>
      </c>
      <c r="I1059" s="71">
        <v>0.9</v>
      </c>
      <c r="J1059" s="72">
        <v>0.75</v>
      </c>
      <c r="K1059" s="72">
        <v>0.833333333333333</v>
      </c>
      <c r="L1059" s="73">
        <v>0.808510638297872</v>
      </c>
      <c r="M1059" s="72">
        <v>0.819477434679335</v>
      </c>
      <c r="N1059" s="74">
        <v>0.9</v>
      </c>
      <c r="O1059" s="72">
        <v>0.97310715763343</v>
      </c>
      <c r="P1059" s="72">
        <v>0.959075407351269</v>
      </c>
      <c r="Q1059" s="72">
        <v>0.936087295401403</v>
      </c>
      <c r="R1059" s="72">
        <v>0.959933150497086</v>
      </c>
      <c r="S1059" s="74">
        <v>0.9</v>
      </c>
      <c r="T1059" s="72">
        <v>0.944559371121225</v>
      </c>
      <c r="U1059" s="72">
        <v>0.9518757104964</v>
      </c>
      <c r="V1059" s="72">
        <v>0.955572876071707</v>
      </c>
      <c r="W1059" s="72">
        <v>0.943306479259513</v>
      </c>
      <c r="X1059" s="74">
        <v>0.92</v>
      </c>
      <c r="Y1059" s="74">
        <v>0.945402298850575</v>
      </c>
      <c r="Z1059" s="74">
        <v>0.972403776325345</v>
      </c>
      <c r="AA1059" s="74">
        <v>0.947665056360709</v>
      </c>
      <c r="AB1059" s="74">
        <v>0.957154901509926</v>
      </c>
      <c r="AC1059" s="74">
        <v>0.92</v>
      </c>
      <c r="AD1059" s="72">
        <v>0.998294485503127</v>
      </c>
      <c r="AE1059" s="72">
        <v>0.997764738753842</v>
      </c>
      <c r="AF1059" s="72">
        <v>0.992927864214993</v>
      </c>
      <c r="AG1059" s="72">
        <v>0.971225692671834</v>
      </c>
      <c r="AH1059" s="74">
        <v>0.92</v>
      </c>
      <c r="AI1059" s="72">
        <v>0.966657915463376</v>
      </c>
      <c r="AJ1059" s="72">
        <v>0.976344621513944</v>
      </c>
      <c r="AK1059" s="72">
        <v>0.971136184728418</v>
      </c>
      <c r="AL1059" s="72">
        <v>0.973039080965206</v>
      </c>
      <c r="AM1059" s="71">
        <v>0.99</v>
      </c>
      <c r="AN1059" s="76">
        <v>1</v>
      </c>
      <c r="AO1059" s="76">
        <v>1</v>
      </c>
      <c r="AP1059" s="76">
        <v>1</v>
      </c>
      <c r="AQ1059" s="76">
        <v>1</v>
      </c>
      <c r="AR1059" s="96">
        <v>0.0721861525408278</v>
      </c>
      <c r="AS1059" s="80">
        <v>0</v>
      </c>
      <c r="AT1059" s="80">
        <v>0</v>
      </c>
      <c r="AU1059" s="80">
        <v>0</v>
      </c>
      <c r="AV1059" s="80">
        <v>0.0192307692307692</v>
      </c>
      <c r="AW1059" s="36"/>
      <c r="AX1059" s="34"/>
    </row>
    <row r="1060" ht="14.5" spans="1:50">
      <c r="A1060" s="32"/>
      <c r="B1060" s="36"/>
      <c r="C1060" s="91" t="s">
        <v>1105</v>
      </c>
      <c r="D1060" s="69" t="s">
        <v>25</v>
      </c>
      <c r="E1060" s="129" t="s">
        <v>1109</v>
      </c>
      <c r="F1060" s="129" t="s">
        <v>1109</v>
      </c>
      <c r="G1060" s="129" t="s">
        <v>1109</v>
      </c>
      <c r="H1060" s="129" t="s">
        <v>1109</v>
      </c>
      <c r="I1060" s="71">
        <v>0.9</v>
      </c>
      <c r="J1060" s="72">
        <v>0.926829268292683</v>
      </c>
      <c r="K1060" s="72">
        <v>0.930232558139535</v>
      </c>
      <c r="L1060" s="73">
        <v>0.934782608695652</v>
      </c>
      <c r="M1060" s="72">
        <v>0.930591259640103</v>
      </c>
      <c r="N1060" s="74">
        <v>0.9</v>
      </c>
      <c r="O1060" s="72">
        <v>0.9675</v>
      </c>
      <c r="P1060" s="72">
        <v>0.960482250502344</v>
      </c>
      <c r="Q1060" s="72">
        <v>0.967997465145754</v>
      </c>
      <c r="R1060" s="72">
        <v>0.963573883161512</v>
      </c>
      <c r="S1060" s="74">
        <v>0.9</v>
      </c>
      <c r="T1060" s="72">
        <v>0.9225</v>
      </c>
      <c r="U1060" s="72">
        <v>0.943402545210985</v>
      </c>
      <c r="V1060" s="72">
        <v>0.95659062103929</v>
      </c>
      <c r="W1060" s="72">
        <v>0.938216675709893</v>
      </c>
      <c r="X1060" s="74">
        <v>0.92</v>
      </c>
      <c r="Y1060" s="74">
        <v>0.946865671641791</v>
      </c>
      <c r="Z1060" s="74">
        <v>0.943965517241379</v>
      </c>
      <c r="AA1060" s="74">
        <v>0.936332179930796</v>
      </c>
      <c r="AB1060" s="74">
        <v>0.953322989397466</v>
      </c>
      <c r="AC1060" s="74">
        <v>0.92</v>
      </c>
      <c r="AD1060" s="72">
        <v>0.984140969162996</v>
      </c>
      <c r="AE1060" s="72">
        <v>0.979368932038835</v>
      </c>
      <c r="AF1060" s="72">
        <v>0.994743758212878</v>
      </c>
      <c r="AG1060" s="72">
        <v>0.988451307337961</v>
      </c>
      <c r="AH1060" s="74">
        <v>0.92</v>
      </c>
      <c r="AI1060" s="72">
        <v>0.959776536312849</v>
      </c>
      <c r="AJ1060" s="72">
        <v>0.967902841032314</v>
      </c>
      <c r="AK1060" s="72">
        <v>0.971347948773605</v>
      </c>
      <c r="AL1060" s="72">
        <v>0.972588126159555</v>
      </c>
      <c r="AM1060" s="71">
        <v>0.99</v>
      </c>
      <c r="AN1060" s="76">
        <v>1</v>
      </c>
      <c r="AO1060" s="76">
        <v>1</v>
      </c>
      <c r="AP1060" s="76">
        <v>1</v>
      </c>
      <c r="AQ1060" s="76">
        <v>1</v>
      </c>
      <c r="AR1060" s="96">
        <v>0.0721861525408278</v>
      </c>
      <c r="AS1060" s="80">
        <v>0</v>
      </c>
      <c r="AT1060" s="80">
        <v>0</v>
      </c>
      <c r="AU1060" s="80">
        <v>0.142857142857143</v>
      </c>
      <c r="AV1060" s="80">
        <v>0.0342465753424658</v>
      </c>
      <c r="AW1060" s="36"/>
      <c r="AX1060" s="34"/>
    </row>
    <row r="1061" ht="14.5" spans="1:50">
      <c r="A1061" s="32"/>
      <c r="B1061" s="36"/>
      <c r="C1061" s="91" t="s">
        <v>1105</v>
      </c>
      <c r="D1061" s="69" t="s">
        <v>25</v>
      </c>
      <c r="E1061" s="129" t="s">
        <v>1110</v>
      </c>
      <c r="F1061" s="129" t="s">
        <v>1110</v>
      </c>
      <c r="G1061" s="129" t="s">
        <v>1110</v>
      </c>
      <c r="H1061" s="129" t="s">
        <v>1110</v>
      </c>
      <c r="I1061" s="71">
        <v>0.9</v>
      </c>
      <c r="J1061" s="72">
        <v>0.976190476190476</v>
      </c>
      <c r="K1061" s="72">
        <v>0.978260869565217</v>
      </c>
      <c r="L1061" s="73">
        <v>0.9375</v>
      </c>
      <c r="M1061" s="72">
        <v>0.946731234866828</v>
      </c>
      <c r="N1061" s="74">
        <v>0.9</v>
      </c>
      <c r="O1061" s="72">
        <v>0.975609756097561</v>
      </c>
      <c r="P1061" s="72">
        <v>0.984017635712317</v>
      </c>
      <c r="Q1061" s="72">
        <v>0.940682414698163</v>
      </c>
      <c r="R1061" s="72">
        <v>0.973271582516043</v>
      </c>
      <c r="S1061" s="74">
        <v>0.9</v>
      </c>
      <c r="T1061" s="72">
        <v>0.901249256395003</v>
      </c>
      <c r="U1061" s="72">
        <v>0.93937723890879</v>
      </c>
      <c r="V1061" s="72">
        <v>0.914698162729659</v>
      </c>
      <c r="W1061" s="72">
        <v>0.916696936675142</v>
      </c>
      <c r="X1061" s="74">
        <v>0.92</v>
      </c>
      <c r="Y1061" s="74">
        <v>0.907181240840254</v>
      </c>
      <c r="Z1061" s="74">
        <v>0.956542502387775</v>
      </c>
      <c r="AA1061" s="74">
        <v>0.944048830111902</v>
      </c>
      <c r="AB1061" s="74">
        <v>0.937839248434238</v>
      </c>
      <c r="AC1061" s="74">
        <v>0.92</v>
      </c>
      <c r="AD1061" s="72">
        <v>0.954084098598357</v>
      </c>
      <c r="AE1061" s="72">
        <v>0.992192192192192</v>
      </c>
      <c r="AF1061" s="72">
        <v>0.976590330788804</v>
      </c>
      <c r="AG1061" s="72">
        <v>0.978855140186916</v>
      </c>
      <c r="AH1061" s="74">
        <v>0.92</v>
      </c>
      <c r="AI1061" s="72">
        <v>0.936032538361989</v>
      </c>
      <c r="AJ1061" s="72">
        <v>0.966457023060797</v>
      </c>
      <c r="AK1061" s="72">
        <v>0.963859588448902</v>
      </c>
      <c r="AL1061" s="72">
        <v>0.959891972648394</v>
      </c>
      <c r="AM1061" s="71">
        <v>0.99</v>
      </c>
      <c r="AN1061" s="76">
        <v>1</v>
      </c>
      <c r="AO1061" s="76">
        <v>1</v>
      </c>
      <c r="AP1061" s="76">
        <v>1</v>
      </c>
      <c r="AQ1061" s="76">
        <v>1</v>
      </c>
      <c r="AR1061" s="96">
        <v>0.0721861525408278</v>
      </c>
      <c r="AS1061" s="80">
        <v>0.103448275862069</v>
      </c>
      <c r="AT1061" s="80">
        <v>-0.037037037037037</v>
      </c>
      <c r="AU1061" s="80">
        <v>0</v>
      </c>
      <c r="AV1061" s="80">
        <v>0.0203252032520325</v>
      </c>
      <c r="AW1061" s="36"/>
      <c r="AX1061" s="34"/>
    </row>
    <row r="1062" ht="14.5" spans="1:50">
      <c r="A1062" s="32"/>
      <c r="B1062" s="36"/>
      <c r="C1062" s="91" t="s">
        <v>1105</v>
      </c>
      <c r="D1062" s="69" t="s">
        <v>25</v>
      </c>
      <c r="E1062" s="129" t="s">
        <v>1111</v>
      </c>
      <c r="F1062" s="129" t="s">
        <v>1111</v>
      </c>
      <c r="G1062" s="129" t="s">
        <v>1111</v>
      </c>
      <c r="H1062" s="129" t="s">
        <v>1111</v>
      </c>
      <c r="I1062" s="71">
        <v>0.9</v>
      </c>
      <c r="J1062" s="72">
        <v>1</v>
      </c>
      <c r="K1062" s="72">
        <v>1</v>
      </c>
      <c r="L1062" s="73">
        <v>0.904761904761905</v>
      </c>
      <c r="M1062" s="72">
        <v>0.983606557377049</v>
      </c>
      <c r="N1062" s="74">
        <v>0.9</v>
      </c>
      <c r="O1062" s="72">
        <v>0.980448950036206</v>
      </c>
      <c r="P1062" s="72">
        <v>0.982905982905983</v>
      </c>
      <c r="Q1062" s="72">
        <v>0.957776213933849</v>
      </c>
      <c r="R1062" s="72">
        <v>0.969661335841957</v>
      </c>
      <c r="S1062" s="74">
        <v>0.9</v>
      </c>
      <c r="T1062" s="72">
        <v>0.947139753801593</v>
      </c>
      <c r="U1062" s="72">
        <v>0.950854700854701</v>
      </c>
      <c r="V1062" s="72">
        <v>0.935256861365236</v>
      </c>
      <c r="W1062" s="72">
        <v>0.947867670116024</v>
      </c>
      <c r="X1062" s="74">
        <v>0.92</v>
      </c>
      <c r="Y1062" s="74">
        <v>0.950182260024301</v>
      </c>
      <c r="Z1062" s="74">
        <v>0.957816377171216</v>
      </c>
      <c r="AA1062" s="74">
        <v>0.972701149425287</v>
      </c>
      <c r="AB1062" s="74">
        <v>0.96075759640278</v>
      </c>
      <c r="AC1062" s="74">
        <v>0.92</v>
      </c>
      <c r="AD1062" s="72">
        <v>0.987654320987654</v>
      </c>
      <c r="AE1062" s="72">
        <v>1</v>
      </c>
      <c r="AF1062" s="72">
        <v>1</v>
      </c>
      <c r="AG1062" s="72">
        <v>0.974219810040706</v>
      </c>
      <c r="AH1062" s="74">
        <v>0.92</v>
      </c>
      <c r="AI1062" s="72">
        <v>0.970508166969147</v>
      </c>
      <c r="AJ1062" s="72">
        <v>0.975565610859728</v>
      </c>
      <c r="AK1062" s="72">
        <v>0.982547169811321</v>
      </c>
      <c r="AL1062" s="72">
        <v>0.97701263807344</v>
      </c>
      <c r="AM1062" s="71">
        <v>0.99</v>
      </c>
      <c r="AN1062" s="76">
        <v>1</v>
      </c>
      <c r="AO1062" s="76">
        <v>1</v>
      </c>
      <c r="AP1062" s="76">
        <v>1</v>
      </c>
      <c r="AQ1062" s="76">
        <v>1</v>
      </c>
      <c r="AR1062" s="96">
        <v>0.0721861525408278</v>
      </c>
      <c r="AS1062" s="80">
        <v>0</v>
      </c>
      <c r="AT1062" s="80">
        <v>0</v>
      </c>
      <c r="AU1062" s="80">
        <v>0</v>
      </c>
      <c r="AV1062" s="80">
        <v>0.0277777777777778</v>
      </c>
      <c r="AW1062" s="36"/>
      <c r="AX1062" s="34"/>
    </row>
    <row r="1063" ht="14.5" spans="1:50">
      <c r="A1063" s="32"/>
      <c r="B1063" s="36"/>
      <c r="C1063" s="91" t="s">
        <v>1105</v>
      </c>
      <c r="D1063" s="69" t="s">
        <v>25</v>
      </c>
      <c r="E1063" s="129" t="s">
        <v>1112</v>
      </c>
      <c r="F1063" s="129" t="s">
        <v>1112</v>
      </c>
      <c r="G1063" s="129" t="s">
        <v>1112</v>
      </c>
      <c r="H1063" s="129" t="s">
        <v>1112</v>
      </c>
      <c r="I1063" s="71">
        <v>0.9</v>
      </c>
      <c r="J1063" s="72">
        <v>1</v>
      </c>
      <c r="K1063" s="72">
        <v>0.936170212765957</v>
      </c>
      <c r="L1063" s="73">
        <v>0.958333333333333</v>
      </c>
      <c r="M1063" s="72">
        <v>0.964824120603015</v>
      </c>
      <c r="N1063" s="74">
        <v>0.9</v>
      </c>
      <c r="O1063" s="72">
        <v>0.981792045999042</v>
      </c>
      <c r="P1063" s="72">
        <v>0.981621112158341</v>
      </c>
      <c r="Q1063" s="72">
        <v>0.923754958131335</v>
      </c>
      <c r="R1063" s="72">
        <v>0.939874050379848</v>
      </c>
      <c r="S1063" s="74">
        <v>0.9</v>
      </c>
      <c r="T1063" s="72">
        <v>0.904168663152851</v>
      </c>
      <c r="U1063" s="72">
        <v>0.902921771913289</v>
      </c>
      <c r="V1063" s="72">
        <v>0.863375936535919</v>
      </c>
      <c r="W1063" s="72">
        <v>0.900339864054378</v>
      </c>
      <c r="X1063" s="74">
        <v>0.92</v>
      </c>
      <c r="Y1063" s="74">
        <v>0.975933609958506</v>
      </c>
      <c r="Z1063" s="74">
        <v>0.975251353441609</v>
      </c>
      <c r="AA1063" s="74">
        <v>0.975332068311195</v>
      </c>
      <c r="AB1063" s="74">
        <v>0.977436982196369</v>
      </c>
      <c r="AC1063" s="74">
        <v>0.92</v>
      </c>
      <c r="AD1063" s="72">
        <v>0.994490358126722</v>
      </c>
      <c r="AE1063" s="72">
        <v>0.987951807228916</v>
      </c>
      <c r="AF1063" s="72">
        <v>0.994778067885117</v>
      </c>
      <c r="AG1063" s="72">
        <v>0.962732919254658</v>
      </c>
      <c r="AH1063" s="74">
        <v>0.92</v>
      </c>
      <c r="AI1063" s="72">
        <v>0.979343863912515</v>
      </c>
      <c r="AJ1063" s="72">
        <v>0.982430453879941</v>
      </c>
      <c r="AK1063" s="72">
        <v>0.987059885645501</v>
      </c>
      <c r="AL1063" s="72">
        <v>0.984546899841018</v>
      </c>
      <c r="AM1063" s="71">
        <v>0.99</v>
      </c>
      <c r="AN1063" s="76">
        <v>1</v>
      </c>
      <c r="AO1063" s="76">
        <v>1</v>
      </c>
      <c r="AP1063" s="76">
        <v>1</v>
      </c>
      <c r="AQ1063" s="76">
        <v>1</v>
      </c>
      <c r="AR1063" s="96">
        <v>0.0721861525408278</v>
      </c>
      <c r="AS1063" s="80">
        <v>0</v>
      </c>
      <c r="AT1063" s="80">
        <v>0</v>
      </c>
      <c r="AU1063" s="80">
        <v>0</v>
      </c>
      <c r="AV1063" s="80">
        <v>0</v>
      </c>
      <c r="AW1063" s="36"/>
      <c r="AX1063" s="34"/>
    </row>
    <row r="1064" ht="14.5" spans="1:50">
      <c r="A1064" s="32"/>
      <c r="B1064" s="36"/>
      <c r="C1064" s="91" t="s">
        <v>1105</v>
      </c>
      <c r="D1064" s="69" t="s">
        <v>25</v>
      </c>
      <c r="E1064" s="129" t="s">
        <v>1113</v>
      </c>
      <c r="F1064" s="129" t="s">
        <v>1113</v>
      </c>
      <c r="G1064" s="129" t="s">
        <v>1113</v>
      </c>
      <c r="H1064" s="129" t="s">
        <v>1113</v>
      </c>
      <c r="I1064" s="71">
        <v>0.9</v>
      </c>
      <c r="J1064" s="72">
        <v>0.915492957746479</v>
      </c>
      <c r="K1064" s="72">
        <v>0.846153846153846</v>
      </c>
      <c r="L1064" s="73">
        <v>0.878048780487805</v>
      </c>
      <c r="M1064" s="72">
        <v>0.875714285714286</v>
      </c>
      <c r="N1064" s="74">
        <v>0.9</v>
      </c>
      <c r="O1064" s="72">
        <v>0.936170212765957</v>
      </c>
      <c r="P1064" s="72">
        <v>0.927886809675947</v>
      </c>
      <c r="Q1064" s="72">
        <v>0.982493368700265</v>
      </c>
      <c r="R1064" s="72">
        <v>0.959832005169072</v>
      </c>
      <c r="S1064" s="74">
        <v>0.9</v>
      </c>
      <c r="T1064" s="72">
        <v>0.817108714660449</v>
      </c>
      <c r="U1064" s="72">
        <v>0.782291191236878</v>
      </c>
      <c r="V1064" s="72">
        <v>0.853315649867374</v>
      </c>
      <c r="W1064" s="72">
        <v>0.805805975200763</v>
      </c>
      <c r="X1064" s="74">
        <v>0.92</v>
      </c>
      <c r="Y1064" s="74">
        <v>0</v>
      </c>
      <c r="Z1064" s="74">
        <v>0</v>
      </c>
      <c r="AA1064" s="74">
        <v>0</v>
      </c>
      <c r="AB1064" s="74">
        <v>0.375</v>
      </c>
      <c r="AC1064" s="74">
        <v>0.92</v>
      </c>
      <c r="AD1064" s="72">
        <v>0.936082474226804</v>
      </c>
      <c r="AE1064" s="72">
        <v>0.956284153005464</v>
      </c>
      <c r="AF1064" s="72">
        <v>0.996921723834653</v>
      </c>
      <c r="AG1064" s="72">
        <v>0.820414552520782</v>
      </c>
      <c r="AH1064" s="74">
        <v>0.92</v>
      </c>
      <c r="AI1064" s="72">
        <v>0.920745920745921</v>
      </c>
      <c r="AJ1064" s="72">
        <v>0.93384030418251</v>
      </c>
      <c r="AK1064" s="72">
        <v>0.968700265251989</v>
      </c>
      <c r="AL1064" s="72">
        <v>0.951207506537456</v>
      </c>
      <c r="AM1064" s="71">
        <v>0.99</v>
      </c>
      <c r="AN1064" s="76">
        <v>1</v>
      </c>
      <c r="AO1064" s="76">
        <v>1</v>
      </c>
      <c r="AP1064" s="76">
        <v>1</v>
      </c>
      <c r="AQ1064" s="76">
        <v>1</v>
      </c>
      <c r="AR1064" s="96">
        <v>0.0721861525408278</v>
      </c>
      <c r="AS1064" s="80">
        <v>0</v>
      </c>
      <c r="AT1064" s="80">
        <v>0</v>
      </c>
      <c r="AU1064" s="80">
        <v>0.142857142857143</v>
      </c>
      <c r="AV1064" s="80">
        <v>0.0512820512820513</v>
      </c>
      <c r="AW1064" s="36"/>
      <c r="AX1064" s="34"/>
    </row>
    <row r="1065" ht="14.5" spans="1:50">
      <c r="A1065" s="32"/>
      <c r="B1065" s="36"/>
      <c r="C1065" s="91" t="s">
        <v>1105</v>
      </c>
      <c r="D1065" s="69" t="s">
        <v>25</v>
      </c>
      <c r="E1065" s="129" t="s">
        <v>1114</v>
      </c>
      <c r="F1065" s="129" t="s">
        <v>1114</v>
      </c>
      <c r="G1065" s="129" t="s">
        <v>1114</v>
      </c>
      <c r="H1065" s="129" t="s">
        <v>1114</v>
      </c>
      <c r="I1065" s="71">
        <v>0.9</v>
      </c>
      <c r="J1065" s="72">
        <v>0.977777777777778</v>
      </c>
      <c r="K1065" s="72">
        <v>1</v>
      </c>
      <c r="L1065" s="73">
        <v>0.92</v>
      </c>
      <c r="M1065" s="72">
        <v>0.971496437054632</v>
      </c>
      <c r="N1065" s="74">
        <v>0.9</v>
      </c>
      <c r="O1065" s="72">
        <v>0.966364434045042</v>
      </c>
      <c r="P1065" s="72">
        <v>0.967570589879788</v>
      </c>
      <c r="Q1065" s="72">
        <v>0.937076213723895</v>
      </c>
      <c r="R1065" s="72">
        <v>0.97165991902834</v>
      </c>
      <c r="S1065" s="74">
        <v>0.9</v>
      </c>
      <c r="T1065" s="72">
        <v>0.948230476747587</v>
      </c>
      <c r="U1065" s="72">
        <v>0.961699748392508</v>
      </c>
      <c r="V1065" s="72">
        <v>0.956333062110117</v>
      </c>
      <c r="W1065" s="72">
        <v>0.953285580815945</v>
      </c>
      <c r="X1065" s="74">
        <v>0.92</v>
      </c>
      <c r="Y1065" s="74">
        <v>0.952526799387443</v>
      </c>
      <c r="Z1065" s="74">
        <v>0.964824120603015</v>
      </c>
      <c r="AA1065" s="74">
        <v>0.959299039005088</v>
      </c>
      <c r="AB1065" s="74">
        <v>0.960958344677375</v>
      </c>
      <c r="AC1065" s="74">
        <v>0.92</v>
      </c>
      <c r="AD1065" s="72">
        <v>0.996912627354122</v>
      </c>
      <c r="AE1065" s="72">
        <v>0.994175888177053</v>
      </c>
      <c r="AF1065" s="72">
        <v>0.992772667542707</v>
      </c>
      <c r="AG1065" s="72">
        <v>0.994980973625508</v>
      </c>
      <c r="AH1065" s="74">
        <v>0.92</v>
      </c>
      <c r="AI1065" s="72">
        <v>0.968947564150242</v>
      </c>
      <c r="AJ1065" s="72">
        <v>0.98042033411173</v>
      </c>
      <c r="AK1065" s="72">
        <v>0.980029314767314</v>
      </c>
      <c r="AL1065" s="72">
        <v>0.977178628736702</v>
      </c>
      <c r="AM1065" s="71">
        <v>0.99</v>
      </c>
      <c r="AN1065" s="76">
        <v>1</v>
      </c>
      <c r="AO1065" s="76">
        <v>1</v>
      </c>
      <c r="AP1065" s="76">
        <v>1</v>
      </c>
      <c r="AQ1065" s="76">
        <v>1</v>
      </c>
      <c r="AR1065" s="96">
        <v>0.0721861525408278</v>
      </c>
      <c r="AS1065" s="80">
        <v>0.0113636363636364</v>
      </c>
      <c r="AT1065" s="80">
        <v>0</v>
      </c>
      <c r="AU1065" s="80">
        <v>0</v>
      </c>
      <c r="AV1065" s="80">
        <v>0.0034465780403742</v>
      </c>
      <c r="AW1065" s="36"/>
      <c r="AX1065" s="34"/>
    </row>
    <row r="1066" ht="14.5" spans="1:50">
      <c r="A1066" s="32"/>
      <c r="B1066" s="36"/>
      <c r="C1066" s="91" t="s">
        <v>1105</v>
      </c>
      <c r="D1066" s="69" t="s">
        <v>25</v>
      </c>
      <c r="E1066" s="129" t="s">
        <v>1115</v>
      </c>
      <c r="F1066" s="129" t="s">
        <v>1115</v>
      </c>
      <c r="G1066" s="129" t="s">
        <v>1115</v>
      </c>
      <c r="H1066" s="129" t="s">
        <v>1115</v>
      </c>
      <c r="I1066" s="71">
        <v>0.9</v>
      </c>
      <c r="J1066" s="72">
        <v>0.868421052631579</v>
      </c>
      <c r="K1066" s="72">
        <v>0.911111111111111</v>
      </c>
      <c r="L1066" s="73">
        <v>0.883720930232558</v>
      </c>
      <c r="M1066" s="72">
        <v>0.891891891891892</v>
      </c>
      <c r="N1066" s="74">
        <v>0.9</v>
      </c>
      <c r="O1066" s="72">
        <v>0.981697171381032</v>
      </c>
      <c r="P1066" s="72">
        <v>0.937960954446855</v>
      </c>
      <c r="Q1066" s="72">
        <v>0.966448445171849</v>
      </c>
      <c r="R1066" s="72">
        <v>0.957847127996382</v>
      </c>
      <c r="S1066" s="74">
        <v>0.9</v>
      </c>
      <c r="T1066" s="72">
        <v>0.950915141430948</v>
      </c>
      <c r="U1066" s="72">
        <v>0.870281995661605</v>
      </c>
      <c r="V1066" s="72">
        <v>0.950081833060556</v>
      </c>
      <c r="W1066" s="72">
        <v>0.927137042062415</v>
      </c>
      <c r="X1066" s="74">
        <v>0.92</v>
      </c>
      <c r="Y1066" s="74">
        <v>0.947985347985348</v>
      </c>
      <c r="Z1066" s="74">
        <v>0.949509116409537</v>
      </c>
      <c r="AA1066" s="74">
        <v>0.948818897637795</v>
      </c>
      <c r="AB1066" s="74">
        <v>0.949784567175872</v>
      </c>
      <c r="AC1066" s="74">
        <v>0.92</v>
      </c>
      <c r="AD1066" s="72">
        <v>0.89922480620155</v>
      </c>
      <c r="AE1066" s="72">
        <v>0.944099378881988</v>
      </c>
      <c r="AF1066" s="72">
        <v>0.934272300469484</v>
      </c>
      <c r="AG1066" s="72">
        <v>0.945178335535007</v>
      </c>
      <c r="AH1066" s="74">
        <v>0.92</v>
      </c>
      <c r="AI1066" s="72">
        <v>0.970018572565667</v>
      </c>
      <c r="AJ1066" s="72">
        <v>0.969713213615653</v>
      </c>
      <c r="AK1066" s="72">
        <v>0.973074851911686</v>
      </c>
      <c r="AL1066" s="72">
        <v>0.972845878136201</v>
      </c>
      <c r="AM1066" s="71">
        <v>0.99</v>
      </c>
      <c r="AN1066" s="76">
        <v>1</v>
      </c>
      <c r="AO1066" s="76">
        <v>1</v>
      </c>
      <c r="AP1066" s="76">
        <v>1</v>
      </c>
      <c r="AQ1066" s="76">
        <v>1</v>
      </c>
      <c r="AR1066" s="96">
        <v>0.0721861525408278</v>
      </c>
      <c r="AS1066" s="80">
        <v>0.222222222222222</v>
      </c>
      <c r="AT1066" s="80">
        <v>0</v>
      </c>
      <c r="AU1066" s="80">
        <v>0.333333333333333</v>
      </c>
      <c r="AV1066" s="80">
        <v>0.0508474576271186</v>
      </c>
      <c r="AW1066" s="36"/>
      <c r="AX1066" s="34"/>
    </row>
    <row r="1067" ht="14.5" spans="1:50">
      <c r="A1067" s="32"/>
      <c r="B1067" s="36"/>
      <c r="C1067" s="91" t="s">
        <v>1105</v>
      </c>
      <c r="D1067" s="69" t="s">
        <v>25</v>
      </c>
      <c r="E1067" s="129" t="s">
        <v>1116</v>
      </c>
      <c r="F1067" s="129" t="s">
        <v>1116</v>
      </c>
      <c r="G1067" s="129" t="s">
        <v>1116</v>
      </c>
      <c r="H1067" s="129" t="s">
        <v>1116</v>
      </c>
      <c r="I1067" s="71">
        <v>0.9</v>
      </c>
      <c r="J1067" s="72">
        <v>0.923076923076923</v>
      </c>
      <c r="K1067" s="72">
        <v>1</v>
      </c>
      <c r="L1067" s="73">
        <v>0.952380952380952</v>
      </c>
      <c r="M1067" s="72">
        <v>0.961538461538462</v>
      </c>
      <c r="N1067" s="74">
        <v>0.9</v>
      </c>
      <c r="O1067" s="72">
        <v>0.970385395537525</v>
      </c>
      <c r="P1067" s="72">
        <v>0.97974888618874</v>
      </c>
      <c r="Q1067" s="72">
        <v>0.978764478764479</v>
      </c>
      <c r="R1067" s="72">
        <v>0.98083705120034</v>
      </c>
      <c r="S1067" s="74">
        <v>0.9</v>
      </c>
      <c r="T1067" s="72">
        <v>0.922920892494929</v>
      </c>
      <c r="U1067" s="72">
        <v>0.94775212636695</v>
      </c>
      <c r="V1067" s="72">
        <v>0.944401544401544</v>
      </c>
      <c r="W1067" s="72">
        <v>0.941406415976206</v>
      </c>
      <c r="X1067" s="74">
        <v>0.92</v>
      </c>
      <c r="Y1067" s="74">
        <v>0.94384858044164</v>
      </c>
      <c r="Z1067" s="74">
        <v>0.963076923076923</v>
      </c>
      <c r="AA1067" s="74">
        <v>0.957989497374344</v>
      </c>
      <c r="AB1067" s="74">
        <v>0.956253981737099</v>
      </c>
      <c r="AC1067" s="74">
        <v>0.92</v>
      </c>
      <c r="AD1067" s="72">
        <v>0.997391304347826</v>
      </c>
      <c r="AE1067" s="72">
        <v>0.983324648254299</v>
      </c>
      <c r="AF1067" s="72">
        <v>0.998273878020713</v>
      </c>
      <c r="AG1067" s="72">
        <v>0.995507701083856</v>
      </c>
      <c r="AH1067" s="74">
        <v>0.92</v>
      </c>
      <c r="AI1067" s="72">
        <v>0.96</v>
      </c>
      <c r="AJ1067" s="72">
        <v>0.976800976800977</v>
      </c>
      <c r="AK1067" s="72">
        <v>0.980407124681934</v>
      </c>
      <c r="AL1067" s="72">
        <v>0.973109288311964</v>
      </c>
      <c r="AM1067" s="71">
        <v>0.99</v>
      </c>
      <c r="AN1067" s="76">
        <v>1</v>
      </c>
      <c r="AO1067" s="76">
        <v>1</v>
      </c>
      <c r="AP1067" s="76">
        <v>1</v>
      </c>
      <c r="AQ1067" s="76">
        <v>1</v>
      </c>
      <c r="AR1067" s="96">
        <v>0.0721861525408278</v>
      </c>
      <c r="AS1067" s="80">
        <v>0.0909090909090909</v>
      </c>
      <c r="AT1067" s="80">
        <v>0</v>
      </c>
      <c r="AU1067" s="80">
        <v>0</v>
      </c>
      <c r="AV1067" s="80">
        <v>0.0364963503649635</v>
      </c>
      <c r="AW1067" s="36"/>
      <c r="AX1067" s="34"/>
    </row>
    <row r="1068" ht="14.5" spans="1:50">
      <c r="A1068" s="32"/>
      <c r="B1068" s="36"/>
      <c r="C1068" s="91" t="s">
        <v>1105</v>
      </c>
      <c r="D1068" s="69" t="s">
        <v>25</v>
      </c>
      <c r="E1068" s="129" t="s">
        <v>1117</v>
      </c>
      <c r="F1068" s="129" t="s">
        <v>1117</v>
      </c>
      <c r="G1068" s="129" t="s">
        <v>1117</v>
      </c>
      <c r="H1068" s="129" t="s">
        <v>1117</v>
      </c>
      <c r="I1068" s="71">
        <v>0.9</v>
      </c>
      <c r="J1068" s="72">
        <v>0.981132075471698</v>
      </c>
      <c r="K1068" s="72">
        <v>0.963636363636364</v>
      </c>
      <c r="L1068" s="73">
        <v>0.88135593220339</v>
      </c>
      <c r="M1068" s="72">
        <v>0.916</v>
      </c>
      <c r="N1068" s="74">
        <v>0.9</v>
      </c>
      <c r="O1068" s="72">
        <v>0.984275677484108</v>
      </c>
      <c r="P1068" s="72">
        <v>0.980515191545575</v>
      </c>
      <c r="Q1068" s="72">
        <v>0.985520931696569</v>
      </c>
      <c r="R1068" s="72">
        <v>0.97885059078515</v>
      </c>
      <c r="S1068" s="74">
        <v>0.9</v>
      </c>
      <c r="T1068" s="72">
        <v>0.932084309133489</v>
      </c>
      <c r="U1068" s="72">
        <v>0.950792602377807</v>
      </c>
      <c r="V1068" s="72">
        <v>0.950897072710104</v>
      </c>
      <c r="W1068" s="72">
        <v>0.938054953506257</v>
      </c>
      <c r="X1068" s="74">
        <v>0.92</v>
      </c>
      <c r="Y1068" s="74">
        <v>0.946193474527762</v>
      </c>
      <c r="Z1068" s="74">
        <v>0.96098343132015</v>
      </c>
      <c r="AA1068" s="74">
        <v>0.962082262210797</v>
      </c>
      <c r="AB1068" s="74">
        <v>0.961470784539773</v>
      </c>
      <c r="AC1068" s="74">
        <v>0.92</v>
      </c>
      <c r="AD1068" s="72">
        <v>0.998904109589041</v>
      </c>
      <c r="AE1068" s="72">
        <v>0.997178130511464</v>
      </c>
      <c r="AF1068" s="72">
        <v>0.999286733238231</v>
      </c>
      <c r="AG1068" s="72">
        <v>0.997805137350389</v>
      </c>
      <c r="AH1068" s="74">
        <v>0.92</v>
      </c>
      <c r="AI1068" s="72">
        <v>0.968756597002322</v>
      </c>
      <c r="AJ1068" s="72">
        <v>0.979383547662788</v>
      </c>
      <c r="AK1068" s="72">
        <v>0.982474662162162</v>
      </c>
      <c r="AL1068" s="72">
        <v>0.97806706289364</v>
      </c>
      <c r="AM1068" s="71">
        <v>0.99</v>
      </c>
      <c r="AN1068" s="76">
        <v>1</v>
      </c>
      <c r="AO1068" s="76">
        <v>1</v>
      </c>
      <c r="AP1068" s="76">
        <v>1</v>
      </c>
      <c r="AQ1068" s="76">
        <v>1</v>
      </c>
      <c r="AR1068" s="96">
        <v>0.0721861525408278</v>
      </c>
      <c r="AS1068" s="80">
        <v>0</v>
      </c>
      <c r="AT1068" s="80">
        <v>0</v>
      </c>
      <c r="AU1068" s="80">
        <v>0.0526315789473684</v>
      </c>
      <c r="AV1068" s="80">
        <v>0.020979020979021</v>
      </c>
      <c r="AW1068" s="36"/>
      <c r="AX1068" s="34"/>
    </row>
    <row r="1069" ht="14.5" spans="1:50">
      <c r="A1069" s="32"/>
      <c r="B1069" s="36"/>
      <c r="C1069" s="91" t="s">
        <v>1105</v>
      </c>
      <c r="D1069" s="69" t="s">
        <v>25</v>
      </c>
      <c r="E1069" s="129" t="s">
        <v>1118</v>
      </c>
      <c r="F1069" s="129" t="s">
        <v>1118</v>
      </c>
      <c r="G1069" s="129" t="s">
        <v>1118</v>
      </c>
      <c r="H1069" s="129" t="s">
        <v>1118</v>
      </c>
      <c r="I1069" s="71">
        <v>0.9</v>
      </c>
      <c r="J1069" s="72">
        <v>0.933333333333333</v>
      </c>
      <c r="K1069" s="72">
        <v>0.9</v>
      </c>
      <c r="L1069" s="73">
        <v>0.875</v>
      </c>
      <c r="M1069" s="72">
        <v>0.868131868131868</v>
      </c>
      <c r="N1069" s="74">
        <v>0.9</v>
      </c>
      <c r="O1069" s="72">
        <v>0.959445585215606</v>
      </c>
      <c r="P1069" s="72">
        <v>0.950361944157187</v>
      </c>
      <c r="Q1069" s="72">
        <v>0.961595273264402</v>
      </c>
      <c r="R1069" s="72">
        <v>0.962383488681758</v>
      </c>
      <c r="S1069" s="74">
        <v>0.9</v>
      </c>
      <c r="T1069" s="72">
        <v>0.891683778234086</v>
      </c>
      <c r="U1069" s="72">
        <v>0.953981385729059</v>
      </c>
      <c r="V1069" s="72">
        <v>0.949286065977351</v>
      </c>
      <c r="W1069" s="72">
        <v>0.931979582778518</v>
      </c>
      <c r="X1069" s="74">
        <v>0.92</v>
      </c>
      <c r="Y1069" s="74">
        <v>0.944859813084112</v>
      </c>
      <c r="Z1069" s="74">
        <v>0.948320413436692</v>
      </c>
      <c r="AA1069" s="74">
        <v>0.955252918287938</v>
      </c>
      <c r="AB1069" s="74">
        <v>0.944001536836039</v>
      </c>
      <c r="AC1069" s="74">
        <v>0.92</v>
      </c>
      <c r="AD1069" s="72">
        <v>0.626993865030675</v>
      </c>
      <c r="AE1069" s="72">
        <v>0.995161890584295</v>
      </c>
      <c r="AF1069" s="72">
        <v>0.995806028833552</v>
      </c>
      <c r="AG1069" s="72">
        <v>0.89568362671811</v>
      </c>
      <c r="AH1069" s="74">
        <v>0.92</v>
      </c>
      <c r="AI1069" s="72">
        <v>0.963552021206097</v>
      </c>
      <c r="AJ1069" s="72">
        <v>0.963501291989664</v>
      </c>
      <c r="AK1069" s="72">
        <v>0.980750407830343</v>
      </c>
      <c r="AL1069" s="72">
        <v>0.969242125984252</v>
      </c>
      <c r="AM1069" s="71">
        <v>0.99</v>
      </c>
      <c r="AN1069" s="76">
        <v>1</v>
      </c>
      <c r="AO1069" s="76">
        <v>1</v>
      </c>
      <c r="AP1069" s="76">
        <v>1</v>
      </c>
      <c r="AQ1069" s="76">
        <v>1</v>
      </c>
      <c r="AR1069" s="96">
        <v>0.0721861525408278</v>
      </c>
      <c r="AS1069" s="80">
        <v>0</v>
      </c>
      <c r="AT1069" s="80">
        <v>0</v>
      </c>
      <c r="AU1069" s="80">
        <v>0</v>
      </c>
      <c r="AV1069" s="80">
        <v>0.028169014084507</v>
      </c>
      <c r="AW1069" s="36"/>
      <c r="AX1069" s="34"/>
    </row>
    <row r="1070" ht="14.5" spans="1:50">
      <c r="A1070" s="32"/>
      <c r="B1070" s="36"/>
      <c r="C1070" s="91" t="s">
        <v>1105</v>
      </c>
      <c r="D1070" s="69" t="s">
        <v>25</v>
      </c>
      <c r="E1070" s="129" t="s">
        <v>1119</v>
      </c>
      <c r="F1070" s="129" t="s">
        <v>1119</v>
      </c>
      <c r="G1070" s="129" t="s">
        <v>1119</v>
      </c>
      <c r="H1070" s="129" t="s">
        <v>1119</v>
      </c>
      <c r="I1070" s="71">
        <v>0.9</v>
      </c>
      <c r="J1070" s="72">
        <v>0.976190476190476</v>
      </c>
      <c r="K1070" s="72">
        <v>1</v>
      </c>
      <c r="L1070" s="73">
        <v>0.978260869565217</v>
      </c>
      <c r="M1070" s="72">
        <v>0.99</v>
      </c>
      <c r="N1070" s="74">
        <v>0.9</v>
      </c>
      <c r="O1070" s="72">
        <v>0.982231404958678</v>
      </c>
      <c r="P1070" s="72">
        <v>0.981210071401729</v>
      </c>
      <c r="Q1070" s="72">
        <v>0.979335793357934</v>
      </c>
      <c r="R1070" s="72">
        <v>0.982519087154241</v>
      </c>
      <c r="S1070" s="74">
        <v>0.9</v>
      </c>
      <c r="T1070" s="72">
        <v>0.968595041322314</v>
      </c>
      <c r="U1070" s="72">
        <v>0.954528372792183</v>
      </c>
      <c r="V1070" s="72">
        <v>0.973431734317343</v>
      </c>
      <c r="W1070" s="72">
        <v>0.960657515958113</v>
      </c>
      <c r="X1070" s="74">
        <v>0.92</v>
      </c>
      <c r="Y1070" s="74">
        <v>0.964601769911504</v>
      </c>
      <c r="Z1070" s="74">
        <v>0.974293059125964</v>
      </c>
      <c r="AA1070" s="74">
        <v>0.971538461538462</v>
      </c>
      <c r="AB1070" s="74">
        <v>0.971794315469733</v>
      </c>
      <c r="AC1070" s="74">
        <v>0.92</v>
      </c>
      <c r="AD1070" s="72">
        <v>0.998447204968944</v>
      </c>
      <c r="AE1070" s="72">
        <v>0.987581699346405</v>
      </c>
      <c r="AF1070" s="72">
        <v>0.998811645870469</v>
      </c>
      <c r="AG1070" s="72">
        <v>0.996002578981302</v>
      </c>
      <c r="AH1070" s="74">
        <v>0.92</v>
      </c>
      <c r="AI1070" s="72">
        <v>0.977011494252874</v>
      </c>
      <c r="AJ1070" s="72">
        <v>0.981266303059047</v>
      </c>
      <c r="AK1070" s="72">
        <v>0.98728813559322</v>
      </c>
      <c r="AL1070" s="72">
        <v>0.983279980951877</v>
      </c>
      <c r="AM1070" s="71">
        <v>0.99</v>
      </c>
      <c r="AN1070" s="76">
        <v>1</v>
      </c>
      <c r="AO1070" s="76">
        <v>1</v>
      </c>
      <c r="AP1070" s="76">
        <v>1</v>
      </c>
      <c r="AQ1070" s="76">
        <v>1</v>
      </c>
      <c r="AR1070" s="96">
        <v>0.0721861525408278</v>
      </c>
      <c r="AS1070" s="80">
        <v>0</v>
      </c>
      <c r="AT1070" s="80">
        <v>0</v>
      </c>
      <c r="AU1070" s="80">
        <v>0.0208333333333333</v>
      </c>
      <c r="AV1070" s="80">
        <v>0.00756143667296786</v>
      </c>
      <c r="AW1070" s="36"/>
      <c r="AX1070" s="34"/>
    </row>
    <row r="1071" ht="14.5" spans="1:50">
      <c r="A1071" s="32"/>
      <c r="B1071" s="36"/>
      <c r="C1071" s="91" t="s">
        <v>1105</v>
      </c>
      <c r="D1071" s="69" t="s">
        <v>25</v>
      </c>
      <c r="E1071" s="129" t="s">
        <v>1120</v>
      </c>
      <c r="F1071" s="129" t="s">
        <v>1120</v>
      </c>
      <c r="G1071" s="129" t="s">
        <v>1120</v>
      </c>
      <c r="H1071" s="129" t="s">
        <v>1120</v>
      </c>
      <c r="I1071" s="71">
        <v>0.9</v>
      </c>
      <c r="J1071" s="72">
        <v>0.952380952380952</v>
      </c>
      <c r="K1071" s="72">
        <v>1</v>
      </c>
      <c r="L1071" s="73">
        <v>1</v>
      </c>
      <c r="M1071" s="72">
        <v>0.903553299492386</v>
      </c>
      <c r="N1071" s="74">
        <v>0.9</v>
      </c>
      <c r="O1071" s="72">
        <v>0.950980392156863</v>
      </c>
      <c r="P1071" s="72">
        <v>0.968078932095183</v>
      </c>
      <c r="Q1071" s="72">
        <v>0.932432432432432</v>
      </c>
      <c r="R1071" s="72">
        <v>0.950730742229881</v>
      </c>
      <c r="S1071" s="74">
        <v>0.9</v>
      </c>
      <c r="T1071" s="72">
        <v>0.927450980392157</v>
      </c>
      <c r="U1071" s="72">
        <v>0.952988972721997</v>
      </c>
      <c r="V1071" s="72">
        <v>0.931891891891892</v>
      </c>
      <c r="W1071" s="72">
        <v>0.9319675792967</v>
      </c>
      <c r="X1071" s="74">
        <v>0.92</v>
      </c>
      <c r="Y1071" s="74">
        <v>0.957991803278688</v>
      </c>
      <c r="Z1071" s="74">
        <v>0.954545454545455</v>
      </c>
      <c r="AA1071" s="74">
        <v>0.962287104622871</v>
      </c>
      <c r="AB1071" s="74">
        <v>0.959276018099548</v>
      </c>
      <c r="AC1071" s="74">
        <v>0.92</v>
      </c>
      <c r="AD1071" s="72">
        <v>0.997260273972603</v>
      </c>
      <c r="AE1071" s="72">
        <v>0.942097026604069</v>
      </c>
      <c r="AF1071" s="72">
        <v>0.993388429752066</v>
      </c>
      <c r="AG1071" s="72">
        <v>0.953028654334422</v>
      </c>
      <c r="AH1071" s="74">
        <v>0.92</v>
      </c>
      <c r="AI1071" s="72">
        <v>0.974860335195531</v>
      </c>
      <c r="AJ1071" s="72">
        <v>0.974619289340102</v>
      </c>
      <c r="AK1071" s="72">
        <v>0.981668537224093</v>
      </c>
      <c r="AL1071" s="72">
        <v>0.978448972990458</v>
      </c>
      <c r="AM1071" s="71">
        <v>0.99</v>
      </c>
      <c r="AN1071" s="76">
        <v>1</v>
      </c>
      <c r="AO1071" s="76">
        <v>1</v>
      </c>
      <c r="AP1071" s="76">
        <v>1</v>
      </c>
      <c r="AQ1071" s="76">
        <v>1</v>
      </c>
      <c r="AR1071" s="96">
        <v>0.0721861525408278</v>
      </c>
      <c r="AS1071" s="80">
        <v>0.5</v>
      </c>
      <c r="AT1071" s="80">
        <v>0</v>
      </c>
      <c r="AU1071" s="80">
        <v>0.111111111111111</v>
      </c>
      <c r="AV1071" s="80">
        <v>0.0757575757575758</v>
      </c>
      <c r="AW1071" s="36"/>
      <c r="AX1071" s="34"/>
    </row>
    <row r="1072" ht="14.5" spans="1:50">
      <c r="A1072" s="32"/>
      <c r="B1072" s="36"/>
      <c r="C1072" s="91" t="s">
        <v>1105</v>
      </c>
      <c r="D1072" s="69" t="s">
        <v>25</v>
      </c>
      <c r="E1072" s="129" t="s">
        <v>1121</v>
      </c>
      <c r="F1072" s="129" t="s">
        <v>1121</v>
      </c>
      <c r="G1072" s="129" t="s">
        <v>1121</v>
      </c>
      <c r="H1072" s="129" t="s">
        <v>1121</v>
      </c>
      <c r="I1072" s="71">
        <v>0.9</v>
      </c>
      <c r="J1072" s="72">
        <v>0.964285714285714</v>
      </c>
      <c r="K1072" s="72">
        <v>0.966666666666667</v>
      </c>
      <c r="L1072" s="73">
        <v>0.939393939393939</v>
      </c>
      <c r="M1072" s="72">
        <v>0.962546816479401</v>
      </c>
      <c r="N1072" s="74">
        <v>0.9</v>
      </c>
      <c r="O1072" s="72">
        <v>0.959978366684694</v>
      </c>
      <c r="P1072" s="72">
        <v>0.95658835546476</v>
      </c>
      <c r="Q1072" s="72">
        <v>0.959625800098474</v>
      </c>
      <c r="R1072" s="72">
        <v>0.948410421209687</v>
      </c>
      <c r="S1072" s="74">
        <v>0.9</v>
      </c>
      <c r="T1072" s="72">
        <v>0.912925905895078</v>
      </c>
      <c r="U1072" s="72">
        <v>0.915219611848825</v>
      </c>
      <c r="V1072" s="72">
        <v>0.935992122107336</v>
      </c>
      <c r="W1072" s="72">
        <v>0.935383909101343</v>
      </c>
      <c r="X1072" s="74">
        <v>0.92</v>
      </c>
      <c r="Y1072" s="74">
        <v>0.941890719861232</v>
      </c>
      <c r="Z1072" s="74">
        <v>0.939446366782007</v>
      </c>
      <c r="AA1072" s="74">
        <v>0.938219895287958</v>
      </c>
      <c r="AB1072" s="74">
        <v>0.95006826604252</v>
      </c>
      <c r="AC1072" s="74">
        <v>0.92</v>
      </c>
      <c r="AD1072" s="72">
        <v>0.99437148217636</v>
      </c>
      <c r="AE1072" s="72">
        <v>0.997177134791814</v>
      </c>
      <c r="AF1072" s="72">
        <v>0.991834170854271</v>
      </c>
      <c r="AG1072" s="72">
        <v>0.966733627963037</v>
      </c>
      <c r="AH1072" s="74">
        <v>0.92</v>
      </c>
      <c r="AI1072" s="72">
        <v>0.961371961371961</v>
      </c>
      <c r="AJ1072" s="72">
        <v>0.960822093770071</v>
      </c>
      <c r="AK1072" s="72">
        <v>0.965170797052914</v>
      </c>
      <c r="AL1072" s="72">
        <v>0.968896756014739</v>
      </c>
      <c r="AM1072" s="71">
        <v>0.99</v>
      </c>
      <c r="AN1072" s="76">
        <v>1</v>
      </c>
      <c r="AO1072" s="76">
        <v>1</v>
      </c>
      <c r="AP1072" s="76">
        <v>1</v>
      </c>
      <c r="AQ1072" s="76">
        <v>1</v>
      </c>
      <c r="AR1072" s="96">
        <v>0.0721861525408278</v>
      </c>
      <c r="AS1072" s="80">
        <v>0</v>
      </c>
      <c r="AT1072" s="80">
        <v>0</v>
      </c>
      <c r="AU1072" s="80">
        <v>0</v>
      </c>
      <c r="AV1072" s="80">
        <v>0.0625</v>
      </c>
      <c r="AW1072" s="36"/>
      <c r="AX1072" s="34"/>
    </row>
    <row r="1073" ht="14.5" spans="1:50">
      <c r="A1073" s="32"/>
      <c r="B1073" s="36"/>
      <c r="C1073" s="91" t="s">
        <v>1105</v>
      </c>
      <c r="D1073" s="69" t="s">
        <v>25</v>
      </c>
      <c r="E1073" s="129" t="s">
        <v>1122</v>
      </c>
      <c r="F1073" s="129" t="s">
        <v>1122</v>
      </c>
      <c r="G1073" s="129" t="s">
        <v>1122</v>
      </c>
      <c r="H1073" s="129" t="s">
        <v>1122</v>
      </c>
      <c r="I1073" s="71">
        <v>0.9</v>
      </c>
      <c r="J1073" s="72">
        <v>1</v>
      </c>
      <c r="K1073" s="72">
        <v>1</v>
      </c>
      <c r="L1073" s="73">
        <v>0.963636363636364</v>
      </c>
      <c r="M1073" s="72">
        <v>0.984649122807018</v>
      </c>
      <c r="N1073" s="74">
        <v>0.9</v>
      </c>
      <c r="O1073" s="72">
        <v>0.951234379762268</v>
      </c>
      <c r="P1073" s="72">
        <v>0.95221843003413</v>
      </c>
      <c r="Q1073" s="72">
        <v>0.954545454545455</v>
      </c>
      <c r="R1073" s="72">
        <v>0.95974735739765</v>
      </c>
      <c r="S1073" s="74">
        <v>0.9</v>
      </c>
      <c r="T1073" s="72">
        <v>0.946357817738494</v>
      </c>
      <c r="U1073" s="72">
        <v>0.943530871858517</v>
      </c>
      <c r="V1073" s="72">
        <v>0.941433566433566</v>
      </c>
      <c r="W1073" s="72">
        <v>0.940242824884642</v>
      </c>
      <c r="X1073" s="74">
        <v>0.92</v>
      </c>
      <c r="Y1073" s="74">
        <v>0.945802337938363</v>
      </c>
      <c r="Z1073" s="74">
        <v>0.955448201825013</v>
      </c>
      <c r="AA1073" s="74">
        <v>0.964797136038186</v>
      </c>
      <c r="AB1073" s="74">
        <v>0.960953817591088</v>
      </c>
      <c r="AC1073" s="74">
        <v>0.92</v>
      </c>
      <c r="AD1073" s="72">
        <v>0.992477668077104</v>
      </c>
      <c r="AE1073" s="72">
        <v>0.822018348623853</v>
      </c>
      <c r="AF1073" s="72">
        <v>0.998175182481752</v>
      </c>
      <c r="AG1073" s="72">
        <v>0.957693436368972</v>
      </c>
      <c r="AH1073" s="74">
        <v>0.92</v>
      </c>
      <c r="AI1073" s="72">
        <v>0.964555490993608</v>
      </c>
      <c r="AJ1073" s="72">
        <v>0.971299390603499</v>
      </c>
      <c r="AK1073" s="72">
        <v>0.979264475743349</v>
      </c>
      <c r="AL1073" s="72">
        <v>0.976610389338689</v>
      </c>
      <c r="AM1073" s="71">
        <v>0.99</v>
      </c>
      <c r="AN1073" s="76">
        <v>1</v>
      </c>
      <c r="AO1073" s="76">
        <v>1</v>
      </c>
      <c r="AP1073" s="76">
        <v>1</v>
      </c>
      <c r="AQ1073" s="76">
        <v>1</v>
      </c>
      <c r="AR1073" s="96">
        <v>0.0721861525408278</v>
      </c>
      <c r="AS1073" s="80">
        <v>0</v>
      </c>
      <c r="AT1073" s="80">
        <v>0</v>
      </c>
      <c r="AU1073" s="80">
        <v>0.111111111111111</v>
      </c>
      <c r="AV1073" s="80">
        <v>0.0225563909774436</v>
      </c>
      <c r="AW1073" s="36"/>
      <c r="AX1073" s="34"/>
    </row>
    <row r="1074" ht="14.5" spans="1:50">
      <c r="A1074" s="32"/>
      <c r="B1074" s="36"/>
      <c r="C1074" s="91" t="s">
        <v>1105</v>
      </c>
      <c r="D1074" s="69" t="s">
        <v>25</v>
      </c>
      <c r="E1074" s="129" t="s">
        <v>1123</v>
      </c>
      <c r="F1074" s="129" t="s">
        <v>1123</v>
      </c>
      <c r="G1074" s="129" t="s">
        <v>1123</v>
      </c>
      <c r="H1074" s="129" t="s">
        <v>1123</v>
      </c>
      <c r="I1074" s="71">
        <v>0.9</v>
      </c>
      <c r="J1074" s="72">
        <v>0.96969696969697</v>
      </c>
      <c r="K1074" s="72">
        <v>0.909090909090909</v>
      </c>
      <c r="L1074" s="73">
        <v>1</v>
      </c>
      <c r="M1074" s="72">
        <v>0.972413793103448</v>
      </c>
      <c r="N1074" s="74">
        <v>0.9</v>
      </c>
      <c r="O1074" s="72">
        <v>0.97283950617284</v>
      </c>
      <c r="P1074" s="72">
        <v>0.974267616785432</v>
      </c>
      <c r="Q1074" s="72">
        <v>0.968917881811205</v>
      </c>
      <c r="R1074" s="72">
        <v>0.974968105230742</v>
      </c>
      <c r="S1074" s="74">
        <v>0.9</v>
      </c>
      <c r="T1074" s="72">
        <v>0.953497942386831</v>
      </c>
      <c r="U1074" s="72">
        <v>0.916468725257324</v>
      </c>
      <c r="V1074" s="72">
        <v>0.947429009976976</v>
      </c>
      <c r="W1074" s="72">
        <v>0.944437112313581</v>
      </c>
      <c r="X1074" s="74">
        <v>0.92</v>
      </c>
      <c r="Y1074" s="74">
        <v>0.949554896142433</v>
      </c>
      <c r="Z1074" s="74">
        <v>0.955048409405256</v>
      </c>
      <c r="AA1074" s="74">
        <v>0.963338533541342</v>
      </c>
      <c r="AB1074" s="74">
        <v>0.960665892373209</v>
      </c>
      <c r="AC1074" s="74">
        <v>0.92</v>
      </c>
      <c r="AD1074" s="72">
        <v>1</v>
      </c>
      <c r="AE1074" s="72">
        <v>0.9968</v>
      </c>
      <c r="AF1074" s="72">
        <v>0.991119005328597</v>
      </c>
      <c r="AG1074" s="72">
        <v>0.994504520475093</v>
      </c>
      <c r="AH1074" s="74">
        <v>0.92</v>
      </c>
      <c r="AI1074" s="72">
        <v>0.967178401270513</v>
      </c>
      <c r="AJ1074" s="72">
        <v>0.970292044310171</v>
      </c>
      <c r="AK1074" s="72">
        <v>0.977406931964056</v>
      </c>
      <c r="AL1074" s="72">
        <v>0.97582318954395</v>
      </c>
      <c r="AM1074" s="71">
        <v>0.99</v>
      </c>
      <c r="AN1074" s="76">
        <v>1</v>
      </c>
      <c r="AO1074" s="76">
        <v>1</v>
      </c>
      <c r="AP1074" s="76">
        <v>1</v>
      </c>
      <c r="AQ1074" s="76">
        <v>1</v>
      </c>
      <c r="AR1074" s="96">
        <v>0.0721861525408278</v>
      </c>
      <c r="AS1074" s="80">
        <v>0</v>
      </c>
      <c r="AT1074" s="80">
        <v>0.0666666666666667</v>
      </c>
      <c r="AU1074" s="80">
        <v>0</v>
      </c>
      <c r="AV1074" s="80">
        <v>0.0526315789473684</v>
      </c>
      <c r="AW1074" s="36"/>
      <c r="AX1074" s="34"/>
    </row>
    <row r="1075" ht="14.5" spans="1:50">
      <c r="A1075" s="32"/>
      <c r="B1075" s="36"/>
      <c r="C1075" s="91" t="s">
        <v>1105</v>
      </c>
      <c r="D1075" s="69" t="s">
        <v>25</v>
      </c>
      <c r="E1075" s="129" t="s">
        <v>1124</v>
      </c>
      <c r="F1075" s="129" t="s">
        <v>1124</v>
      </c>
      <c r="G1075" s="129" t="s">
        <v>1124</v>
      </c>
      <c r="H1075" s="129" t="s">
        <v>1124</v>
      </c>
      <c r="I1075" s="71">
        <v>0.9</v>
      </c>
      <c r="J1075" s="72">
        <v>1</v>
      </c>
      <c r="K1075" s="72">
        <v>1</v>
      </c>
      <c r="L1075" s="73">
        <v>1</v>
      </c>
      <c r="M1075" s="72">
        <v>0.992857142857143</v>
      </c>
      <c r="N1075" s="74">
        <v>0.9</v>
      </c>
      <c r="O1075" s="72">
        <v>0.983495145631068</v>
      </c>
      <c r="P1075" s="72">
        <v>0.991928251121076</v>
      </c>
      <c r="Q1075" s="72">
        <v>0.992333901192504</v>
      </c>
      <c r="R1075" s="72">
        <v>0.98681450404555</v>
      </c>
      <c r="S1075" s="74">
        <v>0.9</v>
      </c>
      <c r="T1075" s="72">
        <v>0.920873786407767</v>
      </c>
      <c r="U1075" s="72">
        <v>0.940358744394619</v>
      </c>
      <c r="V1075" s="72">
        <v>0.938671209540034</v>
      </c>
      <c r="W1075" s="72">
        <v>0.944061532314454</v>
      </c>
      <c r="X1075" s="74">
        <v>0.92</v>
      </c>
      <c r="Y1075" s="74">
        <v>0.946219797349961</v>
      </c>
      <c r="Z1075" s="74">
        <v>0.96551724137931</v>
      </c>
      <c r="AA1075" s="74">
        <v>0.977905073649755</v>
      </c>
      <c r="AB1075" s="74">
        <v>0.971754171754172</v>
      </c>
      <c r="AC1075" s="74">
        <v>0.92</v>
      </c>
      <c r="AD1075" s="72">
        <v>0.997936726272352</v>
      </c>
      <c r="AE1075" s="72">
        <v>1</v>
      </c>
      <c r="AF1075" s="72">
        <v>1</v>
      </c>
      <c r="AG1075" s="72">
        <v>0.958886050918678</v>
      </c>
      <c r="AH1075" s="74">
        <v>0.92</v>
      </c>
      <c r="AI1075" s="72">
        <v>0.959641255605381</v>
      </c>
      <c r="AJ1075" s="72">
        <v>0.974875759249034</v>
      </c>
      <c r="AK1075" s="72">
        <v>0.987958555026603</v>
      </c>
      <c r="AL1075" s="72">
        <v>0.981616167868528</v>
      </c>
      <c r="AM1075" s="71">
        <v>0.99</v>
      </c>
      <c r="AN1075" s="76">
        <v>1</v>
      </c>
      <c r="AO1075" s="76">
        <v>1</v>
      </c>
      <c r="AP1075" s="76">
        <v>1</v>
      </c>
      <c r="AQ1075" s="76">
        <v>1</v>
      </c>
      <c r="AR1075" s="96">
        <v>0.0721861525408278</v>
      </c>
      <c r="AS1075" s="80">
        <v>0.04</v>
      </c>
      <c r="AT1075" s="80">
        <v>0</v>
      </c>
      <c r="AU1075" s="80">
        <v>0.0833333333333333</v>
      </c>
      <c r="AV1075" s="80">
        <v>0.014018691588785</v>
      </c>
      <c r="AW1075" s="36"/>
      <c r="AX1075" s="34"/>
    </row>
    <row r="1076" ht="14.5" spans="1:50">
      <c r="A1076" s="32"/>
      <c r="B1076" s="36"/>
      <c r="C1076" s="91" t="s">
        <v>1105</v>
      </c>
      <c r="D1076" s="69" t="s">
        <v>25</v>
      </c>
      <c r="E1076" s="129" t="s">
        <v>1125</v>
      </c>
      <c r="F1076" s="129" t="s">
        <v>1125</v>
      </c>
      <c r="G1076" s="129" t="s">
        <v>1125</v>
      </c>
      <c r="H1076" s="129" t="s">
        <v>1125</v>
      </c>
      <c r="I1076" s="71">
        <v>0.9</v>
      </c>
      <c r="J1076" s="72">
        <v>0.964285714285714</v>
      </c>
      <c r="K1076" s="72">
        <v>1</v>
      </c>
      <c r="L1076" s="73">
        <v>0.892857142857143</v>
      </c>
      <c r="M1076" s="72">
        <v>0.968</v>
      </c>
      <c r="N1076" s="74">
        <v>0.9</v>
      </c>
      <c r="O1076" s="72">
        <v>0.9610630407911</v>
      </c>
      <c r="P1076" s="72">
        <v>0.971104815864023</v>
      </c>
      <c r="Q1076" s="72">
        <v>0.968325791855204</v>
      </c>
      <c r="R1076" s="72">
        <v>0.955138662316476</v>
      </c>
      <c r="S1076" s="74">
        <v>0.9</v>
      </c>
      <c r="T1076" s="72">
        <v>0.951792336217553</v>
      </c>
      <c r="U1076" s="72">
        <v>0.935410764872521</v>
      </c>
      <c r="V1076" s="72">
        <v>0.927036199095023</v>
      </c>
      <c r="W1076" s="72">
        <v>0.923829840632451</v>
      </c>
      <c r="X1076" s="74">
        <v>0.92</v>
      </c>
      <c r="Y1076" s="74">
        <v>0.936619718309859</v>
      </c>
      <c r="Z1076" s="74">
        <v>0.950354609929078</v>
      </c>
      <c r="AA1076" s="74">
        <v>0.934090909090909</v>
      </c>
      <c r="AB1076" s="74">
        <v>0.9375</v>
      </c>
      <c r="AC1076" s="74">
        <v>0.92</v>
      </c>
      <c r="AD1076" s="72">
        <v>0.997916666666667</v>
      </c>
      <c r="AE1076" s="72">
        <v>0.99749373433584</v>
      </c>
      <c r="AF1076" s="72">
        <v>0.993431025770591</v>
      </c>
      <c r="AG1076" s="72">
        <v>0.995696321699953</v>
      </c>
      <c r="AH1076" s="74">
        <v>0.92</v>
      </c>
      <c r="AI1076" s="72">
        <v>0.961715160796325</v>
      </c>
      <c r="AJ1076" s="72">
        <v>0.966945150744642</v>
      </c>
      <c r="AK1076" s="72">
        <v>0.964905660377358</v>
      </c>
      <c r="AL1076" s="72">
        <v>0.961095672886066</v>
      </c>
      <c r="AM1076" s="71">
        <v>0.99</v>
      </c>
      <c r="AN1076" s="76">
        <v>1</v>
      </c>
      <c r="AO1076" s="76">
        <v>1</v>
      </c>
      <c r="AP1076" s="76">
        <v>1</v>
      </c>
      <c r="AQ1076" s="76">
        <v>1</v>
      </c>
      <c r="AR1076" s="96">
        <v>0.0721861525408278</v>
      </c>
      <c r="AS1076" s="80">
        <v>0.142857142857143</v>
      </c>
      <c r="AT1076" s="80">
        <v>0</v>
      </c>
      <c r="AU1076" s="80">
        <v>0</v>
      </c>
      <c r="AV1076" s="80">
        <v>0.0394736842105263</v>
      </c>
      <c r="AW1076" s="36"/>
      <c r="AX1076" s="34"/>
    </row>
    <row r="1077" ht="14.5" spans="1:50">
      <c r="A1077" s="32"/>
      <c r="B1077" s="36"/>
      <c r="C1077" s="91" t="s">
        <v>1105</v>
      </c>
      <c r="D1077" s="69" t="s">
        <v>25</v>
      </c>
      <c r="E1077" s="129" t="s">
        <v>1126</v>
      </c>
      <c r="F1077" s="129" t="s">
        <v>1126</v>
      </c>
      <c r="G1077" s="129" t="s">
        <v>1126</v>
      </c>
      <c r="H1077" s="129" t="s">
        <v>1126</v>
      </c>
      <c r="I1077" s="71">
        <v>0.9</v>
      </c>
      <c r="J1077" s="72">
        <v>0.931034482758621</v>
      </c>
      <c r="K1077" s="72">
        <v>0.818181818181818</v>
      </c>
      <c r="L1077" s="73">
        <v>0.876923076923077</v>
      </c>
      <c r="M1077" s="72">
        <v>0.802721088435374</v>
      </c>
      <c r="N1077" s="74">
        <v>0.9</v>
      </c>
      <c r="O1077" s="72">
        <v>0.861076859843814</v>
      </c>
      <c r="P1077" s="72">
        <v>0.950977301387137</v>
      </c>
      <c r="Q1077" s="72">
        <v>0.945789553829755</v>
      </c>
      <c r="R1077" s="72">
        <v>0.88781192667998</v>
      </c>
      <c r="S1077" s="74">
        <v>0.9</v>
      </c>
      <c r="T1077" s="72">
        <v>0.783394985614468</v>
      </c>
      <c r="U1077" s="72">
        <v>0.859394703656999</v>
      </c>
      <c r="V1077" s="72">
        <v>0.8818334094716</v>
      </c>
      <c r="W1077" s="72">
        <v>0.845972756644424</v>
      </c>
      <c r="X1077" s="74">
        <v>0.92</v>
      </c>
      <c r="Y1077" s="74">
        <v>0.893653516295026</v>
      </c>
      <c r="Z1077" s="74">
        <v>0.930396475770925</v>
      </c>
      <c r="AA1077" s="74">
        <v>0.946287519747235</v>
      </c>
      <c r="AB1077" s="74">
        <v>0.925127951130923</v>
      </c>
      <c r="AC1077" s="74">
        <v>0.92</v>
      </c>
      <c r="AD1077" s="72">
        <v>0.998547039593171</v>
      </c>
      <c r="AE1077" s="72">
        <v>0.965783664459161</v>
      </c>
      <c r="AF1077" s="72">
        <v>0.881023255813953</v>
      </c>
      <c r="AG1077" s="72">
        <v>0.823481923481924</v>
      </c>
      <c r="AH1077" s="74">
        <v>0.92</v>
      </c>
      <c r="AI1077" s="72">
        <v>0.918181818181818</v>
      </c>
      <c r="AJ1077" s="72">
        <v>0.963641224435236</v>
      </c>
      <c r="AK1077" s="72">
        <v>0.97165836844121</v>
      </c>
      <c r="AL1077" s="72">
        <v>0.960318967153978</v>
      </c>
      <c r="AM1077" s="71">
        <v>0.99</v>
      </c>
      <c r="AN1077" s="76">
        <v>1</v>
      </c>
      <c r="AO1077" s="76">
        <v>1</v>
      </c>
      <c r="AP1077" s="76">
        <v>1</v>
      </c>
      <c r="AQ1077" s="76">
        <v>1</v>
      </c>
      <c r="AR1077" s="96">
        <v>0.0721861525408278</v>
      </c>
      <c r="AS1077" s="80">
        <v>0</v>
      </c>
      <c r="AT1077" s="80">
        <v>0.0576923076923077</v>
      </c>
      <c r="AU1077" s="80">
        <v>0</v>
      </c>
      <c r="AV1077" s="80">
        <v>0.0258064516129032</v>
      </c>
      <c r="AW1077" s="36"/>
      <c r="AX1077" s="34"/>
    </row>
    <row r="1078" ht="14.5" spans="1:50">
      <c r="A1078" s="32"/>
      <c r="B1078" s="36"/>
      <c r="C1078" s="91" t="s">
        <v>1105</v>
      </c>
      <c r="D1078" s="69" t="s">
        <v>25</v>
      </c>
      <c r="E1078" s="129" t="s">
        <v>1127</v>
      </c>
      <c r="F1078" s="129" t="s">
        <v>1127</v>
      </c>
      <c r="G1078" s="129" t="s">
        <v>1127</v>
      </c>
      <c r="H1078" s="129" t="s">
        <v>1127</v>
      </c>
      <c r="I1078" s="71">
        <v>0.9</v>
      </c>
      <c r="J1078" s="72">
        <v>0.935483870967742</v>
      </c>
      <c r="K1078" s="72">
        <v>1</v>
      </c>
      <c r="L1078" s="73">
        <v>1</v>
      </c>
      <c r="M1078" s="72">
        <v>0.940140845070423</v>
      </c>
      <c r="N1078" s="74">
        <v>0.9</v>
      </c>
      <c r="O1078" s="72">
        <v>0.952285139407876</v>
      </c>
      <c r="P1078" s="72">
        <v>0.981783317353787</v>
      </c>
      <c r="Q1078" s="72">
        <v>0.975641442026632</v>
      </c>
      <c r="R1078" s="72">
        <v>0.955743913435527</v>
      </c>
      <c r="S1078" s="74">
        <v>0.9</v>
      </c>
      <c r="T1078" s="72">
        <v>0.910893935038804</v>
      </c>
      <c r="U1078" s="72">
        <v>0.967721316714605</v>
      </c>
      <c r="V1078" s="72">
        <v>0.965248457291328</v>
      </c>
      <c r="W1078" s="72">
        <v>0.958485121731289</v>
      </c>
      <c r="X1078" s="74">
        <v>0.92</v>
      </c>
      <c r="Y1078" s="74">
        <v>0.934537246049661</v>
      </c>
      <c r="Z1078" s="74">
        <v>0.942909760589319</v>
      </c>
      <c r="AA1078" s="74">
        <v>0.957407407407407</v>
      </c>
      <c r="AB1078" s="74">
        <v>0.954842123831364</v>
      </c>
      <c r="AC1078" s="74">
        <v>0.92</v>
      </c>
      <c r="AD1078" s="72">
        <v>0.974465558194774</v>
      </c>
      <c r="AE1078" s="72">
        <v>0.993888360722532</v>
      </c>
      <c r="AF1078" s="72">
        <v>0.99510561566203</v>
      </c>
      <c r="AG1078" s="72">
        <v>0.994019289139532</v>
      </c>
      <c r="AH1078" s="74">
        <v>0.92</v>
      </c>
      <c r="AI1078" s="72">
        <v>0.959204487506374</v>
      </c>
      <c r="AJ1078" s="72">
        <v>0.982843137254902</v>
      </c>
      <c r="AK1078" s="72">
        <v>0.97927604310583</v>
      </c>
      <c r="AL1078" s="72">
        <v>0.980595316523927</v>
      </c>
      <c r="AM1078" s="71">
        <v>0.99</v>
      </c>
      <c r="AN1078" s="76">
        <v>1</v>
      </c>
      <c r="AO1078" s="76">
        <v>1</v>
      </c>
      <c r="AP1078" s="76">
        <v>1</v>
      </c>
      <c r="AQ1078" s="76">
        <v>1</v>
      </c>
      <c r="AR1078" s="96">
        <v>0.0721861525408278</v>
      </c>
      <c r="AS1078" s="80">
        <v>0</v>
      </c>
      <c r="AT1078" s="80">
        <v>0.0714285714285714</v>
      </c>
      <c r="AU1078" s="80">
        <v>0.181818181818182</v>
      </c>
      <c r="AV1078" s="80">
        <v>0.0545454545454545</v>
      </c>
      <c r="AW1078" s="36"/>
      <c r="AX1078" s="34"/>
    </row>
    <row r="1079" ht="14.5" spans="1:50">
      <c r="A1079" s="32"/>
      <c r="B1079" s="36"/>
      <c r="C1079" s="91" t="s">
        <v>1105</v>
      </c>
      <c r="D1079" s="69" t="s">
        <v>25</v>
      </c>
      <c r="E1079" s="129" t="s">
        <v>1128</v>
      </c>
      <c r="F1079" s="129" t="s">
        <v>1128</v>
      </c>
      <c r="G1079" s="129" t="s">
        <v>1128</v>
      </c>
      <c r="H1079" s="129" t="s">
        <v>1128</v>
      </c>
      <c r="I1079" s="71">
        <v>0.9</v>
      </c>
      <c r="J1079" s="72">
        <v>1</v>
      </c>
      <c r="K1079" s="72">
        <v>0.953488372093023</v>
      </c>
      <c r="L1079" s="73">
        <v>0.953488372093023</v>
      </c>
      <c r="M1079" s="72">
        <v>0.943444730077121</v>
      </c>
      <c r="N1079" s="74">
        <v>0.9</v>
      </c>
      <c r="O1079" s="72">
        <v>0.912953128607712</v>
      </c>
      <c r="P1079" s="72">
        <v>0.965195047886008</v>
      </c>
      <c r="Q1079" s="72">
        <v>0.777777777777778</v>
      </c>
      <c r="R1079" s="72">
        <v>0.896019671953955</v>
      </c>
      <c r="S1079" s="74">
        <v>0.9</v>
      </c>
      <c r="T1079" s="72">
        <v>0.823597321634726</v>
      </c>
      <c r="U1079" s="72">
        <v>0.844428871758935</v>
      </c>
      <c r="V1079" s="72">
        <v>0.804425410421128</v>
      </c>
      <c r="W1079" s="72">
        <v>0.811954495095522</v>
      </c>
      <c r="X1079" s="74">
        <v>0.92</v>
      </c>
      <c r="Y1079" s="74">
        <v>0.879754601226994</v>
      </c>
      <c r="Z1079" s="74">
        <v>0.909090909090909</v>
      </c>
      <c r="AA1079" s="74">
        <v>0.925449871465296</v>
      </c>
      <c r="AB1079" s="74">
        <v>0.897227938506234</v>
      </c>
      <c r="AC1079" s="74">
        <v>0.92</v>
      </c>
      <c r="AD1079" s="72">
        <v>0.998252893644901</v>
      </c>
      <c r="AE1079" s="72">
        <v>0.997418938538474</v>
      </c>
      <c r="AF1079" s="72">
        <v>0.998888888888889</v>
      </c>
      <c r="AG1079" s="72">
        <v>0.994027170518426</v>
      </c>
      <c r="AH1079" s="74">
        <v>0.92</v>
      </c>
      <c r="AI1079" s="72">
        <v>0.927724888284438</v>
      </c>
      <c r="AJ1079" s="72">
        <v>0.952315810044948</v>
      </c>
      <c r="AK1079" s="72">
        <v>0.950210801043967</v>
      </c>
      <c r="AL1079" s="72">
        <v>0.943139897059798</v>
      </c>
      <c r="AM1079" s="71">
        <v>0.99</v>
      </c>
      <c r="AN1079" s="76">
        <v>1</v>
      </c>
      <c r="AO1079" s="76">
        <v>1</v>
      </c>
      <c r="AP1079" s="76">
        <v>1</v>
      </c>
      <c r="AQ1079" s="76">
        <v>1</v>
      </c>
      <c r="AR1079" s="96">
        <v>0.0721861525408278</v>
      </c>
      <c r="AS1079" s="80">
        <v>0.0181818181818182</v>
      </c>
      <c r="AT1079" s="80">
        <v>0</v>
      </c>
      <c r="AU1079" s="80">
        <v>0.0425531914893617</v>
      </c>
      <c r="AV1079" s="80">
        <v>0.0160857908847185</v>
      </c>
      <c r="AW1079" s="36"/>
      <c r="AX1079" s="34"/>
    </row>
    <row r="1080" ht="14.5" spans="1:50">
      <c r="A1080" s="32"/>
      <c r="B1080" s="36"/>
      <c r="C1080" s="91" t="s">
        <v>1105</v>
      </c>
      <c r="D1080" s="69" t="s">
        <v>25</v>
      </c>
      <c r="E1080" s="129" t="s">
        <v>1129</v>
      </c>
      <c r="F1080" s="129" t="s">
        <v>1129</v>
      </c>
      <c r="G1080" s="129" t="s">
        <v>1129</v>
      </c>
      <c r="H1080" s="129" t="s">
        <v>1129</v>
      </c>
      <c r="I1080" s="71">
        <v>0.9</v>
      </c>
      <c r="J1080" s="72">
        <v>0</v>
      </c>
      <c r="K1080" s="72">
        <v>0</v>
      </c>
      <c r="L1080" s="73">
        <v>0</v>
      </c>
      <c r="M1080" s="72">
        <v>0</v>
      </c>
      <c r="N1080" s="74">
        <v>0.9</v>
      </c>
      <c r="O1080" s="72">
        <v>0</v>
      </c>
      <c r="P1080" s="72">
        <v>0</v>
      </c>
      <c r="Q1080" s="72">
        <v>0</v>
      </c>
      <c r="R1080" s="72">
        <v>0</v>
      </c>
      <c r="S1080" s="74">
        <v>0.9</v>
      </c>
      <c r="T1080" s="72">
        <v>0</v>
      </c>
      <c r="U1080" s="72">
        <v>0</v>
      </c>
      <c r="V1080" s="72">
        <v>0.5</v>
      </c>
      <c r="W1080" s="72">
        <v>0.0588235294117647</v>
      </c>
      <c r="X1080" s="74">
        <v>0.92</v>
      </c>
      <c r="Y1080" s="74">
        <v>0</v>
      </c>
      <c r="Z1080" s="74">
        <v>0</v>
      </c>
      <c r="AA1080" s="74">
        <v>0</v>
      </c>
      <c r="AB1080" s="74">
        <v>0</v>
      </c>
      <c r="AC1080" s="74">
        <v>0.92</v>
      </c>
      <c r="AD1080" s="72">
        <v>0</v>
      </c>
      <c r="AE1080" s="72">
        <v>0</v>
      </c>
      <c r="AF1080" s="72">
        <v>0</v>
      </c>
      <c r="AG1080" s="72">
        <v>0.5</v>
      </c>
      <c r="AH1080" s="74">
        <v>0.92</v>
      </c>
      <c r="AI1080" s="72">
        <v>0.00524475524475524</v>
      </c>
      <c r="AJ1080" s="72">
        <v>0</v>
      </c>
      <c r="AK1080" s="72">
        <v>0.000271812992661049</v>
      </c>
      <c r="AL1080" s="72">
        <v>0.00584841229344114</v>
      </c>
      <c r="AM1080" s="71">
        <v>0.99</v>
      </c>
      <c r="AN1080" s="76">
        <v>0</v>
      </c>
      <c r="AO1080" s="76">
        <v>0</v>
      </c>
      <c r="AP1080" s="76">
        <v>0</v>
      </c>
      <c r="AQ1080" s="76">
        <v>0</v>
      </c>
      <c r="AR1080" s="96">
        <v>0.0721861525408278</v>
      </c>
      <c r="AS1080" s="80">
        <v>0.5</v>
      </c>
      <c r="AT1080" s="80">
        <v>0</v>
      </c>
      <c r="AU1080" s="80">
        <v>0</v>
      </c>
      <c r="AV1080" s="80">
        <v>0.206896551724138</v>
      </c>
      <c r="AW1080" s="36"/>
      <c r="AX1080" s="34"/>
    </row>
    <row r="1081" ht="14.5" spans="1:50">
      <c r="A1081" s="32"/>
      <c r="B1081" s="36"/>
      <c r="C1081" s="91" t="s">
        <v>1105</v>
      </c>
      <c r="D1081" s="69" t="s">
        <v>25</v>
      </c>
      <c r="E1081" s="129" t="s">
        <v>1130</v>
      </c>
      <c r="F1081" s="129" t="s">
        <v>1130</v>
      </c>
      <c r="G1081" s="129" t="s">
        <v>1130</v>
      </c>
      <c r="H1081" s="129" t="s">
        <v>1130</v>
      </c>
      <c r="I1081" s="71">
        <v>0.9</v>
      </c>
      <c r="J1081" s="72">
        <v>0.923076923076923</v>
      </c>
      <c r="K1081" s="72">
        <v>0.892857142857143</v>
      </c>
      <c r="L1081" s="73">
        <v>0.931034482758621</v>
      </c>
      <c r="M1081" s="72">
        <v>0.949019607843137</v>
      </c>
      <c r="N1081" s="74">
        <v>0.9</v>
      </c>
      <c r="O1081" s="72">
        <v>0.984329089128306</v>
      </c>
      <c r="P1081" s="72">
        <v>0.995600676818951</v>
      </c>
      <c r="Q1081" s="72">
        <v>0.96015514809591</v>
      </c>
      <c r="R1081" s="72">
        <v>0.978624388704843</v>
      </c>
      <c r="S1081" s="74">
        <v>0.9</v>
      </c>
      <c r="T1081" s="72">
        <v>0.902709761671564</v>
      </c>
      <c r="U1081" s="72">
        <v>0.962098138747885</v>
      </c>
      <c r="V1081" s="72">
        <v>0.915726375176305</v>
      </c>
      <c r="W1081" s="72">
        <v>0.940171951411895</v>
      </c>
      <c r="X1081" s="74">
        <v>0.92</v>
      </c>
      <c r="Y1081" s="74">
        <v>0.94524959742351</v>
      </c>
      <c r="Z1081" s="74">
        <v>0.942307692307692</v>
      </c>
      <c r="AA1081" s="74">
        <v>0.956912028725314</v>
      </c>
      <c r="AB1081" s="74">
        <v>0.956144739036185</v>
      </c>
      <c r="AC1081" s="74">
        <v>0.92</v>
      </c>
      <c r="AD1081" s="72">
        <v>0.995868544600939</v>
      </c>
      <c r="AE1081" s="72">
        <v>0.972678860847418</v>
      </c>
      <c r="AF1081" s="72">
        <v>0.982107355864811</v>
      </c>
      <c r="AG1081" s="72">
        <v>0.981648693109121</v>
      </c>
      <c r="AH1081" s="74">
        <v>0.92</v>
      </c>
      <c r="AI1081" s="72">
        <v>0.966069489685125</v>
      </c>
      <c r="AJ1081" s="72">
        <v>0.977601360929969</v>
      </c>
      <c r="AK1081" s="72">
        <v>0.952254641909814</v>
      </c>
      <c r="AL1081" s="72">
        <v>0.975187370435337</v>
      </c>
      <c r="AM1081" s="71">
        <v>0.99</v>
      </c>
      <c r="AN1081" s="76">
        <v>1</v>
      </c>
      <c r="AO1081" s="76">
        <v>1</v>
      </c>
      <c r="AP1081" s="76">
        <v>1</v>
      </c>
      <c r="AQ1081" s="76">
        <v>1</v>
      </c>
      <c r="AR1081" s="96">
        <v>0.0721861525408278</v>
      </c>
      <c r="AS1081" s="80">
        <v>0</v>
      </c>
      <c r="AT1081" s="80">
        <v>0.0625</v>
      </c>
      <c r="AU1081" s="80">
        <v>0</v>
      </c>
      <c r="AV1081" s="80">
        <v>0.0420168067226891</v>
      </c>
      <c r="AW1081" s="36"/>
      <c r="AX1081" s="34"/>
    </row>
    <row r="1082" ht="14.5" spans="1:50">
      <c r="A1082" s="32"/>
      <c r="B1082" s="36"/>
      <c r="C1082" s="91" t="s">
        <v>1105</v>
      </c>
      <c r="D1082" s="69" t="s">
        <v>25</v>
      </c>
      <c r="E1082" s="129" t="s">
        <v>1131</v>
      </c>
      <c r="F1082" s="129" t="s">
        <v>1131</v>
      </c>
      <c r="G1082" s="129" t="s">
        <v>1131</v>
      </c>
      <c r="H1082" s="129" t="s">
        <v>1131</v>
      </c>
      <c r="I1082" s="71">
        <v>0.9</v>
      </c>
      <c r="J1082" s="72">
        <v>0.91304347826087</v>
      </c>
      <c r="K1082" s="72">
        <v>1</v>
      </c>
      <c r="L1082" s="73">
        <v>1</v>
      </c>
      <c r="M1082" s="72">
        <v>0.956310679611651</v>
      </c>
      <c r="N1082" s="74">
        <v>0.9</v>
      </c>
      <c r="O1082" s="72">
        <v>0.970293209876543</v>
      </c>
      <c r="P1082" s="72">
        <v>0.985633434915107</v>
      </c>
      <c r="Q1082" s="72">
        <v>0.946677278153601</v>
      </c>
      <c r="R1082" s="72">
        <v>0.903084714548803</v>
      </c>
      <c r="S1082" s="74">
        <v>0.9</v>
      </c>
      <c r="T1082" s="72">
        <v>0.923611111111111</v>
      </c>
      <c r="U1082" s="72">
        <v>0.95690030474532</v>
      </c>
      <c r="V1082" s="72">
        <v>0.943891762833267</v>
      </c>
      <c r="W1082" s="72">
        <v>0.944337016574586</v>
      </c>
      <c r="X1082" s="74">
        <v>0.92</v>
      </c>
      <c r="Y1082" s="74">
        <v>0.96078431372549</v>
      </c>
      <c r="Z1082" s="74">
        <v>0.957446808510638</v>
      </c>
      <c r="AA1082" s="74">
        <v>0.970588235294118</v>
      </c>
      <c r="AB1082" s="74">
        <v>0.966011466011466</v>
      </c>
      <c r="AC1082" s="74">
        <v>0.92</v>
      </c>
      <c r="AD1082" s="72">
        <v>0.999466382070438</v>
      </c>
      <c r="AE1082" s="72">
        <v>0.998484848484849</v>
      </c>
      <c r="AF1082" s="72">
        <v>0.983466666666667</v>
      </c>
      <c r="AG1082" s="72">
        <v>0.993834906432429</v>
      </c>
      <c r="AH1082" s="74">
        <v>0.92</v>
      </c>
      <c r="AI1082" s="72">
        <v>0.965585054080629</v>
      </c>
      <c r="AJ1082" s="72">
        <v>0.975786049873509</v>
      </c>
      <c r="AK1082" s="72">
        <v>0.98260287721646</v>
      </c>
      <c r="AL1082" s="72">
        <v>0.980153360396933</v>
      </c>
      <c r="AM1082" s="71">
        <v>0.99</v>
      </c>
      <c r="AN1082" s="76">
        <v>1</v>
      </c>
      <c r="AO1082" s="76">
        <v>1</v>
      </c>
      <c r="AP1082" s="76">
        <v>1</v>
      </c>
      <c r="AQ1082" s="76">
        <v>1</v>
      </c>
      <c r="AR1082" s="96">
        <v>0.0721861525408278</v>
      </c>
      <c r="AS1082" s="80">
        <v>0</v>
      </c>
      <c r="AT1082" s="80">
        <v>0.0416666666666667</v>
      </c>
      <c r="AU1082" s="80">
        <v>0.0333333333333333</v>
      </c>
      <c r="AV1082" s="80">
        <v>0.0382775119617225</v>
      </c>
      <c r="AW1082" s="36"/>
      <c r="AX1082" s="34"/>
    </row>
    <row r="1083" ht="14.5" spans="1:50">
      <c r="A1083" s="32"/>
      <c r="B1083" s="36"/>
      <c r="C1083" s="91" t="s">
        <v>1105</v>
      </c>
      <c r="D1083" s="69" t="s">
        <v>25</v>
      </c>
      <c r="E1083" s="129" t="s">
        <v>1132</v>
      </c>
      <c r="F1083" s="129" t="s">
        <v>1132</v>
      </c>
      <c r="G1083" s="129" t="s">
        <v>1132</v>
      </c>
      <c r="H1083" s="129" t="s">
        <v>1132</v>
      </c>
      <c r="I1083" s="71">
        <v>0.9</v>
      </c>
      <c r="J1083" s="72">
        <v>0.944444444444444</v>
      </c>
      <c r="K1083" s="72">
        <v>0.971830985915493</v>
      </c>
      <c r="L1083" s="73">
        <v>0.986666666666667</v>
      </c>
      <c r="M1083" s="72">
        <v>0.973134328358209</v>
      </c>
      <c r="N1083" s="74">
        <v>0.9</v>
      </c>
      <c r="O1083" s="72">
        <v>0.940649753185627</v>
      </c>
      <c r="P1083" s="72">
        <v>0.920743268866136</v>
      </c>
      <c r="Q1083" s="72">
        <v>0.978608906228979</v>
      </c>
      <c r="R1083" s="72">
        <v>0.934845400528169</v>
      </c>
      <c r="S1083" s="74">
        <v>0.9</v>
      </c>
      <c r="T1083" s="72">
        <v>0.865916657100218</v>
      </c>
      <c r="U1083" s="72">
        <v>0.877891543420554</v>
      </c>
      <c r="V1083" s="72">
        <v>0.924122157944302</v>
      </c>
      <c r="W1083" s="72">
        <v>0.895012654049296</v>
      </c>
      <c r="X1083" s="74">
        <v>0.92</v>
      </c>
      <c r="Y1083" s="74">
        <v>0.927604871447903</v>
      </c>
      <c r="Z1083" s="74">
        <v>0.940890125173853</v>
      </c>
      <c r="AA1083" s="74">
        <v>0.95280612244898</v>
      </c>
      <c r="AB1083" s="74">
        <v>0.948892902535287</v>
      </c>
      <c r="AC1083" s="74">
        <v>0.92</v>
      </c>
      <c r="AD1083" s="72">
        <v>0.999406880189798</v>
      </c>
      <c r="AE1083" s="72">
        <v>0.99611054247697</v>
      </c>
      <c r="AF1083" s="72">
        <v>0.999758220502901</v>
      </c>
      <c r="AG1083" s="72">
        <v>0.997206220486068</v>
      </c>
      <c r="AH1083" s="74">
        <v>0.92</v>
      </c>
      <c r="AI1083" s="72">
        <v>0.961538461538462</v>
      </c>
      <c r="AJ1083" s="72">
        <v>0.970695187165775</v>
      </c>
      <c r="AK1083" s="72">
        <v>0.979335629374514</v>
      </c>
      <c r="AL1083" s="72">
        <v>0.974812060095139</v>
      </c>
      <c r="AM1083" s="71">
        <v>0.99</v>
      </c>
      <c r="AN1083" s="76">
        <v>1</v>
      </c>
      <c r="AO1083" s="76">
        <v>1</v>
      </c>
      <c r="AP1083" s="76">
        <v>1</v>
      </c>
      <c r="AQ1083" s="76">
        <v>1</v>
      </c>
      <c r="AR1083" s="96">
        <v>0.0721861525408278</v>
      </c>
      <c r="AS1083" s="80">
        <v>0</v>
      </c>
      <c r="AT1083" s="80">
        <v>0.075</v>
      </c>
      <c r="AU1083" s="80">
        <v>0.0645161290322581</v>
      </c>
      <c r="AV1083" s="80">
        <v>0.0398671096345515</v>
      </c>
      <c r="AW1083" s="36"/>
      <c r="AX1083" s="34"/>
    </row>
    <row r="1084" ht="14.5" spans="1:50">
      <c r="A1084" s="32"/>
      <c r="B1084" s="36"/>
      <c r="C1084" s="91" t="s">
        <v>1105</v>
      </c>
      <c r="D1084" s="69" t="s">
        <v>25</v>
      </c>
      <c r="E1084" s="129" t="s">
        <v>1133</v>
      </c>
      <c r="F1084" s="129" t="s">
        <v>1133</v>
      </c>
      <c r="G1084" s="129" t="s">
        <v>1133</v>
      </c>
      <c r="H1084" s="129" t="s">
        <v>1133</v>
      </c>
      <c r="I1084" s="71">
        <v>0.9</v>
      </c>
      <c r="J1084" s="72">
        <v>1</v>
      </c>
      <c r="K1084" s="72">
        <v>1</v>
      </c>
      <c r="L1084" s="73">
        <v>0.954545454545455</v>
      </c>
      <c r="M1084" s="72">
        <v>0.990147783251232</v>
      </c>
      <c r="N1084" s="74">
        <v>0.9</v>
      </c>
      <c r="O1084" s="72">
        <v>0.976880733944954</v>
      </c>
      <c r="P1084" s="72">
        <v>0.968721668177697</v>
      </c>
      <c r="Q1084" s="72">
        <v>0.975875118259224</v>
      </c>
      <c r="R1084" s="72">
        <v>0.962858118990678</v>
      </c>
      <c r="S1084" s="74">
        <v>0.9</v>
      </c>
      <c r="T1084" s="72">
        <v>0.921467889908257</v>
      </c>
      <c r="U1084" s="72">
        <v>0.931097008159565</v>
      </c>
      <c r="V1084" s="72">
        <v>0.962157048249763</v>
      </c>
      <c r="W1084" s="72">
        <v>0.932988432817609</v>
      </c>
      <c r="X1084" s="74">
        <v>0.92</v>
      </c>
      <c r="Y1084" s="74">
        <v>0.951807228915663</v>
      </c>
      <c r="Z1084" s="74">
        <v>0.965346534653465</v>
      </c>
      <c r="AA1084" s="74">
        <v>0.95632183908046</v>
      </c>
      <c r="AB1084" s="74">
        <v>0.953275529865125</v>
      </c>
      <c r="AC1084" s="74">
        <v>0.92</v>
      </c>
      <c r="AD1084" s="72">
        <v>0.995059288537549</v>
      </c>
      <c r="AE1084" s="72">
        <v>1</v>
      </c>
      <c r="AF1084" s="72">
        <v>0.997989949748744</v>
      </c>
      <c r="AG1084" s="72">
        <v>0.997954801104407</v>
      </c>
      <c r="AH1084" s="74">
        <v>0.92</v>
      </c>
      <c r="AI1084" s="72">
        <v>0.973885350318471</v>
      </c>
      <c r="AJ1084" s="72">
        <v>0.981992337164751</v>
      </c>
      <c r="AK1084" s="72">
        <v>0.984307571596705</v>
      </c>
      <c r="AL1084" s="72">
        <v>0.980439105555781</v>
      </c>
      <c r="AM1084" s="71">
        <v>0.99</v>
      </c>
      <c r="AN1084" s="76">
        <v>1</v>
      </c>
      <c r="AO1084" s="76">
        <v>1</v>
      </c>
      <c r="AP1084" s="76">
        <v>1</v>
      </c>
      <c r="AQ1084" s="76">
        <v>1</v>
      </c>
      <c r="AR1084" s="96">
        <v>0.0721861525408278</v>
      </c>
      <c r="AS1084" s="80">
        <v>0.5</v>
      </c>
      <c r="AT1084" s="80">
        <v>0.2</v>
      </c>
      <c r="AU1084" s="80">
        <v>0</v>
      </c>
      <c r="AV1084" s="80">
        <v>0.0851063829787234</v>
      </c>
      <c r="AW1084" s="36"/>
      <c r="AX1084" s="34"/>
    </row>
    <row r="1085" ht="14.5" spans="1:50">
      <c r="A1085" s="32"/>
      <c r="B1085" s="36"/>
      <c r="C1085" s="91" t="s">
        <v>1105</v>
      </c>
      <c r="D1085" s="69" t="s">
        <v>25</v>
      </c>
      <c r="E1085" s="129" t="s">
        <v>1134</v>
      </c>
      <c r="F1085" s="129" t="s">
        <v>1134</v>
      </c>
      <c r="G1085" s="129" t="s">
        <v>1134</v>
      </c>
      <c r="H1085" s="129" t="s">
        <v>1134</v>
      </c>
      <c r="I1085" s="71">
        <v>0.9</v>
      </c>
      <c r="J1085" s="72">
        <v>0.954545454545455</v>
      </c>
      <c r="K1085" s="72">
        <v>0.958333333333333</v>
      </c>
      <c r="L1085" s="73">
        <v>0.96</v>
      </c>
      <c r="M1085" s="72">
        <v>0.942583732057416</v>
      </c>
      <c r="N1085" s="74">
        <v>0.9</v>
      </c>
      <c r="O1085" s="72">
        <v>0.924400181077411</v>
      </c>
      <c r="P1085" s="72">
        <v>0.976708860759494</v>
      </c>
      <c r="Q1085" s="72">
        <v>0.985492746373187</v>
      </c>
      <c r="R1085" s="72">
        <v>0.868354569420035</v>
      </c>
      <c r="S1085" s="74">
        <v>0.9</v>
      </c>
      <c r="T1085" s="72">
        <v>0.894069714803078</v>
      </c>
      <c r="U1085" s="72">
        <v>0.945822784810127</v>
      </c>
      <c r="V1085" s="72">
        <v>0.938969484742371</v>
      </c>
      <c r="W1085" s="72">
        <v>0.936072056239016</v>
      </c>
      <c r="X1085" s="74">
        <v>0.92</v>
      </c>
      <c r="Y1085" s="74">
        <v>0.946835443037975</v>
      </c>
      <c r="Z1085" s="74">
        <v>0.949602122015915</v>
      </c>
      <c r="AA1085" s="74">
        <v>0.983425414364641</v>
      </c>
      <c r="AB1085" s="74">
        <v>0.962352941176471</v>
      </c>
      <c r="AC1085" s="74">
        <v>0.92</v>
      </c>
      <c r="AD1085" s="72">
        <v>0.998885793871866</v>
      </c>
      <c r="AE1085" s="72">
        <v>0.993037067376613</v>
      </c>
      <c r="AF1085" s="72">
        <v>0.996048850574713</v>
      </c>
      <c r="AG1085" s="72">
        <v>0.995768400163427</v>
      </c>
      <c r="AH1085" s="74">
        <v>0.92</v>
      </c>
      <c r="AI1085" s="72">
        <v>0.957773512476008</v>
      </c>
      <c r="AJ1085" s="72">
        <v>0.977040816326531</v>
      </c>
      <c r="AK1085" s="72">
        <v>0.987722269263336</v>
      </c>
      <c r="AL1085" s="72">
        <v>0.979445528381506</v>
      </c>
      <c r="AM1085" s="71">
        <v>0.99</v>
      </c>
      <c r="AN1085" s="76">
        <v>1</v>
      </c>
      <c r="AO1085" s="76">
        <v>1</v>
      </c>
      <c r="AP1085" s="76">
        <v>1</v>
      </c>
      <c r="AQ1085" s="76">
        <v>1</v>
      </c>
      <c r="AR1085" s="96">
        <v>0.0721861525408278</v>
      </c>
      <c r="AS1085" s="80">
        <v>0</v>
      </c>
      <c r="AT1085" s="80">
        <v>0</v>
      </c>
      <c r="AU1085" s="80">
        <v>0</v>
      </c>
      <c r="AV1085" s="80">
        <v>0.0140845070422535</v>
      </c>
      <c r="AW1085" s="36"/>
      <c r="AX1085" s="34"/>
    </row>
    <row r="1086" ht="14.5" spans="1:50">
      <c r="A1086" s="32"/>
      <c r="B1086" s="36"/>
      <c r="C1086" s="91" t="s">
        <v>1105</v>
      </c>
      <c r="D1086" s="69" t="s">
        <v>25</v>
      </c>
      <c r="E1086" s="129" t="s">
        <v>1135</v>
      </c>
      <c r="F1086" s="129" t="s">
        <v>1135</v>
      </c>
      <c r="G1086" s="129" t="s">
        <v>1135</v>
      </c>
      <c r="H1086" s="129" t="s">
        <v>1135</v>
      </c>
      <c r="I1086" s="71">
        <v>0.9</v>
      </c>
      <c r="J1086" s="72">
        <v>0.970588235294118</v>
      </c>
      <c r="K1086" s="72">
        <v>0.971428571428571</v>
      </c>
      <c r="L1086" s="73">
        <v>1</v>
      </c>
      <c r="M1086" s="72">
        <v>0.967741935483871</v>
      </c>
      <c r="N1086" s="74">
        <v>0.9</v>
      </c>
      <c r="O1086" s="72">
        <v>0.970580148474017</v>
      </c>
      <c r="P1086" s="72">
        <v>0.981867633726201</v>
      </c>
      <c r="Q1086" s="72">
        <v>0.977499196399871</v>
      </c>
      <c r="R1086" s="72">
        <v>0.981510718170017</v>
      </c>
      <c r="S1086" s="74">
        <v>0.9</v>
      </c>
      <c r="T1086" s="72">
        <v>0.913390156722574</v>
      </c>
      <c r="U1086" s="72">
        <v>0.944696282864914</v>
      </c>
      <c r="V1086" s="72">
        <v>0.954034072645452</v>
      </c>
      <c r="W1086" s="72">
        <v>0.945479423218609</v>
      </c>
      <c r="X1086" s="74">
        <v>0.92</v>
      </c>
      <c r="Y1086" s="74">
        <v>0.778541953232462</v>
      </c>
      <c r="Z1086" s="74">
        <v>0.936406995230525</v>
      </c>
      <c r="AA1086" s="74">
        <v>0.918478260869565</v>
      </c>
      <c r="AB1086" s="74">
        <v>0.900312551406481</v>
      </c>
      <c r="AC1086" s="74">
        <v>0.92</v>
      </c>
      <c r="AD1086" s="72">
        <v>0.999258847507875</v>
      </c>
      <c r="AE1086" s="72">
        <v>0.99794604956867</v>
      </c>
      <c r="AF1086" s="72">
        <v>0.999046321525886</v>
      </c>
      <c r="AG1086" s="72">
        <v>0.997172798552473</v>
      </c>
      <c r="AH1086" s="74">
        <v>0.92</v>
      </c>
      <c r="AI1086" s="72">
        <v>0.933318056828598</v>
      </c>
      <c r="AJ1086" s="72">
        <v>0.974606399187405</v>
      </c>
      <c r="AK1086" s="72">
        <v>0.969423969423969</v>
      </c>
      <c r="AL1086" s="72">
        <v>0.96668787230351</v>
      </c>
      <c r="AM1086" s="71">
        <v>0.99</v>
      </c>
      <c r="AN1086" s="76">
        <v>1</v>
      </c>
      <c r="AO1086" s="76">
        <v>1</v>
      </c>
      <c r="AP1086" s="76">
        <v>1</v>
      </c>
      <c r="AQ1086" s="76">
        <v>1</v>
      </c>
      <c r="AR1086" s="96">
        <v>0.0721861525408278</v>
      </c>
      <c r="AS1086" s="80">
        <v>0.0769230769230769</v>
      </c>
      <c r="AT1086" s="80">
        <v>0</v>
      </c>
      <c r="AU1086" s="80">
        <v>0</v>
      </c>
      <c r="AV1086" s="80">
        <v>0.0218978102189781</v>
      </c>
      <c r="AW1086" s="36"/>
      <c r="AX1086" s="34"/>
    </row>
    <row r="1087" ht="14.5" spans="1:50">
      <c r="A1087" s="32"/>
      <c r="B1087" s="36"/>
      <c r="C1087" s="91" t="s">
        <v>1105</v>
      </c>
      <c r="D1087" s="69" t="s">
        <v>25</v>
      </c>
      <c r="E1087" s="129" t="s">
        <v>1136</v>
      </c>
      <c r="F1087" s="129" t="s">
        <v>1136</v>
      </c>
      <c r="G1087" s="129" t="s">
        <v>1136</v>
      </c>
      <c r="H1087" s="129" t="s">
        <v>1136</v>
      </c>
      <c r="I1087" s="71">
        <v>0.9</v>
      </c>
      <c r="J1087" s="72">
        <v>0.88</v>
      </c>
      <c r="K1087" s="72">
        <v>0.96551724137931</v>
      </c>
      <c r="L1087" s="73">
        <v>0.787878787878788</v>
      </c>
      <c r="M1087" s="72">
        <v>0.900735294117647</v>
      </c>
      <c r="N1087" s="74">
        <v>0.9</v>
      </c>
      <c r="O1087" s="72">
        <v>0.536823935558113</v>
      </c>
      <c r="P1087" s="72">
        <v>0.916640551551238</v>
      </c>
      <c r="Q1087" s="72">
        <v>0.933333333333333</v>
      </c>
      <c r="R1087" s="72">
        <v>0.805465891973316</v>
      </c>
      <c r="S1087" s="74">
        <v>0.9</v>
      </c>
      <c r="T1087" s="72">
        <v>0.767261219792865</v>
      </c>
      <c r="U1087" s="72">
        <v>0.886869319962394</v>
      </c>
      <c r="V1087" s="72">
        <v>0.953061224489796</v>
      </c>
      <c r="W1087" s="72">
        <v>0.896384764364106</v>
      </c>
      <c r="X1087" s="74">
        <v>0.92</v>
      </c>
      <c r="Y1087" s="74">
        <v>0.829710144927536</v>
      </c>
      <c r="Z1087" s="74">
        <v>0.919172932330827</v>
      </c>
      <c r="AA1087" s="74">
        <v>0.878099173553719</v>
      </c>
      <c r="AB1087" s="74">
        <v>0.879388757504093</v>
      </c>
      <c r="AC1087" s="74">
        <v>0.92</v>
      </c>
      <c r="AD1087" s="72">
        <v>0.996527777777778</v>
      </c>
      <c r="AE1087" s="72">
        <v>0.982640865110985</v>
      </c>
      <c r="AF1087" s="72">
        <v>0.988777676675766</v>
      </c>
      <c r="AG1087" s="72">
        <v>0.98580389567514</v>
      </c>
      <c r="AH1087" s="74">
        <v>0.92</v>
      </c>
      <c r="AI1087" s="72">
        <v>0.93098311817279</v>
      </c>
      <c r="AJ1087" s="72">
        <v>0.965887724952995</v>
      </c>
      <c r="AK1087" s="72">
        <v>0.967873831775701</v>
      </c>
      <c r="AL1087" s="72">
        <v>0.958059974236841</v>
      </c>
      <c r="AM1087" s="71">
        <v>0.99</v>
      </c>
      <c r="AN1087" s="76">
        <v>1</v>
      </c>
      <c r="AO1087" s="76">
        <v>1</v>
      </c>
      <c r="AP1087" s="76">
        <v>1</v>
      </c>
      <c r="AQ1087" s="76">
        <v>1</v>
      </c>
      <c r="AR1087" s="96">
        <v>0.0721861525408278</v>
      </c>
      <c r="AS1087" s="80">
        <v>0.1</v>
      </c>
      <c r="AT1087" s="80">
        <v>0</v>
      </c>
      <c r="AU1087" s="80">
        <v>0</v>
      </c>
      <c r="AV1087" s="80">
        <v>0.0153846153846154</v>
      </c>
      <c r="AW1087" s="36"/>
      <c r="AX1087" s="34"/>
    </row>
    <row r="1088" ht="14.5" spans="1:50">
      <c r="A1088" s="32"/>
      <c r="B1088" s="36"/>
      <c r="C1088" s="91" t="s">
        <v>1105</v>
      </c>
      <c r="D1088" s="69" t="s">
        <v>25</v>
      </c>
      <c r="E1088" s="129" t="s">
        <v>1137</v>
      </c>
      <c r="F1088" s="129" t="s">
        <v>1137</v>
      </c>
      <c r="G1088" s="129" t="s">
        <v>1137</v>
      </c>
      <c r="H1088" s="129" t="s">
        <v>1137</v>
      </c>
      <c r="I1088" s="71">
        <v>0.9</v>
      </c>
      <c r="J1088" s="72">
        <v>0.9</v>
      </c>
      <c r="K1088" s="72">
        <v>0.92</v>
      </c>
      <c r="L1088" s="73">
        <v>0.943396226415094</v>
      </c>
      <c r="M1088" s="72">
        <v>0.919739696312364</v>
      </c>
      <c r="N1088" s="74">
        <v>0.9</v>
      </c>
      <c r="O1088" s="72">
        <v>0.92673775671406</v>
      </c>
      <c r="P1088" s="72">
        <v>0.961974110032362</v>
      </c>
      <c r="Q1088" s="72">
        <v>0.976450798990748</v>
      </c>
      <c r="R1088" s="72">
        <v>0.935334384041777</v>
      </c>
      <c r="S1088" s="74">
        <v>0.9</v>
      </c>
      <c r="T1088" s="72">
        <v>0.912717219589258</v>
      </c>
      <c r="U1088" s="72">
        <v>0.927993527508091</v>
      </c>
      <c r="V1088" s="72">
        <v>0.943860386879731</v>
      </c>
      <c r="W1088" s="72">
        <v>0.929477076521371</v>
      </c>
      <c r="X1088" s="74">
        <v>0.92</v>
      </c>
      <c r="Y1088" s="74">
        <v>0.917153996101364</v>
      </c>
      <c r="Z1088" s="74">
        <v>0.948717948717949</v>
      </c>
      <c r="AA1088" s="74">
        <v>0.960163432073544</v>
      </c>
      <c r="AB1088" s="74">
        <v>0.944723081848255</v>
      </c>
      <c r="AC1088" s="74">
        <v>0.92</v>
      </c>
      <c r="AD1088" s="72">
        <v>0.848366013071895</v>
      </c>
      <c r="AE1088" s="72">
        <v>0.986442193087008</v>
      </c>
      <c r="AF1088" s="72">
        <v>0.954569190600522</v>
      </c>
      <c r="AG1088" s="72">
        <v>0.933292498516548</v>
      </c>
      <c r="AH1088" s="74">
        <v>0.92</v>
      </c>
      <c r="AI1088" s="72">
        <v>0.942045641109834</v>
      </c>
      <c r="AJ1088" s="72">
        <v>0.970408163265306</v>
      </c>
      <c r="AK1088" s="72">
        <v>0.978382147838215</v>
      </c>
      <c r="AL1088" s="72">
        <v>0.967350242849433</v>
      </c>
      <c r="AM1088" s="71">
        <v>0.99</v>
      </c>
      <c r="AN1088" s="76">
        <v>1</v>
      </c>
      <c r="AO1088" s="76">
        <v>1</v>
      </c>
      <c r="AP1088" s="76">
        <v>1</v>
      </c>
      <c r="AQ1088" s="76">
        <v>1</v>
      </c>
      <c r="AR1088" s="96">
        <v>0.0721861525408278</v>
      </c>
      <c r="AS1088" s="80">
        <v>0.0232558139534884</v>
      </c>
      <c r="AT1088" s="80">
        <v>0</v>
      </c>
      <c r="AU1088" s="80">
        <v>-0.0344827586206897</v>
      </c>
      <c r="AV1088" s="80">
        <v>0.0140056022408964</v>
      </c>
      <c r="AW1088" s="36"/>
      <c r="AX1088" s="34"/>
    </row>
    <row r="1089" ht="14.5" spans="1:50">
      <c r="A1089" s="32"/>
      <c r="B1089" s="36"/>
      <c r="C1089" s="91" t="s">
        <v>1105</v>
      </c>
      <c r="D1089" s="69" t="s">
        <v>25</v>
      </c>
      <c r="E1089" s="129" t="s">
        <v>1138</v>
      </c>
      <c r="F1089" s="129" t="s">
        <v>1138</v>
      </c>
      <c r="G1089" s="129" t="s">
        <v>1138</v>
      </c>
      <c r="H1089" s="129" t="s">
        <v>1138</v>
      </c>
      <c r="I1089" s="71">
        <v>0.9</v>
      </c>
      <c r="J1089" s="72">
        <v>0.925</v>
      </c>
      <c r="K1089" s="72">
        <v>0.923076923076923</v>
      </c>
      <c r="L1089" s="73">
        <v>0.9</v>
      </c>
      <c r="M1089" s="72">
        <v>0.93956043956044</v>
      </c>
      <c r="N1089" s="74">
        <v>0.9</v>
      </c>
      <c r="O1089" s="72">
        <v>0.949952561669829</v>
      </c>
      <c r="P1089" s="72">
        <v>0.938300051203277</v>
      </c>
      <c r="Q1089" s="72">
        <v>0.979687071095251</v>
      </c>
      <c r="R1089" s="72">
        <v>0.92686045520416</v>
      </c>
      <c r="S1089" s="74">
        <v>0.9</v>
      </c>
      <c r="T1089" s="72">
        <v>0.942836812144213</v>
      </c>
      <c r="U1089" s="72">
        <v>0.962365591397849</v>
      </c>
      <c r="V1089" s="72">
        <v>0.968432610485863</v>
      </c>
      <c r="W1089" s="72">
        <v>0.953456653311738</v>
      </c>
      <c r="X1089" s="74">
        <v>0.92</v>
      </c>
      <c r="Y1089" s="74">
        <v>0.947204968944099</v>
      </c>
      <c r="Z1089" s="74">
        <v>0.943977591036415</v>
      </c>
      <c r="AA1089" s="74">
        <v>0.968484848484849</v>
      </c>
      <c r="AB1089" s="74">
        <v>0.955137878995747</v>
      </c>
      <c r="AC1089" s="74">
        <v>0.92</v>
      </c>
      <c r="AD1089" s="72">
        <v>0.999050332383666</v>
      </c>
      <c r="AE1089" s="72">
        <v>0.977614977614978</v>
      </c>
      <c r="AF1089" s="72">
        <v>0.993562231759657</v>
      </c>
      <c r="AG1089" s="72">
        <v>0.992491309385863</v>
      </c>
      <c r="AH1089" s="74">
        <v>0.92</v>
      </c>
      <c r="AI1089" s="72">
        <v>0.973868312757202</v>
      </c>
      <c r="AJ1089" s="72">
        <v>0.977056277056277</v>
      </c>
      <c r="AK1089" s="72">
        <v>0.987018800358102</v>
      </c>
      <c r="AL1089" s="72">
        <v>0.9815686643755</v>
      </c>
      <c r="AM1089" s="71">
        <v>0.99</v>
      </c>
      <c r="AN1089" s="76">
        <v>1</v>
      </c>
      <c r="AO1089" s="76">
        <v>1</v>
      </c>
      <c r="AP1089" s="76">
        <v>1</v>
      </c>
      <c r="AQ1089" s="76">
        <v>1</v>
      </c>
      <c r="AR1089" s="96">
        <v>0.0721861525408278</v>
      </c>
      <c r="AS1089" s="80">
        <v>0.0625</v>
      </c>
      <c r="AT1089" s="80">
        <v>0.0714285714285714</v>
      </c>
      <c r="AU1089" s="80">
        <v>0</v>
      </c>
      <c r="AV1089" s="80">
        <v>0.0330578512396694</v>
      </c>
      <c r="AW1089" s="36"/>
      <c r="AX1089" s="34"/>
    </row>
    <row r="1090" ht="14.5" spans="1:50">
      <c r="A1090" s="32"/>
      <c r="B1090" s="36"/>
      <c r="C1090" s="91" t="s">
        <v>1105</v>
      </c>
      <c r="D1090" s="69" t="s">
        <v>25</v>
      </c>
      <c r="E1090" s="129" t="s">
        <v>1139</v>
      </c>
      <c r="F1090" s="129" t="s">
        <v>1139</v>
      </c>
      <c r="G1090" s="129" t="s">
        <v>1139</v>
      </c>
      <c r="H1090" s="129" t="s">
        <v>1139</v>
      </c>
      <c r="I1090" s="71">
        <v>0.9</v>
      </c>
      <c r="J1090" s="72">
        <v>0.933333333333333</v>
      </c>
      <c r="K1090" s="72">
        <v>0.923076923076923</v>
      </c>
      <c r="L1090" s="73">
        <v>1</v>
      </c>
      <c r="M1090" s="72">
        <v>0.943262411347518</v>
      </c>
      <c r="N1090" s="74">
        <v>0.9</v>
      </c>
      <c r="O1090" s="72">
        <v>0.886473429951691</v>
      </c>
      <c r="P1090" s="72">
        <v>0.893394375408764</v>
      </c>
      <c r="Q1090" s="72">
        <v>0.975724881995954</v>
      </c>
      <c r="R1090" s="72">
        <v>0.934502398081535</v>
      </c>
      <c r="S1090" s="74">
        <v>0.9</v>
      </c>
      <c r="T1090" s="72">
        <v>0.856280193236715</v>
      </c>
      <c r="U1090" s="72">
        <v>0.824722040549379</v>
      </c>
      <c r="V1090" s="72">
        <v>0.942683749157114</v>
      </c>
      <c r="W1090" s="72">
        <v>0.897856714628297</v>
      </c>
      <c r="X1090" s="74">
        <v>0.92</v>
      </c>
      <c r="Y1090" s="74">
        <v>0.905487804878049</v>
      </c>
      <c r="Z1090" s="74">
        <v>0.942652329749104</v>
      </c>
      <c r="AA1090" s="74">
        <v>0.785714285714286</v>
      </c>
      <c r="AB1090" s="74">
        <v>0.912380276693863</v>
      </c>
      <c r="AC1090" s="74">
        <v>0.92</v>
      </c>
      <c r="AD1090" s="72">
        <v>0.966101694915254</v>
      </c>
      <c r="AE1090" s="72">
        <v>0.979522184300341</v>
      </c>
      <c r="AF1090" s="72">
        <v>0.993174061433447</v>
      </c>
      <c r="AG1090" s="72">
        <v>0.954392523364486</v>
      </c>
      <c r="AH1090" s="74">
        <v>0.92</v>
      </c>
      <c r="AI1090" s="72">
        <v>0.964717741935484</v>
      </c>
      <c r="AJ1090" s="72">
        <v>0.970685840707965</v>
      </c>
      <c r="AK1090" s="72">
        <v>0.958744915746659</v>
      </c>
      <c r="AL1090" s="72">
        <v>0.969498236713481</v>
      </c>
      <c r="AM1090" s="71">
        <v>0.99</v>
      </c>
      <c r="AN1090" s="76">
        <v>1</v>
      </c>
      <c r="AO1090" s="76">
        <v>1</v>
      </c>
      <c r="AP1090" s="76">
        <v>1</v>
      </c>
      <c r="AQ1090" s="76">
        <v>1</v>
      </c>
      <c r="AR1090" s="96">
        <v>0.0721861525408278</v>
      </c>
      <c r="AS1090" s="80">
        <v>0.111111111111111</v>
      </c>
      <c r="AT1090" s="80">
        <v>0</v>
      </c>
      <c r="AU1090" s="80">
        <v>0</v>
      </c>
      <c r="AV1090" s="80">
        <v>0.0961538461538462</v>
      </c>
      <c r="AW1090" s="36"/>
      <c r="AX1090" s="34"/>
    </row>
    <row r="1091" ht="14.5" spans="1:50">
      <c r="A1091" s="32"/>
      <c r="B1091" s="36"/>
      <c r="C1091" s="91" t="s">
        <v>1105</v>
      </c>
      <c r="D1091" s="69" t="s">
        <v>25</v>
      </c>
      <c r="E1091" s="129" t="s">
        <v>1140</v>
      </c>
      <c r="F1091" s="129" t="s">
        <v>1140</v>
      </c>
      <c r="G1091" s="129" t="s">
        <v>1140</v>
      </c>
      <c r="H1091" s="129" t="s">
        <v>1140</v>
      </c>
      <c r="I1091" s="71">
        <v>0.9</v>
      </c>
      <c r="J1091" s="72">
        <v>1</v>
      </c>
      <c r="K1091" s="72">
        <v>0.90625</v>
      </c>
      <c r="L1091" s="73">
        <v>0.966666666666667</v>
      </c>
      <c r="M1091" s="72">
        <v>0.903474903474903</v>
      </c>
      <c r="N1091" s="74">
        <v>0.9</v>
      </c>
      <c r="O1091" s="72">
        <v>0.965694682675815</v>
      </c>
      <c r="P1091" s="72">
        <v>0.992853496681981</v>
      </c>
      <c r="Q1091" s="72">
        <v>0.984803921568628</v>
      </c>
      <c r="R1091" s="72">
        <v>0.969106517564667</v>
      </c>
      <c r="S1091" s="74">
        <v>0.9</v>
      </c>
      <c r="T1091" s="72">
        <v>0.914236706689537</v>
      </c>
      <c r="U1091" s="72">
        <v>0.951505870342011</v>
      </c>
      <c r="V1091" s="72">
        <v>0.934313725490196</v>
      </c>
      <c r="W1091" s="72">
        <v>0.9150005647803</v>
      </c>
      <c r="X1091" s="74">
        <v>0.92</v>
      </c>
      <c r="Y1091" s="74">
        <v>0.886171213546566</v>
      </c>
      <c r="Z1091" s="74">
        <v>0.940036900369004</v>
      </c>
      <c r="AA1091" s="74">
        <v>0.940677966101695</v>
      </c>
      <c r="AB1091" s="74">
        <v>0.921882725205181</v>
      </c>
      <c r="AC1091" s="74">
        <v>0.92</v>
      </c>
      <c r="AD1091" s="72">
        <v>0.998348472336912</v>
      </c>
      <c r="AE1091" s="72">
        <v>0.997722095671982</v>
      </c>
      <c r="AF1091" s="72">
        <v>0.998244587478057</v>
      </c>
      <c r="AG1091" s="72">
        <v>0.997220440453282</v>
      </c>
      <c r="AH1091" s="74">
        <v>0.92</v>
      </c>
      <c r="AI1091" s="72">
        <v>0.925320056899004</v>
      </c>
      <c r="AJ1091" s="72">
        <v>0.96319421623398</v>
      </c>
      <c r="AK1091" s="72">
        <v>0.960817146684528</v>
      </c>
      <c r="AL1091" s="72">
        <v>0.953454101071095</v>
      </c>
      <c r="AM1091" s="71">
        <v>0.99</v>
      </c>
      <c r="AN1091" s="76">
        <v>1</v>
      </c>
      <c r="AO1091" s="76">
        <v>1</v>
      </c>
      <c r="AP1091" s="76">
        <v>1</v>
      </c>
      <c r="AQ1091" s="76">
        <v>1</v>
      </c>
      <c r="AR1091" s="96">
        <v>0.0721861525408278</v>
      </c>
      <c r="AS1091" s="80">
        <v>0</v>
      </c>
      <c r="AT1091" s="80">
        <v>0</v>
      </c>
      <c r="AU1091" s="80">
        <v>0.00671140939597315</v>
      </c>
      <c r="AV1091" s="80">
        <v>0.00545171339563863</v>
      </c>
      <c r="AW1091" s="36"/>
      <c r="AX1091" s="34"/>
    </row>
    <row r="1092" ht="14.5" spans="1:50">
      <c r="A1092" s="32"/>
      <c r="B1092" s="36"/>
      <c r="C1092" s="91" t="s">
        <v>1105</v>
      </c>
      <c r="D1092" s="69" t="s">
        <v>25</v>
      </c>
      <c r="E1092" s="129" t="s">
        <v>1141</v>
      </c>
      <c r="F1092" s="129" t="s">
        <v>1141</v>
      </c>
      <c r="G1092" s="129" t="s">
        <v>1141</v>
      </c>
      <c r="H1092" s="129" t="s">
        <v>1141</v>
      </c>
      <c r="I1092" s="71">
        <v>0.9</v>
      </c>
      <c r="J1092" s="72">
        <v>1</v>
      </c>
      <c r="K1092" s="72">
        <v>1</v>
      </c>
      <c r="L1092" s="73">
        <v>0.971428571428571</v>
      </c>
      <c r="M1092" s="72">
        <v>0.986486486486487</v>
      </c>
      <c r="N1092" s="74">
        <v>0.9</v>
      </c>
      <c r="O1092" s="72">
        <v>0.962812022414671</v>
      </c>
      <c r="P1092" s="72">
        <v>0.900994789199432</v>
      </c>
      <c r="Q1092" s="72">
        <v>0.949490268767377</v>
      </c>
      <c r="R1092" s="72">
        <v>0.946265364008824</v>
      </c>
      <c r="S1092" s="74">
        <v>0.9</v>
      </c>
      <c r="T1092" s="72">
        <v>0.921548650025471</v>
      </c>
      <c r="U1092" s="72">
        <v>0.884414969208906</v>
      </c>
      <c r="V1092" s="72">
        <v>0.954587581093605</v>
      </c>
      <c r="W1092" s="72">
        <v>0.926567916797983</v>
      </c>
      <c r="X1092" s="74">
        <v>0.92</v>
      </c>
      <c r="Y1092" s="74">
        <v>0.951400329489292</v>
      </c>
      <c r="Z1092" s="74">
        <v>0.955823293172691</v>
      </c>
      <c r="AA1092" s="74">
        <v>0.935309973045822</v>
      </c>
      <c r="AB1092" s="74">
        <v>0.956556151613754</v>
      </c>
      <c r="AC1092" s="74">
        <v>0.92</v>
      </c>
      <c r="AD1092" s="72">
        <v>0.997620935765266</v>
      </c>
      <c r="AE1092" s="72">
        <v>0.990734141126158</v>
      </c>
      <c r="AF1092" s="72">
        <v>1</v>
      </c>
      <c r="AG1092" s="72">
        <v>0.993589148007061</v>
      </c>
      <c r="AH1092" s="74">
        <v>0.92</v>
      </c>
      <c r="AI1092" s="72">
        <v>0.969468051621026</v>
      </c>
      <c r="AJ1092" s="72">
        <v>0.973182359952324</v>
      </c>
      <c r="AK1092" s="72">
        <v>0.971585701191567</v>
      </c>
      <c r="AL1092" s="72">
        <v>0.975337871165039</v>
      </c>
      <c r="AM1092" s="71">
        <v>0.99</v>
      </c>
      <c r="AN1092" s="76">
        <v>1</v>
      </c>
      <c r="AO1092" s="76">
        <v>1</v>
      </c>
      <c r="AP1092" s="76">
        <v>1</v>
      </c>
      <c r="AQ1092" s="76">
        <v>1</v>
      </c>
      <c r="AR1092" s="96">
        <v>0.0721861525408278</v>
      </c>
      <c r="AS1092" s="80">
        <v>0</v>
      </c>
      <c r="AT1092" s="80">
        <v>0</v>
      </c>
      <c r="AU1092" s="80">
        <v>0</v>
      </c>
      <c r="AV1092" s="80">
        <v>0.0131578947368421</v>
      </c>
      <c r="AW1092" s="36"/>
      <c r="AX1092" s="34"/>
    </row>
    <row r="1093" ht="14.5" spans="1:50">
      <c r="A1093" s="32"/>
      <c r="B1093" s="36"/>
      <c r="C1093" s="91" t="s">
        <v>1105</v>
      </c>
      <c r="D1093" s="69" t="s">
        <v>25</v>
      </c>
      <c r="E1093" s="129" t="s">
        <v>1142</v>
      </c>
      <c r="F1093" s="129" t="s">
        <v>1142</v>
      </c>
      <c r="G1093" s="129" t="s">
        <v>1142</v>
      </c>
      <c r="H1093" s="129" t="s">
        <v>1142</v>
      </c>
      <c r="I1093" s="71">
        <v>0.9</v>
      </c>
      <c r="J1093" s="72">
        <v>0.815789473684211</v>
      </c>
      <c r="K1093" s="72">
        <v>0.916666666666667</v>
      </c>
      <c r="L1093" s="73">
        <v>0.891891891891892</v>
      </c>
      <c r="M1093" s="72">
        <v>0.898148148148148</v>
      </c>
      <c r="N1093" s="74">
        <v>0.9</v>
      </c>
      <c r="O1093" s="72">
        <v>0.915431560592851</v>
      </c>
      <c r="P1093" s="72">
        <v>0.967191601049869</v>
      </c>
      <c r="Q1093" s="72">
        <v>0.973830973830974</v>
      </c>
      <c r="R1093" s="72">
        <v>0.952591123233325</v>
      </c>
      <c r="S1093" s="74">
        <v>0.9</v>
      </c>
      <c r="T1093" s="72">
        <v>0.881865736704446</v>
      </c>
      <c r="U1093" s="72">
        <v>0.896325459317585</v>
      </c>
      <c r="V1093" s="72">
        <v>0.924495924495925</v>
      </c>
      <c r="W1093" s="72">
        <v>0.890800892635755</v>
      </c>
      <c r="X1093" s="74">
        <v>0.92</v>
      </c>
      <c r="Y1093" s="74">
        <v>0.928041543026706</v>
      </c>
      <c r="Z1093" s="74">
        <v>0.940864291129644</v>
      </c>
      <c r="AA1093" s="74">
        <v>0.943877551020408</v>
      </c>
      <c r="AB1093" s="74">
        <v>0.941081994928149</v>
      </c>
      <c r="AC1093" s="74">
        <v>0.92</v>
      </c>
      <c r="AD1093" s="72">
        <v>0.98661800486618</v>
      </c>
      <c r="AE1093" s="72">
        <v>0.994535519125683</v>
      </c>
      <c r="AF1093" s="72">
        <v>0.992481203007519</v>
      </c>
      <c r="AG1093" s="72">
        <v>0.993975533288252</v>
      </c>
      <c r="AH1093" s="74">
        <v>0.92</v>
      </c>
      <c r="AI1093" s="72">
        <v>0.92394288852279</v>
      </c>
      <c r="AJ1093" s="72">
        <v>0.95755894590846</v>
      </c>
      <c r="AK1093" s="72">
        <v>0.966096866096866</v>
      </c>
      <c r="AL1093" s="72">
        <v>0.957153572098256</v>
      </c>
      <c r="AM1093" s="71">
        <v>0.99</v>
      </c>
      <c r="AN1093" s="76">
        <v>1</v>
      </c>
      <c r="AO1093" s="76">
        <v>1</v>
      </c>
      <c r="AP1093" s="76">
        <v>1</v>
      </c>
      <c r="AQ1093" s="76">
        <v>1</v>
      </c>
      <c r="AR1093" s="96">
        <v>0.0721861525408278</v>
      </c>
      <c r="AS1093" s="80">
        <v>0.0526315789473684</v>
      </c>
      <c r="AT1093" s="80">
        <v>0</v>
      </c>
      <c r="AU1093" s="80">
        <v>0</v>
      </c>
      <c r="AV1093" s="80">
        <v>0.027027027027027</v>
      </c>
      <c r="AW1093" s="36"/>
      <c r="AX1093" s="34"/>
    </row>
    <row r="1094" ht="14.5" spans="1:50">
      <c r="A1094" s="32"/>
      <c r="B1094" s="36"/>
      <c r="C1094" s="91" t="s">
        <v>1105</v>
      </c>
      <c r="D1094" s="69" t="s">
        <v>25</v>
      </c>
      <c r="E1094" s="129" t="s">
        <v>1143</v>
      </c>
      <c r="F1094" s="129" t="s">
        <v>1143</v>
      </c>
      <c r="G1094" s="129" t="s">
        <v>1143</v>
      </c>
      <c r="H1094" s="129" t="s">
        <v>1143</v>
      </c>
      <c r="I1094" s="71">
        <v>0.9</v>
      </c>
      <c r="J1094" s="72">
        <v>0.956521739130435</v>
      </c>
      <c r="K1094" s="72">
        <v>0.958333333333333</v>
      </c>
      <c r="L1094" s="73">
        <v>0.96</v>
      </c>
      <c r="M1094" s="72">
        <v>0.963636363636364</v>
      </c>
      <c r="N1094" s="74">
        <v>0.9</v>
      </c>
      <c r="O1094" s="72">
        <v>0.926589595375722</v>
      </c>
      <c r="P1094" s="72">
        <v>0.895498392282958</v>
      </c>
      <c r="Q1094" s="72">
        <v>0.946157867224255</v>
      </c>
      <c r="R1094" s="72">
        <v>0.924603174603175</v>
      </c>
      <c r="S1094" s="74">
        <v>0.9</v>
      </c>
      <c r="T1094" s="72">
        <v>0.936416184971098</v>
      </c>
      <c r="U1094" s="72">
        <v>0.936227224008574</v>
      </c>
      <c r="V1094" s="72">
        <v>0.955567171981181</v>
      </c>
      <c r="W1094" s="72">
        <v>0.947032436162871</v>
      </c>
      <c r="X1094" s="74">
        <v>0.92</v>
      </c>
      <c r="Y1094" s="74">
        <v>0.941570881226054</v>
      </c>
      <c r="Z1094" s="74">
        <v>0.976036866359447</v>
      </c>
      <c r="AA1094" s="74">
        <v>0.974039460020768</v>
      </c>
      <c r="AB1094" s="74">
        <v>0.96945483968848</v>
      </c>
      <c r="AC1094" s="74">
        <v>0.92</v>
      </c>
      <c r="AD1094" s="72">
        <v>1</v>
      </c>
      <c r="AE1094" s="72">
        <v>0.99656862745098</v>
      </c>
      <c r="AF1094" s="72">
        <v>0.997492163009404</v>
      </c>
      <c r="AG1094" s="72">
        <v>0.996306611770404</v>
      </c>
      <c r="AH1094" s="74">
        <v>0.92</v>
      </c>
      <c r="AI1094" s="72">
        <v>0.963590483056957</v>
      </c>
      <c r="AJ1094" s="72">
        <v>0.983056590986106</v>
      </c>
      <c r="AK1094" s="72">
        <v>0.987482614742698</v>
      </c>
      <c r="AL1094" s="72">
        <v>0.982218148487626</v>
      </c>
      <c r="AM1094" s="71">
        <v>0.99</v>
      </c>
      <c r="AN1094" s="76">
        <v>1</v>
      </c>
      <c r="AO1094" s="76">
        <v>1</v>
      </c>
      <c r="AP1094" s="76">
        <v>1</v>
      </c>
      <c r="AQ1094" s="76">
        <v>1</v>
      </c>
      <c r="AR1094" s="96">
        <v>0.0721861525408278</v>
      </c>
      <c r="AS1094" s="80">
        <v>0.0625</v>
      </c>
      <c r="AT1094" s="80">
        <v>0</v>
      </c>
      <c r="AU1094" s="80">
        <v>0.0833333333333333</v>
      </c>
      <c r="AV1094" s="80">
        <v>0.0735294117647059</v>
      </c>
      <c r="AW1094" s="36"/>
      <c r="AX1094" s="34"/>
    </row>
    <row r="1095" ht="14.5" spans="1:50">
      <c r="A1095" s="32"/>
      <c r="B1095" s="36"/>
      <c r="C1095" s="91" t="s">
        <v>1105</v>
      </c>
      <c r="D1095" s="69" t="s">
        <v>25</v>
      </c>
      <c r="E1095" s="129" t="s">
        <v>1144</v>
      </c>
      <c r="F1095" s="129" t="s">
        <v>1144</v>
      </c>
      <c r="G1095" s="129" t="s">
        <v>1144</v>
      </c>
      <c r="H1095" s="129" t="s">
        <v>1144</v>
      </c>
      <c r="I1095" s="71">
        <v>0.9</v>
      </c>
      <c r="J1095" s="72">
        <v>1</v>
      </c>
      <c r="K1095" s="72">
        <v>1</v>
      </c>
      <c r="L1095" s="73">
        <v>1</v>
      </c>
      <c r="M1095" s="72">
        <v>0.995215311004785</v>
      </c>
      <c r="N1095" s="74">
        <v>0.9</v>
      </c>
      <c r="O1095" s="72">
        <v>0.974986103390773</v>
      </c>
      <c r="P1095" s="72">
        <v>0.978941961992809</v>
      </c>
      <c r="Q1095" s="72">
        <v>0.985158648925281</v>
      </c>
      <c r="R1095" s="72">
        <v>0.979299547721211</v>
      </c>
      <c r="S1095" s="74">
        <v>0.9</v>
      </c>
      <c r="T1095" s="72">
        <v>0.956642579210673</v>
      </c>
      <c r="U1095" s="72">
        <v>0.957370313302517</v>
      </c>
      <c r="V1095" s="72">
        <v>0.970317297850563</v>
      </c>
      <c r="W1095" s="72">
        <v>0.960222660327032</v>
      </c>
      <c r="X1095" s="74">
        <v>0.92</v>
      </c>
      <c r="Y1095" s="74">
        <v>0.94005212858384</v>
      </c>
      <c r="Z1095" s="74">
        <v>0.961296129612961</v>
      </c>
      <c r="AA1095" s="74">
        <v>0.969276511397423</v>
      </c>
      <c r="AB1095" s="74">
        <v>0.96136997212266</v>
      </c>
      <c r="AC1095" s="74">
        <v>0.92</v>
      </c>
      <c r="AD1095" s="72">
        <v>1</v>
      </c>
      <c r="AE1095" s="72">
        <v>0.999162479061977</v>
      </c>
      <c r="AF1095" s="72">
        <v>0.995535714285714</v>
      </c>
      <c r="AG1095" s="72">
        <v>0.999012744570095</v>
      </c>
      <c r="AH1095" s="74">
        <v>0.92</v>
      </c>
      <c r="AI1095" s="72">
        <v>0.962033898305085</v>
      </c>
      <c r="AJ1095" s="72">
        <v>0.97875816993464</v>
      </c>
      <c r="AK1095" s="72">
        <v>0.979763912310287</v>
      </c>
      <c r="AL1095" s="72">
        <v>0.976880518814348</v>
      </c>
      <c r="AM1095" s="71">
        <v>0.99</v>
      </c>
      <c r="AN1095" s="76">
        <v>1</v>
      </c>
      <c r="AO1095" s="76">
        <v>1</v>
      </c>
      <c r="AP1095" s="76">
        <v>1</v>
      </c>
      <c r="AQ1095" s="76">
        <v>1</v>
      </c>
      <c r="AR1095" s="96">
        <v>0.0721861525408278</v>
      </c>
      <c r="AS1095" s="80">
        <v>0</v>
      </c>
      <c r="AT1095" s="80">
        <v>0.0909090909090909</v>
      </c>
      <c r="AU1095" s="80">
        <v>0</v>
      </c>
      <c r="AV1095" s="80">
        <v>0.0222222222222222</v>
      </c>
      <c r="AW1095" s="36"/>
      <c r="AX1095" s="34"/>
    </row>
    <row r="1096" ht="14.5" spans="1:50">
      <c r="A1096" s="32"/>
      <c r="B1096" s="36"/>
      <c r="C1096" s="91" t="s">
        <v>1105</v>
      </c>
      <c r="D1096" s="69" t="s">
        <v>25</v>
      </c>
      <c r="E1096" s="129" t="s">
        <v>1145</v>
      </c>
      <c r="F1096" s="129" t="s">
        <v>1145</v>
      </c>
      <c r="G1096" s="129" t="s">
        <v>1145</v>
      </c>
      <c r="H1096" s="129" t="s">
        <v>1145</v>
      </c>
      <c r="I1096" s="71">
        <v>0.9</v>
      </c>
      <c r="J1096" s="72">
        <v>1</v>
      </c>
      <c r="K1096" s="72">
        <v>0.973684210526316</v>
      </c>
      <c r="L1096" s="73">
        <v>0.953488372093023</v>
      </c>
      <c r="M1096" s="72">
        <v>0.988826815642458</v>
      </c>
      <c r="N1096" s="74">
        <v>0.9</v>
      </c>
      <c r="O1096" s="72">
        <v>0.908404154863078</v>
      </c>
      <c r="P1096" s="72">
        <v>0.927393693954296</v>
      </c>
      <c r="Q1096" s="72">
        <v>0.94793685959568</v>
      </c>
      <c r="R1096" s="72">
        <v>0.938744808189162</v>
      </c>
      <c r="S1096" s="74">
        <v>0.9</v>
      </c>
      <c r="T1096" s="72">
        <v>0.938306578533207</v>
      </c>
      <c r="U1096" s="72">
        <v>0.946196123806769</v>
      </c>
      <c r="V1096" s="72">
        <v>0.95679867072833</v>
      </c>
      <c r="W1096" s="72">
        <v>0.949079373385224</v>
      </c>
      <c r="X1096" s="74">
        <v>0.92</v>
      </c>
      <c r="Y1096" s="74">
        <v>0.918200408997955</v>
      </c>
      <c r="Z1096" s="74">
        <v>0.947262682069312</v>
      </c>
      <c r="AA1096" s="74">
        <v>0.954699886749717</v>
      </c>
      <c r="AB1096" s="74">
        <v>0.949155386508558</v>
      </c>
      <c r="AC1096" s="74">
        <v>0.92</v>
      </c>
      <c r="AD1096" s="72">
        <v>0.998693834900731</v>
      </c>
      <c r="AE1096" s="72">
        <v>0.998539198182113</v>
      </c>
      <c r="AF1096" s="72">
        <v>0.995240613432047</v>
      </c>
      <c r="AG1096" s="72">
        <v>0.995303234896965</v>
      </c>
      <c r="AH1096" s="74">
        <v>0.92</v>
      </c>
      <c r="AI1096" s="72">
        <v>0.943319049474094</v>
      </c>
      <c r="AJ1096" s="72">
        <v>0.96787812041116</v>
      </c>
      <c r="AK1096" s="72">
        <v>0.977323420074349</v>
      </c>
      <c r="AL1096" s="72">
        <v>0.967952289564374</v>
      </c>
      <c r="AM1096" s="71">
        <v>0.99</v>
      </c>
      <c r="AN1096" s="76">
        <v>1</v>
      </c>
      <c r="AO1096" s="76">
        <v>1</v>
      </c>
      <c r="AP1096" s="76">
        <v>1</v>
      </c>
      <c r="AQ1096" s="76">
        <v>1</v>
      </c>
      <c r="AR1096" s="96">
        <v>0.0721861525408278</v>
      </c>
      <c r="AS1096" s="80">
        <v>0.0833333333333333</v>
      </c>
      <c r="AT1096" s="80">
        <v>0.133333333333333</v>
      </c>
      <c r="AU1096" s="80">
        <v>0.0416666666666667</v>
      </c>
      <c r="AV1096" s="80">
        <v>0.0691823899371069</v>
      </c>
      <c r="AW1096" s="36"/>
      <c r="AX1096" s="34"/>
    </row>
    <row r="1097" ht="14.5" spans="1:50">
      <c r="A1097" s="32"/>
      <c r="B1097" s="36"/>
      <c r="C1097" s="91" t="s">
        <v>1105</v>
      </c>
      <c r="D1097" s="69" t="s">
        <v>25</v>
      </c>
      <c r="E1097" s="129" t="s">
        <v>1146</v>
      </c>
      <c r="F1097" s="129" t="s">
        <v>1146</v>
      </c>
      <c r="G1097" s="129" t="s">
        <v>1146</v>
      </c>
      <c r="H1097" s="129" t="s">
        <v>1146</v>
      </c>
      <c r="I1097" s="71">
        <v>0.9</v>
      </c>
      <c r="J1097" s="72">
        <v>0.923076923076923</v>
      </c>
      <c r="K1097" s="72">
        <v>0.926829268292683</v>
      </c>
      <c r="L1097" s="73">
        <v>0.857142857142857</v>
      </c>
      <c r="M1097" s="72">
        <v>0.909620991253644</v>
      </c>
      <c r="N1097" s="74">
        <v>0.9</v>
      </c>
      <c r="O1097" s="72">
        <v>0.976162563501368</v>
      </c>
      <c r="P1097" s="72">
        <v>0.973711518505707</v>
      </c>
      <c r="Q1097" s="72">
        <v>0.972602739726027</v>
      </c>
      <c r="R1097" s="72">
        <v>0.929117309896828</v>
      </c>
      <c r="S1097" s="74">
        <v>0.9</v>
      </c>
      <c r="T1097" s="72">
        <v>0.942555685814771</v>
      </c>
      <c r="U1097" s="72">
        <v>0.947423037011415</v>
      </c>
      <c r="V1097" s="72">
        <v>0.948287671232877</v>
      </c>
      <c r="W1097" s="72">
        <v>0.920787160871227</v>
      </c>
      <c r="X1097" s="74">
        <v>0.92</v>
      </c>
      <c r="Y1097" s="74">
        <v>0.954043048283886</v>
      </c>
      <c r="Z1097" s="74">
        <v>0.963029218843172</v>
      </c>
      <c r="AA1097" s="74">
        <v>0.952220726783311</v>
      </c>
      <c r="AB1097" s="74">
        <v>0.953986743033657</v>
      </c>
      <c r="AC1097" s="74">
        <v>0.92</v>
      </c>
      <c r="AD1097" s="72">
        <v>0.955223880597015</v>
      </c>
      <c r="AE1097" s="72">
        <v>0.998759305210918</v>
      </c>
      <c r="AF1097" s="72">
        <v>0.99312242090784</v>
      </c>
      <c r="AG1097" s="72">
        <v>0.9769272044357</v>
      </c>
      <c r="AH1097" s="74">
        <v>0.92</v>
      </c>
      <c r="AI1097" s="72">
        <v>0.967040673211781</v>
      </c>
      <c r="AJ1097" s="72">
        <v>0.975481611208406</v>
      </c>
      <c r="AK1097" s="72">
        <v>0.970521541950113</v>
      </c>
      <c r="AL1097" s="72">
        <v>0.970201850697608</v>
      </c>
      <c r="AM1097" s="71">
        <v>0.99</v>
      </c>
      <c r="AN1097" s="76">
        <v>1</v>
      </c>
      <c r="AO1097" s="76">
        <v>1</v>
      </c>
      <c r="AP1097" s="76">
        <v>1</v>
      </c>
      <c r="AQ1097" s="76">
        <v>1</v>
      </c>
      <c r="AR1097" s="96">
        <v>0.0721861525408278</v>
      </c>
      <c r="AS1097" s="80">
        <v>0.0625</v>
      </c>
      <c r="AT1097" s="80">
        <v>0.125</v>
      </c>
      <c r="AU1097" s="80">
        <v>0</v>
      </c>
      <c r="AV1097" s="80">
        <v>0.0592592592592593</v>
      </c>
      <c r="AW1097" s="36"/>
      <c r="AX1097" s="34"/>
    </row>
    <row r="1098" ht="14.5" spans="1:50">
      <c r="A1098" s="32"/>
      <c r="B1098" s="36"/>
      <c r="C1098" s="91" t="s">
        <v>1105</v>
      </c>
      <c r="D1098" s="69" t="s">
        <v>25</v>
      </c>
      <c r="E1098" s="129" t="s">
        <v>1147</v>
      </c>
      <c r="F1098" s="129" t="s">
        <v>1147</v>
      </c>
      <c r="G1098" s="129" t="s">
        <v>1147</v>
      </c>
      <c r="H1098" s="129" t="s">
        <v>1147</v>
      </c>
      <c r="I1098" s="71">
        <v>0.9</v>
      </c>
      <c r="J1098" s="72">
        <v>1</v>
      </c>
      <c r="K1098" s="72">
        <v>1</v>
      </c>
      <c r="L1098" s="73">
        <v>1</v>
      </c>
      <c r="M1098" s="72">
        <v>1</v>
      </c>
      <c r="N1098" s="74">
        <v>0.9</v>
      </c>
      <c r="O1098" s="72">
        <v>0.986235375086029</v>
      </c>
      <c r="P1098" s="72">
        <v>0.981549815498155</v>
      </c>
      <c r="Q1098" s="72">
        <v>0.991989319092123</v>
      </c>
      <c r="R1098" s="72">
        <v>0.9847533632287</v>
      </c>
      <c r="S1098" s="74">
        <v>0.9</v>
      </c>
      <c r="T1098" s="72">
        <v>0.912594631796284</v>
      </c>
      <c r="U1098" s="72">
        <v>0.956949569495695</v>
      </c>
      <c r="V1098" s="72">
        <v>0.965954606141522</v>
      </c>
      <c r="W1098" s="72">
        <v>0.935052316890882</v>
      </c>
      <c r="X1098" s="74">
        <v>0.92</v>
      </c>
      <c r="Y1098" s="74">
        <v>0.963659147869674</v>
      </c>
      <c r="Z1098" s="74">
        <v>0.979952830188679</v>
      </c>
      <c r="AA1098" s="74">
        <v>0.960118168389956</v>
      </c>
      <c r="AB1098" s="74">
        <v>0.969511383304487</v>
      </c>
      <c r="AC1098" s="74">
        <v>0.92</v>
      </c>
      <c r="AD1098" s="72">
        <v>0.999664204163868</v>
      </c>
      <c r="AE1098" s="72">
        <v>0.991434689507495</v>
      </c>
      <c r="AF1098" s="72">
        <v>0.999122422114963</v>
      </c>
      <c r="AG1098" s="72">
        <v>0.996781115879828</v>
      </c>
      <c r="AH1098" s="74">
        <v>0.92</v>
      </c>
      <c r="AI1098" s="72">
        <v>0.975122167925367</v>
      </c>
      <c r="AJ1098" s="72">
        <v>0.984236054971706</v>
      </c>
      <c r="AK1098" s="72">
        <v>0.983011937557392</v>
      </c>
      <c r="AL1098" s="72">
        <v>0.981718989280245</v>
      </c>
      <c r="AM1098" s="71">
        <v>0.99</v>
      </c>
      <c r="AN1098" s="76">
        <v>1</v>
      </c>
      <c r="AO1098" s="76">
        <v>1</v>
      </c>
      <c r="AP1098" s="76">
        <v>1</v>
      </c>
      <c r="AQ1098" s="76">
        <v>1</v>
      </c>
      <c r="AR1098" s="96">
        <v>0.0721861525408278</v>
      </c>
      <c r="AS1098" s="80">
        <v>0</v>
      </c>
      <c r="AT1098" s="80">
        <v>0</v>
      </c>
      <c r="AU1098" s="80">
        <v>0.5</v>
      </c>
      <c r="AV1098" s="80">
        <v>0.0384615384615385</v>
      </c>
      <c r="AW1098" s="36"/>
      <c r="AX1098" s="34"/>
    </row>
    <row r="1099" ht="14.5" spans="1:50">
      <c r="A1099" s="32"/>
      <c r="B1099" s="36"/>
      <c r="C1099" s="91" t="s">
        <v>1105</v>
      </c>
      <c r="D1099" s="69" t="s">
        <v>25</v>
      </c>
      <c r="E1099" s="129" t="s">
        <v>1148</v>
      </c>
      <c r="F1099" s="129" t="s">
        <v>1148</v>
      </c>
      <c r="G1099" s="129" t="s">
        <v>1148</v>
      </c>
      <c r="H1099" s="129" t="s">
        <v>1148</v>
      </c>
      <c r="I1099" s="71">
        <v>0.9</v>
      </c>
      <c r="J1099" s="72">
        <v>0.970588235294118</v>
      </c>
      <c r="K1099" s="72">
        <v>1</v>
      </c>
      <c r="L1099" s="73">
        <v>0.971428571428571</v>
      </c>
      <c r="M1099" s="72">
        <v>0.96551724137931</v>
      </c>
      <c r="N1099" s="74">
        <v>0.9</v>
      </c>
      <c r="O1099" s="72">
        <v>0.925767586474932</v>
      </c>
      <c r="P1099" s="72">
        <v>0.95539992628087</v>
      </c>
      <c r="Q1099" s="72">
        <v>0.93713298791019</v>
      </c>
      <c r="R1099" s="72">
        <v>0.955732625055334</v>
      </c>
      <c r="S1099" s="74">
        <v>0.9</v>
      </c>
      <c r="T1099" s="72">
        <v>0.891954916439953</v>
      </c>
      <c r="U1099" s="72">
        <v>0.900479174345743</v>
      </c>
      <c r="V1099" s="72">
        <v>0.928497409326425</v>
      </c>
      <c r="W1099" s="72">
        <v>0.903215421143708</v>
      </c>
      <c r="X1099" s="74">
        <v>0.92</v>
      </c>
      <c r="Y1099" s="74">
        <v>0.922879177377892</v>
      </c>
      <c r="Z1099" s="74">
        <v>0.95222295952223</v>
      </c>
      <c r="AA1099" s="74">
        <v>0.957933579335793</v>
      </c>
      <c r="AB1099" s="74">
        <v>0.957970600827744</v>
      </c>
      <c r="AC1099" s="74">
        <v>0.92</v>
      </c>
      <c r="AD1099" s="72">
        <v>1</v>
      </c>
      <c r="AE1099" s="72">
        <v>1</v>
      </c>
      <c r="AF1099" s="72">
        <v>0.997873848334515</v>
      </c>
      <c r="AG1099" s="72">
        <v>0.997462848858282</v>
      </c>
      <c r="AH1099" s="74">
        <v>0.92</v>
      </c>
      <c r="AI1099" s="72">
        <v>0.953984015500121</v>
      </c>
      <c r="AJ1099" s="72">
        <v>0.966824644549763</v>
      </c>
      <c r="AK1099" s="72">
        <v>0.982612781954887</v>
      </c>
      <c r="AL1099" s="72">
        <v>0.976305024569708</v>
      </c>
      <c r="AM1099" s="71">
        <v>0.99</v>
      </c>
      <c r="AN1099" s="76">
        <v>1</v>
      </c>
      <c r="AO1099" s="76">
        <v>1</v>
      </c>
      <c r="AP1099" s="76">
        <v>1</v>
      </c>
      <c r="AQ1099" s="76">
        <v>1</v>
      </c>
      <c r="AR1099" s="96">
        <v>0.0721861525408278</v>
      </c>
      <c r="AS1099" s="80">
        <v>0</v>
      </c>
      <c r="AT1099" s="80">
        <v>0</v>
      </c>
      <c r="AU1099" s="80">
        <v>0</v>
      </c>
      <c r="AV1099" s="80">
        <v>0</v>
      </c>
      <c r="AW1099" s="36"/>
      <c r="AX1099" s="34"/>
    </row>
    <row r="1100" ht="14.5" spans="1:50">
      <c r="A1100" s="32"/>
      <c r="B1100" s="36"/>
      <c r="C1100" s="91" t="s">
        <v>1105</v>
      </c>
      <c r="D1100" s="69" t="s">
        <v>25</v>
      </c>
      <c r="E1100" s="129" t="s">
        <v>1149</v>
      </c>
      <c r="F1100" s="129" t="s">
        <v>1149</v>
      </c>
      <c r="G1100" s="129" t="s">
        <v>1149</v>
      </c>
      <c r="H1100" s="129" t="s">
        <v>1149</v>
      </c>
      <c r="I1100" s="71">
        <v>0.9</v>
      </c>
      <c r="J1100" s="72">
        <v>0.935483870967742</v>
      </c>
      <c r="K1100" s="72">
        <v>0.931034482758621</v>
      </c>
      <c r="L1100" s="73">
        <v>0.882352941176471</v>
      </c>
      <c r="M1100" s="72">
        <v>0.916083916083916</v>
      </c>
      <c r="N1100" s="74">
        <v>0.9</v>
      </c>
      <c r="O1100" s="72">
        <v>0.940291704649043</v>
      </c>
      <c r="P1100" s="72">
        <v>0.895689655172414</v>
      </c>
      <c r="Q1100" s="72">
        <v>0.903337667967057</v>
      </c>
      <c r="R1100" s="72">
        <v>0.950053496741562</v>
      </c>
      <c r="S1100" s="74">
        <v>0.9</v>
      </c>
      <c r="T1100" s="72">
        <v>0.889699179580675</v>
      </c>
      <c r="U1100" s="72">
        <v>0.85</v>
      </c>
      <c r="V1100" s="72">
        <v>0.875162548764629</v>
      </c>
      <c r="W1100" s="72">
        <v>0.910709074992705</v>
      </c>
      <c r="X1100" s="74">
        <v>0.92</v>
      </c>
      <c r="Y1100" s="74">
        <v>0.881761978361669</v>
      </c>
      <c r="Z1100" s="74">
        <v>0.873713751169317</v>
      </c>
      <c r="AA1100" s="74">
        <v>0.933451641526176</v>
      </c>
      <c r="AB1100" s="74">
        <v>0.913661014031161</v>
      </c>
      <c r="AC1100" s="74">
        <v>0.92</v>
      </c>
      <c r="AD1100" s="72">
        <v>1</v>
      </c>
      <c r="AE1100" s="72">
        <v>0.995363214837713</v>
      </c>
      <c r="AF1100" s="72">
        <v>1</v>
      </c>
      <c r="AG1100" s="72">
        <v>0.989633042619714</v>
      </c>
      <c r="AH1100" s="74">
        <v>0.92</v>
      </c>
      <c r="AI1100" s="72">
        <v>0.938664373746059</v>
      </c>
      <c r="AJ1100" s="72">
        <v>0.919363997728563</v>
      </c>
      <c r="AK1100" s="72">
        <v>0.953474847339343</v>
      </c>
      <c r="AL1100" s="72">
        <v>0.950244445819667</v>
      </c>
      <c r="AM1100" s="71">
        <v>0.99</v>
      </c>
      <c r="AN1100" s="76">
        <v>1</v>
      </c>
      <c r="AO1100" s="76">
        <v>1</v>
      </c>
      <c r="AP1100" s="76">
        <v>1</v>
      </c>
      <c r="AQ1100" s="76">
        <v>1</v>
      </c>
      <c r="AR1100" s="96">
        <v>0.0721861525408278</v>
      </c>
      <c r="AS1100" s="80">
        <v>0</v>
      </c>
      <c r="AT1100" s="80">
        <v>0</v>
      </c>
      <c r="AU1100" s="80">
        <v>0</v>
      </c>
      <c r="AV1100" s="80">
        <v>0.0731707317073171</v>
      </c>
      <c r="AW1100" s="36"/>
      <c r="AX1100" s="34"/>
    </row>
    <row r="1101" ht="14.5" spans="1:50">
      <c r="A1101" s="32"/>
      <c r="B1101" s="36"/>
      <c r="C1101" s="91" t="s">
        <v>1105</v>
      </c>
      <c r="D1101" s="69" t="s">
        <v>25</v>
      </c>
      <c r="E1101" s="129" t="s">
        <v>1150</v>
      </c>
      <c r="F1101" s="129" t="s">
        <v>1150</v>
      </c>
      <c r="G1101" s="129" t="s">
        <v>1150</v>
      </c>
      <c r="H1101" s="129" t="s">
        <v>1150</v>
      </c>
      <c r="I1101" s="71">
        <v>0.9</v>
      </c>
      <c r="J1101" s="72">
        <v>0.964285714285714</v>
      </c>
      <c r="K1101" s="72">
        <v>0.892857142857143</v>
      </c>
      <c r="L1101" s="73">
        <v>1</v>
      </c>
      <c r="M1101" s="72">
        <v>0.980988593155893</v>
      </c>
      <c r="N1101" s="74">
        <v>0.9</v>
      </c>
      <c r="O1101" s="72">
        <v>0.933012048192771</v>
      </c>
      <c r="P1101" s="72">
        <v>0.909734513274336</v>
      </c>
      <c r="Q1101" s="72">
        <v>0.932471863276365</v>
      </c>
      <c r="R1101" s="72">
        <v>0.946179066834805</v>
      </c>
      <c r="S1101" s="74">
        <v>0.9</v>
      </c>
      <c r="T1101" s="72">
        <v>0.940240963855422</v>
      </c>
      <c r="U1101" s="72">
        <v>0.92787610619469</v>
      </c>
      <c r="V1101" s="72">
        <v>0.940808670279283</v>
      </c>
      <c r="W1101" s="72">
        <v>0.926960907944514</v>
      </c>
      <c r="X1101" s="74">
        <v>0.92</v>
      </c>
      <c r="Y1101" s="74">
        <v>0.937116564417178</v>
      </c>
      <c r="Z1101" s="74">
        <v>0.917611489040061</v>
      </c>
      <c r="AA1101" s="74">
        <v>0.950704225352113</v>
      </c>
      <c r="AB1101" s="74">
        <v>0.941457586618877</v>
      </c>
      <c r="AC1101" s="74">
        <v>0.92</v>
      </c>
      <c r="AD1101" s="72">
        <v>0.993684210526316</v>
      </c>
      <c r="AE1101" s="72">
        <v>0.997172478793591</v>
      </c>
      <c r="AF1101" s="72">
        <v>0.996330275229358</v>
      </c>
      <c r="AG1101" s="72">
        <v>0.995423023578363</v>
      </c>
      <c r="AH1101" s="74">
        <v>0.92</v>
      </c>
      <c r="AI1101" s="72">
        <v>0.960639242379402</v>
      </c>
      <c r="AJ1101" s="72">
        <v>0.952274630198158</v>
      </c>
      <c r="AK1101" s="72">
        <v>0.976829612884996</v>
      </c>
      <c r="AL1101" s="72">
        <v>0.963674400912895</v>
      </c>
      <c r="AM1101" s="71">
        <v>0.99</v>
      </c>
      <c r="AN1101" s="76">
        <v>1</v>
      </c>
      <c r="AO1101" s="76">
        <v>1</v>
      </c>
      <c r="AP1101" s="76">
        <v>1</v>
      </c>
      <c r="AQ1101" s="76">
        <v>1</v>
      </c>
      <c r="AR1101" s="96">
        <v>0.0721861525408278</v>
      </c>
      <c r="AS1101" s="80">
        <v>0</v>
      </c>
      <c r="AT1101" s="80">
        <v>0.0909090909090909</v>
      </c>
      <c r="AU1101" s="80">
        <v>0</v>
      </c>
      <c r="AV1101" s="80">
        <v>0.03125</v>
      </c>
      <c r="AW1101" s="36"/>
      <c r="AX1101" s="34"/>
    </row>
    <row r="1102" ht="14.5" spans="1:50">
      <c r="A1102" s="32"/>
      <c r="B1102" s="36"/>
      <c r="C1102" s="91" t="s">
        <v>1105</v>
      </c>
      <c r="D1102" s="69" t="s">
        <v>25</v>
      </c>
      <c r="E1102" s="129" t="s">
        <v>1151</v>
      </c>
      <c r="F1102" s="129" t="s">
        <v>1151</v>
      </c>
      <c r="G1102" s="129" t="s">
        <v>1151</v>
      </c>
      <c r="H1102" s="129" t="s">
        <v>1151</v>
      </c>
      <c r="I1102" s="71">
        <v>0.9</v>
      </c>
      <c r="J1102" s="72">
        <v>0.952380952380952</v>
      </c>
      <c r="K1102" s="72">
        <v>1</v>
      </c>
      <c r="L1102" s="73">
        <v>1</v>
      </c>
      <c r="M1102" s="72">
        <v>0.984455958549223</v>
      </c>
      <c r="N1102" s="74">
        <v>0.9</v>
      </c>
      <c r="O1102" s="72">
        <v>0.952924393723253</v>
      </c>
      <c r="P1102" s="72">
        <v>0.963399503722084</v>
      </c>
      <c r="Q1102" s="72">
        <v>0.972733469665985</v>
      </c>
      <c r="R1102" s="72">
        <v>0.955609362389023</v>
      </c>
      <c r="S1102" s="74">
        <v>0.9</v>
      </c>
      <c r="T1102" s="72">
        <v>0.935805991440799</v>
      </c>
      <c r="U1102" s="72">
        <v>0.941687344913151</v>
      </c>
      <c r="V1102" s="72">
        <v>0.943421949556919</v>
      </c>
      <c r="W1102" s="72">
        <v>0.945777386455353</v>
      </c>
      <c r="X1102" s="74">
        <v>0.92</v>
      </c>
      <c r="Y1102" s="74">
        <v>0.923756906077348</v>
      </c>
      <c r="Z1102" s="74">
        <v>0.952674897119342</v>
      </c>
      <c r="AA1102" s="74">
        <v>0.94743935309973</v>
      </c>
      <c r="AB1102" s="74">
        <v>0.947670163454501</v>
      </c>
      <c r="AC1102" s="74">
        <v>0.92</v>
      </c>
      <c r="AD1102" s="72">
        <v>0.998793727382388</v>
      </c>
      <c r="AE1102" s="72">
        <v>0.998708010335917</v>
      </c>
      <c r="AF1102" s="72">
        <v>0.987341772151899</v>
      </c>
      <c r="AG1102" s="72">
        <v>0.99733384117311</v>
      </c>
      <c r="AH1102" s="74">
        <v>0.92</v>
      </c>
      <c r="AI1102" s="72">
        <v>0.954052882531426</v>
      </c>
      <c r="AJ1102" s="72">
        <v>0.965170278637771</v>
      </c>
      <c r="AK1102" s="72">
        <v>0.972423146473779</v>
      </c>
      <c r="AL1102" s="72">
        <v>0.96688195685035</v>
      </c>
      <c r="AM1102" s="71">
        <v>0.99</v>
      </c>
      <c r="AN1102" s="76">
        <v>1</v>
      </c>
      <c r="AO1102" s="76">
        <v>1</v>
      </c>
      <c r="AP1102" s="76">
        <v>1</v>
      </c>
      <c r="AQ1102" s="76">
        <v>1</v>
      </c>
      <c r="AR1102" s="96">
        <v>0.0721861525408278</v>
      </c>
      <c r="AS1102" s="80">
        <v>0</v>
      </c>
      <c r="AT1102" s="80">
        <v>0.2</v>
      </c>
      <c r="AU1102" s="80">
        <v>0</v>
      </c>
      <c r="AV1102" s="80">
        <v>0.0784313725490196</v>
      </c>
      <c r="AW1102" s="36"/>
      <c r="AX1102" s="34"/>
    </row>
    <row r="1103" ht="14.5" spans="1:50">
      <c r="A1103" s="32"/>
      <c r="B1103" s="36"/>
      <c r="C1103" s="91" t="s">
        <v>1105</v>
      </c>
      <c r="D1103" s="69" t="s">
        <v>25</v>
      </c>
      <c r="E1103" s="129" t="s">
        <v>1152</v>
      </c>
      <c r="F1103" s="129" t="s">
        <v>1152</v>
      </c>
      <c r="G1103" s="129" t="s">
        <v>1152</v>
      </c>
      <c r="H1103" s="129" t="s">
        <v>1152</v>
      </c>
      <c r="I1103" s="71">
        <v>0.9</v>
      </c>
      <c r="J1103" s="72">
        <v>0.869565217391304</v>
      </c>
      <c r="K1103" s="72">
        <v>0.91304347826087</v>
      </c>
      <c r="L1103" s="73">
        <v>0.88</v>
      </c>
      <c r="M1103" s="72">
        <v>0.92018779342723</v>
      </c>
      <c r="N1103" s="74">
        <v>0.9</v>
      </c>
      <c r="O1103" s="72">
        <v>0.983418367346939</v>
      </c>
      <c r="P1103" s="72">
        <v>0.982573726541555</v>
      </c>
      <c r="Q1103" s="72">
        <v>0.982248520710059</v>
      </c>
      <c r="R1103" s="72">
        <v>0.980374831418872</v>
      </c>
      <c r="S1103" s="74">
        <v>0.9</v>
      </c>
      <c r="T1103" s="72">
        <v>0.931122448979592</v>
      </c>
      <c r="U1103" s="72">
        <v>0.948614834673816</v>
      </c>
      <c r="V1103" s="72">
        <v>0.956889264581572</v>
      </c>
      <c r="W1103" s="72">
        <v>0.941775566200065</v>
      </c>
      <c r="X1103" s="74">
        <v>0.92</v>
      </c>
      <c r="Y1103" s="74">
        <v>0</v>
      </c>
      <c r="Z1103" s="74">
        <v>0</v>
      </c>
      <c r="AA1103" s="74">
        <v>0</v>
      </c>
      <c r="AB1103" s="74">
        <v>0</v>
      </c>
      <c r="AC1103" s="74">
        <v>0.92</v>
      </c>
      <c r="AD1103" s="72">
        <v>1</v>
      </c>
      <c r="AE1103" s="72">
        <v>1</v>
      </c>
      <c r="AF1103" s="72">
        <v>1</v>
      </c>
      <c r="AG1103" s="72">
        <v>1</v>
      </c>
      <c r="AH1103" s="74">
        <v>0.92</v>
      </c>
      <c r="AI1103" s="72">
        <v>0.966425839354016</v>
      </c>
      <c r="AJ1103" s="72">
        <v>0.97408400357462</v>
      </c>
      <c r="AK1103" s="72">
        <v>0.981403212172443</v>
      </c>
      <c r="AL1103" s="72">
        <v>0.976655505952381</v>
      </c>
      <c r="AM1103" s="71">
        <v>0.99</v>
      </c>
      <c r="AN1103" s="76">
        <v>1</v>
      </c>
      <c r="AO1103" s="76">
        <v>1</v>
      </c>
      <c r="AP1103" s="76">
        <v>1</v>
      </c>
      <c r="AQ1103" s="76">
        <v>1</v>
      </c>
      <c r="AR1103" s="96">
        <v>0.0721861525408278</v>
      </c>
      <c r="AS1103" s="80">
        <v>0.333333333333333</v>
      </c>
      <c r="AT1103" s="80">
        <v>0</v>
      </c>
      <c r="AU1103" s="80">
        <v>0</v>
      </c>
      <c r="AV1103" s="80">
        <v>0.0377358490566038</v>
      </c>
      <c r="AW1103" s="36"/>
      <c r="AX1103" s="34"/>
    </row>
    <row r="1104" ht="14.5" spans="1:50">
      <c r="A1104" s="32"/>
      <c r="B1104" s="36"/>
      <c r="C1104" s="91" t="s">
        <v>1105</v>
      </c>
      <c r="D1104" s="69" t="s">
        <v>25</v>
      </c>
      <c r="E1104" s="129" t="s">
        <v>1153</v>
      </c>
      <c r="F1104" s="129" t="s">
        <v>1153</v>
      </c>
      <c r="G1104" s="129" t="s">
        <v>1153</v>
      </c>
      <c r="H1104" s="129" t="s">
        <v>1153</v>
      </c>
      <c r="I1104" s="71">
        <v>0.9</v>
      </c>
      <c r="J1104" s="72">
        <v>0.931818181818182</v>
      </c>
      <c r="K1104" s="72">
        <v>0.936170212765957</v>
      </c>
      <c r="L1104" s="73">
        <v>0.978723404255319</v>
      </c>
      <c r="M1104" s="72">
        <v>0.952853598014888</v>
      </c>
      <c r="N1104" s="74">
        <v>0.9</v>
      </c>
      <c r="O1104" s="72">
        <v>0.989402173913044</v>
      </c>
      <c r="P1104" s="72">
        <v>0.980245435498354</v>
      </c>
      <c r="Q1104" s="72">
        <v>0.985849056603774</v>
      </c>
      <c r="R1104" s="72">
        <v>0.985078837653992</v>
      </c>
      <c r="S1104" s="74">
        <v>0.9</v>
      </c>
      <c r="T1104" s="72">
        <v>0.880163043478261</v>
      </c>
      <c r="U1104" s="72">
        <v>0.88715953307393</v>
      </c>
      <c r="V1104" s="72">
        <v>0.892064372918979</v>
      </c>
      <c r="W1104" s="72">
        <v>0.890975204539043</v>
      </c>
      <c r="X1104" s="74">
        <v>0.92</v>
      </c>
      <c r="Y1104" s="74">
        <v>0</v>
      </c>
      <c r="Z1104" s="74">
        <v>0</v>
      </c>
      <c r="AA1104" s="74">
        <v>0</v>
      </c>
      <c r="AB1104" s="74">
        <v>0</v>
      </c>
      <c r="AC1104" s="74">
        <v>0.92</v>
      </c>
      <c r="AD1104" s="72">
        <v>0.989051094890511</v>
      </c>
      <c r="AE1104" s="72">
        <v>0.998223801065719</v>
      </c>
      <c r="AF1104" s="72">
        <v>0.997658079625293</v>
      </c>
      <c r="AG1104" s="72">
        <v>0.997443963822257</v>
      </c>
      <c r="AH1104" s="74">
        <v>0.92</v>
      </c>
      <c r="AI1104" s="72">
        <v>0.962228260869565</v>
      </c>
      <c r="AJ1104" s="72">
        <v>0.966177791080515</v>
      </c>
      <c r="AK1104" s="72">
        <v>0.966981132075472</v>
      </c>
      <c r="AL1104" s="72">
        <v>0.968903796119244</v>
      </c>
      <c r="AM1104" s="71">
        <v>0.99</v>
      </c>
      <c r="AN1104" s="76">
        <v>1</v>
      </c>
      <c r="AO1104" s="76">
        <v>1</v>
      </c>
      <c r="AP1104" s="76">
        <v>1</v>
      </c>
      <c r="AQ1104" s="76">
        <v>1</v>
      </c>
      <c r="AR1104" s="96">
        <v>0.0721861525408278</v>
      </c>
      <c r="AS1104" s="80">
        <v>0.111111111111111</v>
      </c>
      <c r="AT1104" s="80">
        <v>0</v>
      </c>
      <c r="AU1104" s="80">
        <v>0</v>
      </c>
      <c r="AV1104" s="80">
        <v>0.0540540540540541</v>
      </c>
      <c r="AW1104" s="36"/>
      <c r="AX1104" s="34"/>
    </row>
    <row r="1105" ht="14.5" spans="1:50">
      <c r="A1105" s="32"/>
      <c r="B1105" s="36"/>
      <c r="C1105" s="91" t="s">
        <v>1105</v>
      </c>
      <c r="D1105" s="69" t="s">
        <v>25</v>
      </c>
      <c r="E1105" s="129" t="s">
        <v>1154</v>
      </c>
      <c r="F1105" s="129" t="s">
        <v>1154</v>
      </c>
      <c r="G1105" s="129" t="s">
        <v>1154</v>
      </c>
      <c r="H1105" s="129" t="s">
        <v>1154</v>
      </c>
      <c r="I1105" s="71">
        <v>0.9</v>
      </c>
      <c r="J1105" s="72">
        <v>0.944444444444444</v>
      </c>
      <c r="K1105" s="72">
        <v>0.912280701754386</v>
      </c>
      <c r="L1105" s="73">
        <v>0.982456140350877</v>
      </c>
      <c r="M1105" s="72">
        <v>0.968</v>
      </c>
      <c r="N1105" s="74">
        <v>0.9</v>
      </c>
      <c r="O1105" s="72">
        <v>0.944984412250138</v>
      </c>
      <c r="P1105" s="72">
        <v>0.970864481502779</v>
      </c>
      <c r="Q1105" s="72">
        <v>0.968366802914519</v>
      </c>
      <c r="R1105" s="72">
        <v>0.973234601413117</v>
      </c>
      <c r="S1105" s="74">
        <v>0.9</v>
      </c>
      <c r="T1105" s="72">
        <v>0.932514212360169</v>
      </c>
      <c r="U1105" s="72">
        <v>0.940387195706345</v>
      </c>
      <c r="V1105" s="72">
        <v>0.966411942420473</v>
      </c>
      <c r="W1105" s="72">
        <v>0.95323539978444</v>
      </c>
      <c r="X1105" s="74">
        <v>0.92</v>
      </c>
      <c r="Y1105" s="74">
        <v>0</v>
      </c>
      <c r="Z1105" s="74">
        <v>0</v>
      </c>
      <c r="AA1105" s="74">
        <v>0</v>
      </c>
      <c r="AB1105" s="74">
        <v>0</v>
      </c>
      <c r="AC1105" s="74">
        <v>0.92</v>
      </c>
      <c r="AD1105" s="72">
        <v>1</v>
      </c>
      <c r="AE1105" s="72">
        <v>1</v>
      </c>
      <c r="AF1105" s="72">
        <v>1</v>
      </c>
      <c r="AG1105" s="72">
        <v>0.992010459035444</v>
      </c>
      <c r="AH1105" s="74">
        <v>0.92</v>
      </c>
      <c r="AI1105" s="72">
        <v>0.954337062167614</v>
      </c>
      <c r="AJ1105" s="72">
        <v>0.967222541690627</v>
      </c>
      <c r="AK1105" s="72">
        <v>0.982406255553581</v>
      </c>
      <c r="AL1105" s="72">
        <v>0.976827272364377</v>
      </c>
      <c r="AM1105" s="71">
        <v>0.99</v>
      </c>
      <c r="AN1105" s="76">
        <v>1</v>
      </c>
      <c r="AO1105" s="76">
        <v>1</v>
      </c>
      <c r="AP1105" s="76">
        <v>1</v>
      </c>
      <c r="AQ1105" s="76">
        <v>1</v>
      </c>
      <c r="AR1105" s="96">
        <v>0.0721861525408278</v>
      </c>
      <c r="AS1105" s="80">
        <v>0</v>
      </c>
      <c r="AT1105" s="80">
        <v>0.0454545454545455</v>
      </c>
      <c r="AU1105" s="80">
        <v>0.0454545454545455</v>
      </c>
      <c r="AV1105" s="80">
        <v>0.027027027027027</v>
      </c>
      <c r="AW1105" s="36"/>
      <c r="AX1105" s="34"/>
    </row>
    <row r="1106" ht="14.5" spans="1:50">
      <c r="A1106" s="32"/>
      <c r="B1106" s="36"/>
      <c r="C1106" s="91" t="s">
        <v>1105</v>
      </c>
      <c r="D1106" s="69" t="s">
        <v>25</v>
      </c>
      <c r="E1106" s="129" t="s">
        <v>1155</v>
      </c>
      <c r="F1106" s="129" t="s">
        <v>1155</v>
      </c>
      <c r="G1106" s="129" t="s">
        <v>1155</v>
      </c>
      <c r="H1106" s="129" t="s">
        <v>1155</v>
      </c>
      <c r="I1106" s="71">
        <v>0.9</v>
      </c>
      <c r="J1106" s="72">
        <v>0.915254237288136</v>
      </c>
      <c r="K1106" s="72">
        <v>0.9375</v>
      </c>
      <c r="L1106" s="73">
        <v>0.904761904761905</v>
      </c>
      <c r="M1106" s="72">
        <v>0.918871252204586</v>
      </c>
      <c r="N1106" s="74">
        <v>0.9</v>
      </c>
      <c r="O1106" s="72">
        <v>0.964596633778294</v>
      </c>
      <c r="P1106" s="72">
        <v>0.973144427997462</v>
      </c>
      <c r="Q1106" s="72">
        <v>0.968791882060119</v>
      </c>
      <c r="R1106" s="72">
        <v>0.967928877181429</v>
      </c>
      <c r="S1106" s="74">
        <v>0.9</v>
      </c>
      <c r="T1106" s="72">
        <v>0.801508995937319</v>
      </c>
      <c r="U1106" s="72">
        <v>0.839923873969127</v>
      </c>
      <c r="V1106" s="72">
        <v>0.8510434616121</v>
      </c>
      <c r="W1106" s="72">
        <v>0.866491054768961</v>
      </c>
      <c r="X1106" s="74">
        <v>0.92</v>
      </c>
      <c r="Y1106" s="74">
        <v>0</v>
      </c>
      <c r="Z1106" s="74">
        <v>0</v>
      </c>
      <c r="AA1106" s="74">
        <v>0</v>
      </c>
      <c r="AB1106" s="74">
        <v>0</v>
      </c>
      <c r="AC1106" s="74">
        <v>0.92</v>
      </c>
      <c r="AD1106" s="72">
        <v>0.90948275862069</v>
      </c>
      <c r="AE1106" s="72">
        <v>1</v>
      </c>
      <c r="AF1106" s="72">
        <v>1</v>
      </c>
      <c r="AG1106" s="72">
        <v>0.985487214927436</v>
      </c>
      <c r="AH1106" s="74">
        <v>0.92</v>
      </c>
      <c r="AI1106" s="72">
        <v>0.922809053975624</v>
      </c>
      <c r="AJ1106" s="72">
        <v>0.941425248466906</v>
      </c>
      <c r="AK1106" s="72">
        <v>0.959410300593529</v>
      </c>
      <c r="AL1106" s="72">
        <v>0.955240917572166</v>
      </c>
      <c r="AM1106" s="71">
        <v>0.99</v>
      </c>
      <c r="AN1106" s="76">
        <v>1</v>
      </c>
      <c r="AO1106" s="76">
        <v>1</v>
      </c>
      <c r="AP1106" s="76">
        <v>1</v>
      </c>
      <c r="AQ1106" s="76">
        <v>1</v>
      </c>
      <c r="AR1106" s="96">
        <v>0.0721861525408278</v>
      </c>
      <c r="AS1106" s="80">
        <v>0</v>
      </c>
      <c r="AT1106" s="80">
        <v>0.125</v>
      </c>
      <c r="AU1106" s="80">
        <v>0.25</v>
      </c>
      <c r="AV1106" s="80">
        <v>0.0797101449275362</v>
      </c>
      <c r="AW1106" s="36"/>
      <c r="AX1106" s="34"/>
    </row>
    <row r="1107" ht="14.5" spans="1:50">
      <c r="A1107" s="32"/>
      <c r="B1107" s="36"/>
      <c r="C1107" s="91" t="s">
        <v>1105</v>
      </c>
      <c r="D1107" s="69" t="s">
        <v>25</v>
      </c>
      <c r="E1107" s="129" t="s">
        <v>1156</v>
      </c>
      <c r="F1107" s="129" t="s">
        <v>1156</v>
      </c>
      <c r="G1107" s="129" t="s">
        <v>1156</v>
      </c>
      <c r="H1107" s="129" t="s">
        <v>1156</v>
      </c>
      <c r="I1107" s="71">
        <v>0.9</v>
      </c>
      <c r="J1107" s="72">
        <v>0.886363636363636</v>
      </c>
      <c r="K1107" s="72">
        <v>0.872340425531915</v>
      </c>
      <c r="L1107" s="73">
        <v>0.8125</v>
      </c>
      <c r="M1107" s="72">
        <v>0.84</v>
      </c>
      <c r="N1107" s="74">
        <v>0.9</v>
      </c>
      <c r="O1107" s="72">
        <v>0.899133836267114</v>
      </c>
      <c r="P1107" s="72">
        <v>0.948646125116713</v>
      </c>
      <c r="Q1107" s="72">
        <v>0.95394552092109</v>
      </c>
      <c r="R1107" s="72">
        <v>0.914379943005347</v>
      </c>
      <c r="S1107" s="74">
        <v>0.9</v>
      </c>
      <c r="T1107" s="72">
        <v>0.791841296451523</v>
      </c>
      <c r="U1107" s="72">
        <v>0.809835045129163</v>
      </c>
      <c r="V1107" s="72">
        <v>0.819994383600112</v>
      </c>
      <c r="W1107" s="72">
        <v>0.814671320162659</v>
      </c>
      <c r="X1107" s="74">
        <v>0.92</v>
      </c>
      <c r="Y1107" s="74">
        <v>0</v>
      </c>
      <c r="Z1107" s="74">
        <v>0</v>
      </c>
      <c r="AA1107" s="74">
        <v>0</v>
      </c>
      <c r="AB1107" s="74">
        <v>0</v>
      </c>
      <c r="AC1107" s="74">
        <v>0.92</v>
      </c>
      <c r="AD1107" s="72">
        <v>0.978991596638655</v>
      </c>
      <c r="AE1107" s="72">
        <v>0.970149253731343</v>
      </c>
      <c r="AF1107" s="72">
        <v>0.82967032967033</v>
      </c>
      <c r="AG1107" s="72">
        <v>0.96699478865084</v>
      </c>
      <c r="AH1107" s="74">
        <v>0.92</v>
      </c>
      <c r="AI1107" s="72">
        <v>0.926795194188321</v>
      </c>
      <c r="AJ1107" s="72">
        <v>0.937130407718643</v>
      </c>
      <c r="AK1107" s="72">
        <v>0.95085650098287</v>
      </c>
      <c r="AL1107" s="72">
        <v>0.952900870901639</v>
      </c>
      <c r="AM1107" s="71">
        <v>0.99</v>
      </c>
      <c r="AN1107" s="76">
        <v>1</v>
      </c>
      <c r="AO1107" s="76">
        <v>1</v>
      </c>
      <c r="AP1107" s="76">
        <v>1</v>
      </c>
      <c r="AQ1107" s="76">
        <v>1</v>
      </c>
      <c r="AR1107" s="96">
        <v>0.0721861525408278</v>
      </c>
      <c r="AS1107" s="80">
        <v>0.142857142857143</v>
      </c>
      <c r="AT1107" s="80">
        <v>0</v>
      </c>
      <c r="AU1107" s="80">
        <v>0.0909090909090909</v>
      </c>
      <c r="AV1107" s="80">
        <v>0.0645161290322581</v>
      </c>
      <c r="AW1107" s="36"/>
      <c r="AX1107" s="34"/>
    </row>
    <row r="1108" ht="14.5" spans="1:50">
      <c r="A1108" s="32"/>
      <c r="B1108" s="36"/>
      <c r="C1108" s="91" t="s">
        <v>1105</v>
      </c>
      <c r="D1108" s="69" t="s">
        <v>25</v>
      </c>
      <c r="E1108" s="129" t="s">
        <v>1157</v>
      </c>
      <c r="F1108" s="129" t="s">
        <v>1157</v>
      </c>
      <c r="G1108" s="129" t="s">
        <v>1157</v>
      </c>
      <c r="H1108" s="129" t="s">
        <v>1157</v>
      </c>
      <c r="I1108" s="71">
        <v>0.9</v>
      </c>
      <c r="J1108" s="72">
        <v>0.803921568627451</v>
      </c>
      <c r="K1108" s="72">
        <v>0.82</v>
      </c>
      <c r="L1108" s="73">
        <v>0.846153846153846</v>
      </c>
      <c r="M1108" s="72">
        <v>0.824524312896406</v>
      </c>
      <c r="N1108" s="74">
        <v>0.9</v>
      </c>
      <c r="O1108" s="72">
        <v>0.972896957299923</v>
      </c>
      <c r="P1108" s="72">
        <v>0.990693964371178</v>
      </c>
      <c r="Q1108" s="72">
        <v>0.994579945799458</v>
      </c>
      <c r="R1108" s="72">
        <v>0.976057660444052</v>
      </c>
      <c r="S1108" s="74">
        <v>0.9</v>
      </c>
      <c r="T1108" s="72">
        <v>0.891332140117617</v>
      </c>
      <c r="U1108" s="72">
        <v>0.86971550119649</v>
      </c>
      <c r="V1108" s="72">
        <v>0.937176644493718</v>
      </c>
      <c r="W1108" s="72">
        <v>0.903346956809897</v>
      </c>
      <c r="X1108" s="74">
        <v>0.92</v>
      </c>
      <c r="Y1108" s="74">
        <v>0</v>
      </c>
      <c r="Z1108" s="74">
        <v>0</v>
      </c>
      <c r="AA1108" s="74">
        <v>0</v>
      </c>
      <c r="AB1108" s="74">
        <v>0</v>
      </c>
      <c r="AC1108" s="74">
        <v>0.92</v>
      </c>
      <c r="AD1108" s="72">
        <v>0.994884910485934</v>
      </c>
      <c r="AE1108" s="72">
        <v>1</v>
      </c>
      <c r="AF1108" s="72">
        <v>0.996168582375479</v>
      </c>
      <c r="AG1108" s="72">
        <v>0.995574288724974</v>
      </c>
      <c r="AH1108" s="74">
        <v>0.92</v>
      </c>
      <c r="AI1108" s="72">
        <v>0.942469956532856</v>
      </c>
      <c r="AJ1108" s="72">
        <v>0.946290880085084</v>
      </c>
      <c r="AK1108" s="72">
        <v>0.975856122197586</v>
      </c>
      <c r="AL1108" s="72">
        <v>0.962056776759085</v>
      </c>
      <c r="AM1108" s="71">
        <v>0.99</v>
      </c>
      <c r="AN1108" s="76">
        <v>1</v>
      </c>
      <c r="AO1108" s="76">
        <v>1</v>
      </c>
      <c r="AP1108" s="76">
        <v>1</v>
      </c>
      <c r="AQ1108" s="76">
        <v>1</v>
      </c>
      <c r="AR1108" s="96">
        <v>0.0721861525408278</v>
      </c>
      <c r="AS1108" s="80">
        <v>0.4</v>
      </c>
      <c r="AT1108" s="80">
        <v>0</v>
      </c>
      <c r="AU1108" s="80">
        <v>0</v>
      </c>
      <c r="AV1108" s="80">
        <v>0.0449438202247191</v>
      </c>
      <c r="AW1108" s="36"/>
      <c r="AX1108" s="34"/>
    </row>
    <row r="1109" ht="14.5" spans="1:50">
      <c r="A1109" s="32"/>
      <c r="B1109" s="36"/>
      <c r="C1109" s="91" t="s">
        <v>1105</v>
      </c>
      <c r="D1109" s="69" t="s">
        <v>25</v>
      </c>
      <c r="E1109" s="129" t="s">
        <v>1158</v>
      </c>
      <c r="F1109" s="129" t="s">
        <v>1158</v>
      </c>
      <c r="G1109" s="129" t="s">
        <v>1158</v>
      </c>
      <c r="H1109" s="129" t="s">
        <v>1158</v>
      </c>
      <c r="I1109" s="71">
        <v>0.9</v>
      </c>
      <c r="J1109" s="72">
        <v>0.823529411764706</v>
      </c>
      <c r="K1109" s="72">
        <v>0.971428571428571</v>
      </c>
      <c r="L1109" s="73">
        <v>1</v>
      </c>
      <c r="M1109" s="72">
        <v>0.944983818770227</v>
      </c>
      <c r="N1109" s="74">
        <v>0.9</v>
      </c>
      <c r="O1109" s="72">
        <v>0.952533333333333</v>
      </c>
      <c r="P1109" s="72">
        <v>0.962721893491124</v>
      </c>
      <c r="Q1109" s="72">
        <v>0.979471316085489</v>
      </c>
      <c r="R1109" s="72">
        <v>0.941840820923539</v>
      </c>
      <c r="S1109" s="74">
        <v>0.9</v>
      </c>
      <c r="T1109" s="72">
        <v>0.730666666666667</v>
      </c>
      <c r="U1109" s="72">
        <v>0.825147928994083</v>
      </c>
      <c r="V1109" s="72">
        <v>0.834645669291339</v>
      </c>
      <c r="W1109" s="72">
        <v>0.785915404830434</v>
      </c>
      <c r="X1109" s="74">
        <v>0.92</v>
      </c>
      <c r="Y1109" s="74">
        <v>0</v>
      </c>
      <c r="Z1109" s="74">
        <v>0</v>
      </c>
      <c r="AA1109" s="74">
        <v>0</v>
      </c>
      <c r="AB1109" s="74">
        <v>0</v>
      </c>
      <c r="AC1109" s="74">
        <v>0.92</v>
      </c>
      <c r="AD1109" s="72">
        <v>0.987767584097859</v>
      </c>
      <c r="AE1109" s="72">
        <v>0.994186046511628</v>
      </c>
      <c r="AF1109" s="72">
        <v>0.971246006389776</v>
      </c>
      <c r="AG1109" s="72">
        <v>0.9882797731569</v>
      </c>
      <c r="AH1109" s="74">
        <v>0.92</v>
      </c>
      <c r="AI1109" s="72">
        <v>0.867466666666667</v>
      </c>
      <c r="AJ1109" s="72">
        <v>0.932544378698225</v>
      </c>
      <c r="AK1109" s="72">
        <v>0.938413948256468</v>
      </c>
      <c r="AL1109" s="72">
        <v>0.923382555374797</v>
      </c>
      <c r="AM1109" s="71">
        <v>0.99</v>
      </c>
      <c r="AN1109" s="76">
        <v>1</v>
      </c>
      <c r="AO1109" s="76">
        <v>1</v>
      </c>
      <c r="AP1109" s="76">
        <v>1</v>
      </c>
      <c r="AQ1109" s="76">
        <v>1</v>
      </c>
      <c r="AR1109" s="96">
        <v>0.0721861525408278</v>
      </c>
      <c r="AS1109" s="80">
        <v>0</v>
      </c>
      <c r="AT1109" s="80">
        <v>0</v>
      </c>
      <c r="AU1109" s="80">
        <v>0</v>
      </c>
      <c r="AV1109" s="80">
        <v>0.0533333333333333</v>
      </c>
      <c r="AW1109" s="36"/>
      <c r="AX1109" s="34"/>
    </row>
    <row r="1110" ht="14.5" spans="1:50">
      <c r="A1110" s="32"/>
      <c r="B1110" s="36"/>
      <c r="C1110" s="91" t="s">
        <v>1105</v>
      </c>
      <c r="D1110" s="69" t="s">
        <v>25</v>
      </c>
      <c r="E1110" s="129" t="s">
        <v>1159</v>
      </c>
      <c r="F1110" s="129" t="s">
        <v>1159</v>
      </c>
      <c r="G1110" s="129" t="s">
        <v>1159</v>
      </c>
      <c r="H1110" s="129" t="s">
        <v>1159</v>
      </c>
      <c r="I1110" s="71">
        <v>0.9</v>
      </c>
      <c r="J1110" s="72">
        <v>1</v>
      </c>
      <c r="K1110" s="72">
        <v>1</v>
      </c>
      <c r="L1110" s="73">
        <v>0.95</v>
      </c>
      <c r="M1110" s="72">
        <v>0.985994397759104</v>
      </c>
      <c r="N1110" s="74">
        <v>0.9</v>
      </c>
      <c r="O1110" s="72">
        <v>0.982314300151592</v>
      </c>
      <c r="P1110" s="72">
        <v>0.991119483315393</v>
      </c>
      <c r="Q1110" s="72">
        <v>0.981424148606811</v>
      </c>
      <c r="R1110" s="72">
        <v>0.976126343247611</v>
      </c>
      <c r="S1110" s="74">
        <v>0.9</v>
      </c>
      <c r="T1110" s="72">
        <v>0.953764527539161</v>
      </c>
      <c r="U1110" s="72">
        <v>0.96313240043057</v>
      </c>
      <c r="V1110" s="72">
        <v>0.954274827339843</v>
      </c>
      <c r="W1110" s="72">
        <v>0.941676826674984</v>
      </c>
      <c r="X1110" s="74">
        <v>0.92</v>
      </c>
      <c r="Y1110" s="74">
        <v>1</v>
      </c>
      <c r="Z1110" s="74">
        <v>0</v>
      </c>
      <c r="AA1110" s="74">
        <v>1</v>
      </c>
      <c r="AB1110" s="74">
        <v>0.666666666666667</v>
      </c>
      <c r="AC1110" s="74">
        <v>0.92</v>
      </c>
      <c r="AD1110" s="72">
        <v>1</v>
      </c>
      <c r="AE1110" s="72">
        <v>1</v>
      </c>
      <c r="AF1110" s="72">
        <v>1</v>
      </c>
      <c r="AG1110" s="72">
        <v>0.999690785405071</v>
      </c>
      <c r="AH1110" s="74">
        <v>0.92</v>
      </c>
      <c r="AI1110" s="72">
        <v>0.970699671634251</v>
      </c>
      <c r="AJ1110" s="72">
        <v>0.980898574118913</v>
      </c>
      <c r="AK1110" s="72">
        <v>0.982857142857143</v>
      </c>
      <c r="AL1110" s="72">
        <v>0.974143796779315</v>
      </c>
      <c r="AM1110" s="71">
        <v>0.99</v>
      </c>
      <c r="AN1110" s="76">
        <v>1</v>
      </c>
      <c r="AO1110" s="76">
        <v>1</v>
      </c>
      <c r="AP1110" s="76">
        <v>1</v>
      </c>
      <c r="AQ1110" s="76">
        <v>1</v>
      </c>
      <c r="AR1110" s="96">
        <v>0.0721861525408278</v>
      </c>
      <c r="AS1110" s="80">
        <v>0</v>
      </c>
      <c r="AT1110" s="80">
        <v>0.1</v>
      </c>
      <c r="AU1110" s="80">
        <v>0</v>
      </c>
      <c r="AV1110" s="80">
        <v>0.04</v>
      </c>
      <c r="AW1110" s="36"/>
      <c r="AX1110" s="34"/>
    </row>
    <row r="1111" ht="14.5" spans="1:50">
      <c r="A1111" s="32"/>
      <c r="B1111" s="36"/>
      <c r="C1111" s="91" t="s">
        <v>1105</v>
      </c>
      <c r="D1111" s="69" t="s">
        <v>25</v>
      </c>
      <c r="E1111" s="129" t="s">
        <v>1160</v>
      </c>
      <c r="F1111" s="129" t="s">
        <v>1160</v>
      </c>
      <c r="G1111" s="129" t="s">
        <v>1160</v>
      </c>
      <c r="H1111" s="129" t="s">
        <v>1160</v>
      </c>
      <c r="I1111" s="71">
        <v>0.9</v>
      </c>
      <c r="J1111" s="72">
        <v>0.904761904761905</v>
      </c>
      <c r="K1111" s="72">
        <v>0.958333333333333</v>
      </c>
      <c r="L1111" s="73">
        <v>0.857142857142857</v>
      </c>
      <c r="M1111" s="72">
        <v>0.935135135135135</v>
      </c>
      <c r="N1111" s="74">
        <v>0.9</v>
      </c>
      <c r="O1111" s="72">
        <v>0.89691235059761</v>
      </c>
      <c r="P1111" s="72">
        <v>0.983498349834984</v>
      </c>
      <c r="Q1111" s="72">
        <v>0.921399594320487</v>
      </c>
      <c r="R1111" s="72">
        <v>0.937825594563986</v>
      </c>
      <c r="S1111" s="74">
        <v>0.9</v>
      </c>
      <c r="T1111" s="72">
        <v>0.85308764940239</v>
      </c>
      <c r="U1111" s="72">
        <v>0.945544554455445</v>
      </c>
      <c r="V1111" s="72">
        <v>0.906186612576065</v>
      </c>
      <c r="W1111" s="72">
        <v>0.878142695356738</v>
      </c>
      <c r="X1111" s="74">
        <v>0.92</v>
      </c>
      <c r="Y1111" s="74">
        <v>0</v>
      </c>
      <c r="Z1111" s="74">
        <v>1</v>
      </c>
      <c r="AA1111" s="74">
        <v>0</v>
      </c>
      <c r="AB1111" s="74">
        <v>1</v>
      </c>
      <c r="AC1111" s="74">
        <v>0.92</v>
      </c>
      <c r="AD1111" s="72">
        <v>1</v>
      </c>
      <c r="AE1111" s="72">
        <v>1</v>
      </c>
      <c r="AF1111" s="72">
        <v>1</v>
      </c>
      <c r="AG1111" s="72">
        <v>0.999641962047977</v>
      </c>
      <c r="AH1111" s="74">
        <v>0.92</v>
      </c>
      <c r="AI1111" s="72">
        <v>0.901394422310757</v>
      </c>
      <c r="AJ1111" s="72">
        <v>0.970313358988455</v>
      </c>
      <c r="AK1111" s="72">
        <v>0.942190669371197</v>
      </c>
      <c r="AL1111" s="72">
        <v>0.93986750467131</v>
      </c>
      <c r="AM1111" s="71">
        <v>0.99</v>
      </c>
      <c r="AN1111" s="76">
        <v>1</v>
      </c>
      <c r="AO1111" s="76">
        <v>0</v>
      </c>
      <c r="AP1111" s="76">
        <v>1</v>
      </c>
      <c r="AQ1111" s="76">
        <v>1</v>
      </c>
      <c r="AR1111" s="96">
        <v>0.0721861525408278</v>
      </c>
      <c r="AS1111" s="80">
        <v>0</v>
      </c>
      <c r="AT1111" s="80">
        <v>0</v>
      </c>
      <c r="AU1111" s="80">
        <v>0</v>
      </c>
      <c r="AV1111" s="80">
        <v>0.0833333333333333</v>
      </c>
      <c r="AW1111" s="36"/>
      <c r="AX1111" s="34"/>
    </row>
    <row r="1112" ht="14.5" spans="1:50">
      <c r="A1112" s="32"/>
      <c r="B1112" s="36"/>
      <c r="C1112" s="91" t="s">
        <v>1105</v>
      </c>
      <c r="D1112" s="69" t="s">
        <v>25</v>
      </c>
      <c r="E1112" s="129" t="s">
        <v>1161</v>
      </c>
      <c r="F1112" s="129" t="s">
        <v>1161</v>
      </c>
      <c r="G1112" s="129" t="s">
        <v>1161</v>
      </c>
      <c r="H1112" s="129" t="s">
        <v>1161</v>
      </c>
      <c r="I1112" s="71">
        <v>0.9</v>
      </c>
      <c r="J1112" s="72">
        <v>1</v>
      </c>
      <c r="K1112" s="72">
        <v>0.956521739130435</v>
      </c>
      <c r="L1112" s="73">
        <v>1</v>
      </c>
      <c r="M1112" s="72">
        <v>0.985436893203884</v>
      </c>
      <c r="N1112" s="74">
        <v>0.9</v>
      </c>
      <c r="O1112" s="72">
        <v>0.975577264653641</v>
      </c>
      <c r="P1112" s="72">
        <v>0.984003877847795</v>
      </c>
      <c r="Q1112" s="72">
        <v>0.989223170184104</v>
      </c>
      <c r="R1112" s="72">
        <v>0.982117527862209</v>
      </c>
      <c r="S1112" s="74">
        <v>0.9</v>
      </c>
      <c r="T1112" s="72">
        <v>0.902309058614565</v>
      </c>
      <c r="U1112" s="72">
        <v>0.939893359185652</v>
      </c>
      <c r="V1112" s="72">
        <v>0.954198473282443</v>
      </c>
      <c r="W1112" s="72">
        <v>0.932776089159068</v>
      </c>
      <c r="X1112" s="74">
        <v>0.92</v>
      </c>
      <c r="Y1112" s="74">
        <v>0</v>
      </c>
      <c r="Z1112" s="74">
        <v>0</v>
      </c>
      <c r="AA1112" s="74">
        <v>0</v>
      </c>
      <c r="AB1112" s="74">
        <v>0</v>
      </c>
      <c r="AC1112" s="74">
        <v>0.92</v>
      </c>
      <c r="AD1112" s="72">
        <v>0.994490358126722</v>
      </c>
      <c r="AE1112" s="72">
        <v>0.990228013029316</v>
      </c>
      <c r="AF1112" s="72">
        <v>0.994871794871795</v>
      </c>
      <c r="AG1112" s="72">
        <v>0.993088281495445</v>
      </c>
      <c r="AH1112" s="74">
        <v>0.92</v>
      </c>
      <c r="AI1112" s="72">
        <v>0.958259325044405</v>
      </c>
      <c r="AJ1112" s="72">
        <v>0.96703829374697</v>
      </c>
      <c r="AK1112" s="72">
        <v>0.980242478670858</v>
      </c>
      <c r="AL1112" s="72">
        <v>0.969148936170213</v>
      </c>
      <c r="AM1112" s="71">
        <v>0.99</v>
      </c>
      <c r="AN1112" s="76">
        <v>1</v>
      </c>
      <c r="AO1112" s="76">
        <v>1</v>
      </c>
      <c r="AP1112" s="76">
        <v>1</v>
      </c>
      <c r="AQ1112" s="76">
        <v>1</v>
      </c>
      <c r="AR1112" s="96">
        <v>0.0721861525408278</v>
      </c>
      <c r="AS1112" s="80">
        <v>0</v>
      </c>
      <c r="AT1112" s="80">
        <v>0.125</v>
      </c>
      <c r="AU1112" s="80">
        <v>0</v>
      </c>
      <c r="AV1112" s="80">
        <v>0.0208333333333333</v>
      </c>
      <c r="AW1112" s="36"/>
      <c r="AX1112" s="34"/>
    </row>
    <row r="1113" ht="14.5" spans="1:50">
      <c r="A1113" s="32"/>
      <c r="B1113" s="36"/>
      <c r="C1113" s="91" t="s">
        <v>1105</v>
      </c>
      <c r="D1113" s="69" t="s">
        <v>25</v>
      </c>
      <c r="E1113" s="129" t="s">
        <v>1162</v>
      </c>
      <c r="F1113" s="129" t="s">
        <v>1162</v>
      </c>
      <c r="G1113" s="129" t="s">
        <v>1162</v>
      </c>
      <c r="H1113" s="129" t="s">
        <v>1162</v>
      </c>
      <c r="I1113" s="71">
        <v>0.9</v>
      </c>
      <c r="J1113" s="72">
        <v>0.813953488372093</v>
      </c>
      <c r="K1113" s="72">
        <v>0.870229007633588</v>
      </c>
      <c r="L1113" s="73">
        <v>0.861313868613139</v>
      </c>
      <c r="M1113" s="72">
        <v>0.843383584589615</v>
      </c>
      <c r="N1113" s="74">
        <v>0.9</v>
      </c>
      <c r="O1113" s="72">
        <v>0.829446449001144</v>
      </c>
      <c r="P1113" s="72">
        <v>0.911804613297151</v>
      </c>
      <c r="Q1113" s="72">
        <v>0.938822692512894</v>
      </c>
      <c r="R1113" s="72">
        <v>0.906226496455039</v>
      </c>
      <c r="S1113" s="74">
        <v>0.9</v>
      </c>
      <c r="T1113" s="72">
        <v>0.667869400686438</v>
      </c>
      <c r="U1113" s="72">
        <v>0.755185113394069</v>
      </c>
      <c r="V1113" s="72">
        <v>0.823848479459363</v>
      </c>
      <c r="W1113" s="72">
        <v>0.766503875891254</v>
      </c>
      <c r="X1113" s="74">
        <v>0.92</v>
      </c>
      <c r="Y1113" s="74">
        <v>0</v>
      </c>
      <c r="Z1113" s="74">
        <v>0</v>
      </c>
      <c r="AA1113" s="74">
        <v>0</v>
      </c>
      <c r="AB1113" s="74">
        <v>0</v>
      </c>
      <c r="AC1113" s="74">
        <v>0.92</v>
      </c>
      <c r="AD1113" s="72">
        <v>1</v>
      </c>
      <c r="AE1113" s="72">
        <v>1</v>
      </c>
      <c r="AF1113" s="72">
        <v>0.993857493857494</v>
      </c>
      <c r="AG1113" s="72">
        <v>0.995967741935484</v>
      </c>
      <c r="AH1113" s="74">
        <v>0.92</v>
      </c>
      <c r="AI1113" s="72">
        <v>0.881545366540526</v>
      </c>
      <c r="AJ1113" s="72">
        <v>0.935355689087032</v>
      </c>
      <c r="AK1113" s="72">
        <v>0.94424684332207</v>
      </c>
      <c r="AL1113" s="72">
        <v>0.941886701631585</v>
      </c>
      <c r="AM1113" s="71">
        <v>0.99</v>
      </c>
      <c r="AN1113" s="76">
        <v>1</v>
      </c>
      <c r="AO1113" s="76">
        <v>1</v>
      </c>
      <c r="AP1113" s="76">
        <v>1</v>
      </c>
      <c r="AQ1113" s="76">
        <v>1</v>
      </c>
      <c r="AR1113" s="96">
        <v>0.0721861525408278</v>
      </c>
      <c r="AS1113" s="80">
        <v>0.1</v>
      </c>
      <c r="AT1113" s="80">
        <v>0.05</v>
      </c>
      <c r="AU1113" s="80">
        <v>0.0810810810810811</v>
      </c>
      <c r="AV1113" s="80">
        <v>0.0774193548387097</v>
      </c>
      <c r="AW1113" s="36"/>
      <c r="AX1113" s="34"/>
    </row>
    <row r="1114" ht="14.5" spans="1:50">
      <c r="A1114" s="32"/>
      <c r="B1114" s="36"/>
      <c r="C1114" s="91" t="s">
        <v>1105</v>
      </c>
      <c r="D1114" s="69" t="s">
        <v>25</v>
      </c>
      <c r="E1114" s="129" t="s">
        <v>1163</v>
      </c>
      <c r="F1114" s="129" t="s">
        <v>1163</v>
      </c>
      <c r="G1114" s="129" t="s">
        <v>1163</v>
      </c>
      <c r="H1114" s="129" t="s">
        <v>1163</v>
      </c>
      <c r="I1114" s="71">
        <v>0.9</v>
      </c>
      <c r="J1114" s="72">
        <v>0.771428571428571</v>
      </c>
      <c r="K1114" s="72">
        <v>0.829268292682927</v>
      </c>
      <c r="L1114" s="73">
        <v>0.787878787878788</v>
      </c>
      <c r="M1114" s="72">
        <v>0.772727272727273</v>
      </c>
      <c r="N1114" s="74">
        <v>0.9</v>
      </c>
      <c r="O1114" s="72">
        <v>0.81457182320442</v>
      </c>
      <c r="P1114" s="72">
        <v>0.928233151183971</v>
      </c>
      <c r="Q1114" s="72">
        <v>0.873392010832769</v>
      </c>
      <c r="R1114" s="72">
        <v>0.89010557714196</v>
      </c>
      <c r="S1114" s="74">
        <v>0.9</v>
      </c>
      <c r="T1114" s="72">
        <v>0.614640883977901</v>
      </c>
      <c r="U1114" s="72">
        <v>0.685245901639344</v>
      </c>
      <c r="V1114" s="72">
        <v>0.673324306025728</v>
      </c>
      <c r="W1114" s="72">
        <v>0.705757682797598</v>
      </c>
      <c r="X1114" s="74">
        <v>0.92</v>
      </c>
      <c r="Y1114" s="74">
        <v>0</v>
      </c>
      <c r="Z1114" s="74">
        <v>0</v>
      </c>
      <c r="AA1114" s="74">
        <v>0</v>
      </c>
      <c r="AB1114" s="74">
        <v>0</v>
      </c>
      <c r="AC1114" s="74">
        <v>0.92</v>
      </c>
      <c r="AD1114" s="72">
        <v>0.994915254237288</v>
      </c>
      <c r="AE1114" s="72">
        <v>0.976388888888889</v>
      </c>
      <c r="AF1114" s="72">
        <v>0.989000916590284</v>
      </c>
      <c r="AG1114" s="72">
        <v>0.992275435886118</v>
      </c>
      <c r="AH1114" s="74">
        <v>0.92</v>
      </c>
      <c r="AI1114" s="72">
        <v>0.832011038289065</v>
      </c>
      <c r="AJ1114" s="72">
        <v>0.845901639344262</v>
      </c>
      <c r="AK1114" s="72">
        <v>0.795192958700068</v>
      </c>
      <c r="AL1114" s="72">
        <v>0.867553567223923</v>
      </c>
      <c r="AM1114" s="71">
        <v>0.99</v>
      </c>
      <c r="AN1114" s="76">
        <v>1</v>
      </c>
      <c r="AO1114" s="76">
        <v>1</v>
      </c>
      <c r="AP1114" s="76">
        <v>1</v>
      </c>
      <c r="AQ1114" s="76">
        <v>1</v>
      </c>
      <c r="AR1114" s="96">
        <v>0.0721861525408278</v>
      </c>
      <c r="AS1114" s="80">
        <v>0</v>
      </c>
      <c r="AT1114" s="80">
        <v>0</v>
      </c>
      <c r="AU1114" s="80">
        <v>0.5</v>
      </c>
      <c r="AV1114" s="80">
        <v>0.122448979591837</v>
      </c>
      <c r="AW1114" s="36"/>
      <c r="AX1114" s="34"/>
    </row>
    <row r="1115" ht="14.5" spans="1:50">
      <c r="A1115" s="32"/>
      <c r="B1115" s="36"/>
      <c r="C1115" s="91" t="s">
        <v>1105</v>
      </c>
      <c r="D1115" s="69" t="s">
        <v>25</v>
      </c>
      <c r="E1115" s="129" t="s">
        <v>1164</v>
      </c>
      <c r="F1115" s="129" t="s">
        <v>1164</v>
      </c>
      <c r="G1115" s="129" t="s">
        <v>1164</v>
      </c>
      <c r="H1115" s="129" t="s">
        <v>1164</v>
      </c>
      <c r="I1115" s="71">
        <v>0.9</v>
      </c>
      <c r="J1115" s="72">
        <v>0.973684210526316</v>
      </c>
      <c r="K1115" s="72">
        <v>1</v>
      </c>
      <c r="L1115" s="73">
        <v>0.977272727272727</v>
      </c>
      <c r="M1115" s="72">
        <v>0.983471074380165</v>
      </c>
      <c r="N1115" s="74">
        <v>0.9</v>
      </c>
      <c r="O1115" s="72">
        <v>0.98936735778841</v>
      </c>
      <c r="P1115" s="72">
        <v>0.986762272476558</v>
      </c>
      <c r="Q1115" s="72">
        <v>0.983598154792414</v>
      </c>
      <c r="R1115" s="72">
        <v>0.971970063458638</v>
      </c>
      <c r="S1115" s="74">
        <v>0.9</v>
      </c>
      <c r="T1115" s="72">
        <v>0.916533758639022</v>
      </c>
      <c r="U1115" s="72">
        <v>0.944567015995587</v>
      </c>
      <c r="V1115" s="72">
        <v>0.955920041004613</v>
      </c>
      <c r="W1115" s="72">
        <v>0.927008337838992</v>
      </c>
      <c r="X1115" s="74">
        <v>0.92</v>
      </c>
      <c r="Y1115" s="74">
        <v>0</v>
      </c>
      <c r="Z1115" s="74">
        <v>0</v>
      </c>
      <c r="AA1115" s="74">
        <v>0</v>
      </c>
      <c r="AB1115" s="74">
        <v>0</v>
      </c>
      <c r="AC1115" s="74">
        <v>0.92</v>
      </c>
      <c r="AD1115" s="72">
        <v>0.994100294985251</v>
      </c>
      <c r="AE1115" s="72">
        <v>1</v>
      </c>
      <c r="AF1115" s="72">
        <v>1</v>
      </c>
      <c r="AG1115" s="72">
        <v>0.998514998514998</v>
      </c>
      <c r="AH1115" s="74">
        <v>0.92</v>
      </c>
      <c r="AI1115" s="72">
        <v>0.971823498139288</v>
      </c>
      <c r="AJ1115" s="72">
        <v>0.979873173421561</v>
      </c>
      <c r="AK1115" s="72">
        <v>0.987442337262942</v>
      </c>
      <c r="AL1115" s="72">
        <v>0.983951284750875</v>
      </c>
      <c r="AM1115" s="71">
        <v>0.99</v>
      </c>
      <c r="AN1115" s="76">
        <v>1</v>
      </c>
      <c r="AO1115" s="76">
        <v>1</v>
      </c>
      <c r="AP1115" s="76">
        <v>1</v>
      </c>
      <c r="AQ1115" s="76">
        <v>1</v>
      </c>
      <c r="AR1115" s="96">
        <v>0.0721861525408278</v>
      </c>
      <c r="AS1115" s="80">
        <v>0</v>
      </c>
      <c r="AT1115" s="80">
        <v>0</v>
      </c>
      <c r="AU1115" s="80">
        <v>0</v>
      </c>
      <c r="AV1115" s="80">
        <v>0.0317460317460317</v>
      </c>
      <c r="AW1115" s="36"/>
      <c r="AX1115" s="34"/>
    </row>
    <row r="1116" ht="14.5" spans="1:50">
      <c r="A1116" s="32"/>
      <c r="B1116" s="36"/>
      <c r="C1116" s="91" t="s">
        <v>1105</v>
      </c>
      <c r="D1116" s="69" t="s">
        <v>25</v>
      </c>
      <c r="E1116" s="129" t="s">
        <v>1165</v>
      </c>
      <c r="F1116" s="129" t="s">
        <v>1165</v>
      </c>
      <c r="G1116" s="129" t="s">
        <v>1165</v>
      </c>
      <c r="H1116" s="129" t="s">
        <v>1165</v>
      </c>
      <c r="I1116" s="71">
        <v>0.9</v>
      </c>
      <c r="J1116" s="72">
        <v>0.833333333333333</v>
      </c>
      <c r="K1116" s="72">
        <v>0.75</v>
      </c>
      <c r="L1116" s="73">
        <v>0.766666666666667</v>
      </c>
      <c r="M1116" s="72">
        <v>0.792307692307692</v>
      </c>
      <c r="N1116" s="74">
        <v>0.9</v>
      </c>
      <c r="O1116" s="72">
        <v>0.853288062902073</v>
      </c>
      <c r="P1116" s="72">
        <v>0.917988394584139</v>
      </c>
      <c r="Q1116" s="72">
        <v>0.934440871739907</v>
      </c>
      <c r="R1116" s="72">
        <v>0.893736704303715</v>
      </c>
      <c r="S1116" s="74">
        <v>0.9</v>
      </c>
      <c r="T1116" s="72">
        <v>0.820586132952109</v>
      </c>
      <c r="U1116" s="72">
        <v>0.845841392649903</v>
      </c>
      <c r="V1116" s="72">
        <v>0.850660950339407</v>
      </c>
      <c r="W1116" s="72">
        <v>0.851251840942563</v>
      </c>
      <c r="X1116" s="74">
        <v>0.92</v>
      </c>
      <c r="Y1116" s="74">
        <v>0</v>
      </c>
      <c r="Z1116" s="74">
        <v>0</v>
      </c>
      <c r="AA1116" s="74">
        <v>0</v>
      </c>
      <c r="AB1116" s="74">
        <v>0</v>
      </c>
      <c r="AC1116" s="74">
        <v>0.92</v>
      </c>
      <c r="AD1116" s="72">
        <v>1</v>
      </c>
      <c r="AE1116" s="72">
        <v>1</v>
      </c>
      <c r="AF1116" s="72">
        <v>0.92896174863388</v>
      </c>
      <c r="AG1116" s="72">
        <v>0.98842169408897</v>
      </c>
      <c r="AH1116" s="74">
        <v>0.92</v>
      </c>
      <c r="AI1116" s="72">
        <v>0.960507505360972</v>
      </c>
      <c r="AJ1116" s="72">
        <v>0.9642166344294</v>
      </c>
      <c r="AK1116" s="72">
        <v>0.95837799214005</v>
      </c>
      <c r="AL1116" s="72">
        <v>0.968928980526919</v>
      </c>
      <c r="AM1116" s="71">
        <v>0.99</v>
      </c>
      <c r="AN1116" s="76">
        <v>1</v>
      </c>
      <c r="AO1116" s="76">
        <v>1</v>
      </c>
      <c r="AP1116" s="76">
        <v>1</v>
      </c>
      <c r="AQ1116" s="76">
        <v>1</v>
      </c>
      <c r="AR1116" s="96">
        <v>0.0721861525408278</v>
      </c>
      <c r="AS1116" s="80">
        <v>0.333333333333333</v>
      </c>
      <c r="AT1116" s="80">
        <v>0.0833333333333333</v>
      </c>
      <c r="AU1116" s="80">
        <v>0</v>
      </c>
      <c r="AV1116" s="80">
        <v>0.0789473684210526</v>
      </c>
      <c r="AW1116" s="36"/>
      <c r="AX1116" s="34"/>
    </row>
    <row r="1117" ht="14.5" spans="1:50">
      <c r="A1117" s="32"/>
      <c r="B1117" s="36"/>
      <c r="C1117" s="91" t="s">
        <v>1105</v>
      </c>
      <c r="D1117" s="69" t="s">
        <v>25</v>
      </c>
      <c r="E1117" s="129" t="s">
        <v>1166</v>
      </c>
      <c r="F1117" s="129" t="s">
        <v>1166</v>
      </c>
      <c r="G1117" s="129" t="s">
        <v>1166</v>
      </c>
      <c r="H1117" s="129" t="s">
        <v>1166</v>
      </c>
      <c r="I1117" s="71">
        <v>0.9</v>
      </c>
      <c r="J1117" s="72">
        <v>0.921052631578947</v>
      </c>
      <c r="K1117" s="72">
        <v>0.951219512195122</v>
      </c>
      <c r="L1117" s="73">
        <v>0.951219512195122</v>
      </c>
      <c r="M1117" s="72">
        <v>0.935754189944134</v>
      </c>
      <c r="N1117" s="74">
        <v>0.9</v>
      </c>
      <c r="O1117" s="72">
        <v>0.903155603917301</v>
      </c>
      <c r="P1117" s="72">
        <v>0.914611590628853</v>
      </c>
      <c r="Q1117" s="72">
        <v>0.981268011527378</v>
      </c>
      <c r="R1117" s="72">
        <v>0.935265883541746</v>
      </c>
      <c r="S1117" s="74">
        <v>0.9</v>
      </c>
      <c r="T1117" s="72">
        <v>0.707562568008705</v>
      </c>
      <c r="U1117" s="72">
        <v>0.823982737361282</v>
      </c>
      <c r="V1117" s="72">
        <v>0.835734870317003</v>
      </c>
      <c r="W1117" s="72">
        <v>0.7740621447518</v>
      </c>
      <c r="X1117" s="74">
        <v>0.92</v>
      </c>
      <c r="Y1117" s="74">
        <v>0</v>
      </c>
      <c r="Z1117" s="74">
        <v>0</v>
      </c>
      <c r="AA1117" s="74">
        <v>0</v>
      </c>
      <c r="AB1117" s="74">
        <v>0</v>
      </c>
      <c r="AC1117" s="74">
        <v>0.92</v>
      </c>
      <c r="AD1117" s="72">
        <v>1</v>
      </c>
      <c r="AE1117" s="72">
        <v>1</v>
      </c>
      <c r="AF1117" s="72">
        <v>1</v>
      </c>
      <c r="AG1117" s="72">
        <v>1</v>
      </c>
      <c r="AH1117" s="74">
        <v>0.92</v>
      </c>
      <c r="AI1117" s="72">
        <v>0.842892090241914</v>
      </c>
      <c r="AJ1117" s="72">
        <v>0.917385943279901</v>
      </c>
      <c r="AK1117" s="72">
        <v>0.906916426512968</v>
      </c>
      <c r="AL1117" s="72">
        <v>0.899845284329513</v>
      </c>
      <c r="AM1117" s="71">
        <v>0.99</v>
      </c>
      <c r="AN1117" s="76">
        <v>1</v>
      </c>
      <c r="AO1117" s="76">
        <v>1</v>
      </c>
      <c r="AP1117" s="76">
        <v>1</v>
      </c>
      <c r="AQ1117" s="76">
        <v>1</v>
      </c>
      <c r="AR1117" s="96">
        <v>0.0721861525408278</v>
      </c>
      <c r="AS1117" s="80">
        <v>0.2</v>
      </c>
      <c r="AT1117" s="80">
        <v>0.111111111111111</v>
      </c>
      <c r="AU1117" s="80">
        <v>0.2</v>
      </c>
      <c r="AV1117" s="80">
        <v>0.15</v>
      </c>
      <c r="AW1117" s="36"/>
      <c r="AX1117" s="34"/>
    </row>
    <row r="1118" ht="14.5" spans="1:50">
      <c r="A1118" s="32"/>
      <c r="B1118" s="36"/>
      <c r="C1118" s="91" t="s">
        <v>1105</v>
      </c>
      <c r="D1118" s="69" t="s">
        <v>25</v>
      </c>
      <c r="E1118" s="129" t="s">
        <v>1167</v>
      </c>
      <c r="F1118" s="129" t="s">
        <v>1167</v>
      </c>
      <c r="G1118" s="129" t="s">
        <v>1167</v>
      </c>
      <c r="H1118" s="129" t="s">
        <v>1167</v>
      </c>
      <c r="I1118" s="71">
        <v>0.9</v>
      </c>
      <c r="J1118" s="72">
        <v>0.757575757575758</v>
      </c>
      <c r="K1118" s="72">
        <v>0.794117647058823</v>
      </c>
      <c r="L1118" s="73">
        <v>0.818181818181818</v>
      </c>
      <c r="M1118" s="72">
        <v>0.769736842105263</v>
      </c>
      <c r="N1118" s="74">
        <v>0.9</v>
      </c>
      <c r="O1118" s="72">
        <v>0.886275886275886</v>
      </c>
      <c r="P1118" s="72">
        <v>0.936161776367962</v>
      </c>
      <c r="Q1118" s="72">
        <v>0.968253968253968</v>
      </c>
      <c r="R1118" s="72">
        <v>0.91493083807974</v>
      </c>
      <c r="S1118" s="74">
        <v>0.9</v>
      </c>
      <c r="T1118" s="72">
        <v>0.655668655668656</v>
      </c>
      <c r="U1118" s="72">
        <v>0.744250594766059</v>
      </c>
      <c r="V1118" s="72">
        <v>0.716810966810967</v>
      </c>
      <c r="W1118" s="72">
        <v>0.691822620016273</v>
      </c>
      <c r="X1118" s="74">
        <v>0.92</v>
      </c>
      <c r="Y1118" s="74">
        <v>0</v>
      </c>
      <c r="Z1118" s="74">
        <v>0</v>
      </c>
      <c r="AA1118" s="74">
        <v>0</v>
      </c>
      <c r="AB1118" s="74">
        <v>1</v>
      </c>
      <c r="AC1118" s="74">
        <v>0.92</v>
      </c>
      <c r="AD1118" s="72">
        <v>0.998193315266486</v>
      </c>
      <c r="AE1118" s="72">
        <v>1</v>
      </c>
      <c r="AF1118" s="72">
        <v>1</v>
      </c>
      <c r="AG1118" s="72">
        <v>0.994078947368421</v>
      </c>
      <c r="AH1118" s="74">
        <v>0.92</v>
      </c>
      <c r="AI1118" s="72">
        <v>0.896805896805897</v>
      </c>
      <c r="AJ1118" s="72">
        <v>0.856859635210151</v>
      </c>
      <c r="AK1118" s="72">
        <v>0.848124098124098</v>
      </c>
      <c r="AL1118" s="72">
        <v>0.886172246857329</v>
      </c>
      <c r="AM1118" s="71">
        <v>0.99</v>
      </c>
      <c r="AN1118" s="76">
        <v>1</v>
      </c>
      <c r="AO1118" s="76">
        <v>1</v>
      </c>
      <c r="AP1118" s="76">
        <v>1</v>
      </c>
      <c r="AQ1118" s="76">
        <v>1</v>
      </c>
      <c r="AR1118" s="96">
        <v>0.0721861525408278</v>
      </c>
      <c r="AS1118" s="80">
        <v>0</v>
      </c>
      <c r="AT1118" s="80">
        <v>0</v>
      </c>
      <c r="AU1118" s="80">
        <v>0</v>
      </c>
      <c r="AV1118" s="80">
        <v>0.0869565217391304</v>
      </c>
      <c r="AW1118" s="36"/>
      <c r="AX1118" s="34"/>
    </row>
    <row r="1119" ht="14.5" spans="1:50">
      <c r="A1119" s="32"/>
      <c r="B1119" s="36"/>
      <c r="C1119" s="91" t="s">
        <v>1105</v>
      </c>
      <c r="D1119" s="69" t="s">
        <v>25</v>
      </c>
      <c r="E1119" s="129" t="s">
        <v>1168</v>
      </c>
      <c r="F1119" s="129" t="s">
        <v>1168</v>
      </c>
      <c r="G1119" s="129" t="s">
        <v>1168</v>
      </c>
      <c r="H1119" s="129" t="s">
        <v>1168</v>
      </c>
      <c r="I1119" s="71">
        <v>0.9</v>
      </c>
      <c r="J1119" s="72">
        <v>0.892857142857143</v>
      </c>
      <c r="K1119" s="72">
        <v>0.925925925925926</v>
      </c>
      <c r="L1119" s="73">
        <v>0.916666666666667</v>
      </c>
      <c r="M1119" s="72">
        <v>0.910852713178295</v>
      </c>
      <c r="N1119" s="74">
        <v>0.9</v>
      </c>
      <c r="O1119" s="72">
        <v>0.968897108271688</v>
      </c>
      <c r="P1119" s="72">
        <v>0.962396069538927</v>
      </c>
      <c r="Q1119" s="72">
        <v>0.982000692281066</v>
      </c>
      <c r="R1119" s="72">
        <v>0.949469058952765</v>
      </c>
      <c r="S1119" s="74">
        <v>0.9</v>
      </c>
      <c r="T1119" s="72">
        <v>0.820611970410222</v>
      </c>
      <c r="U1119" s="72">
        <v>0.818783068783069</v>
      </c>
      <c r="V1119" s="72">
        <v>0.802872966424368</v>
      </c>
      <c r="W1119" s="72">
        <v>0.818246641870146</v>
      </c>
      <c r="X1119" s="74">
        <v>0.92</v>
      </c>
      <c r="Y1119" s="74">
        <v>0</v>
      </c>
      <c r="Z1119" s="74">
        <v>0</v>
      </c>
      <c r="AA1119" s="74">
        <v>0</v>
      </c>
      <c r="AB1119" s="74">
        <v>0</v>
      </c>
      <c r="AC1119" s="74">
        <v>0.92</v>
      </c>
      <c r="AD1119" s="72">
        <v>0.998815165876777</v>
      </c>
      <c r="AE1119" s="72">
        <v>0.997248968363136</v>
      </c>
      <c r="AF1119" s="72">
        <v>0.994590939824206</v>
      </c>
      <c r="AG1119" s="72">
        <v>0.995328142380423</v>
      </c>
      <c r="AH1119" s="74">
        <v>0.92</v>
      </c>
      <c r="AI1119" s="72">
        <v>0.956792199058507</v>
      </c>
      <c r="AJ1119" s="72">
        <v>0.963529856386999</v>
      </c>
      <c r="AK1119" s="72">
        <v>0.955174800969193</v>
      </c>
      <c r="AL1119" s="72">
        <v>0.958796662105649</v>
      </c>
      <c r="AM1119" s="71">
        <v>0.99</v>
      </c>
      <c r="AN1119" s="76">
        <v>1</v>
      </c>
      <c r="AO1119" s="76">
        <v>1</v>
      </c>
      <c r="AP1119" s="76">
        <v>1</v>
      </c>
      <c r="AQ1119" s="76">
        <v>1</v>
      </c>
      <c r="AR1119" s="96">
        <v>0.0721861525408278</v>
      </c>
      <c r="AS1119" s="80">
        <v>0</v>
      </c>
      <c r="AT1119" s="80">
        <v>0.125</v>
      </c>
      <c r="AU1119" s="80">
        <v>0.285714285714286</v>
      </c>
      <c r="AV1119" s="80">
        <v>0.0945945945945946</v>
      </c>
      <c r="AW1119" s="36"/>
      <c r="AX1119" s="34"/>
    </row>
    <row r="1120" ht="14.5" spans="1:50">
      <c r="A1120" s="32"/>
      <c r="B1120" s="36"/>
      <c r="C1120" s="91" t="s">
        <v>1105</v>
      </c>
      <c r="D1120" s="69" t="s">
        <v>25</v>
      </c>
      <c r="E1120" s="129" t="s">
        <v>1169</v>
      </c>
      <c r="F1120" s="129" t="s">
        <v>1169</v>
      </c>
      <c r="G1120" s="129" t="s">
        <v>1169</v>
      </c>
      <c r="H1120" s="129" t="s">
        <v>1169</v>
      </c>
      <c r="I1120" s="71">
        <v>0.9</v>
      </c>
      <c r="J1120" s="72">
        <v>0.772727272727273</v>
      </c>
      <c r="K1120" s="72">
        <v>0.933333333333333</v>
      </c>
      <c r="L1120" s="73">
        <v>0.933333333333333</v>
      </c>
      <c r="M1120" s="72">
        <v>0.912307692307692</v>
      </c>
      <c r="N1120" s="74">
        <v>0.9</v>
      </c>
      <c r="O1120" s="72">
        <v>0.912463473510355</v>
      </c>
      <c r="P1120" s="72">
        <v>0.951825842696629</v>
      </c>
      <c r="Q1120" s="72">
        <v>0.926854754440961</v>
      </c>
      <c r="R1120" s="72">
        <v>0.825971276955416</v>
      </c>
      <c r="S1120" s="74">
        <v>0.9</v>
      </c>
      <c r="T1120" s="72">
        <v>0.563841951467412</v>
      </c>
      <c r="U1120" s="72">
        <v>0.646769662921348</v>
      </c>
      <c r="V1120" s="72">
        <v>0.617685475444096</v>
      </c>
      <c r="W1120" s="72">
        <v>0.580855223507622</v>
      </c>
      <c r="X1120" s="74">
        <v>0.92</v>
      </c>
      <c r="Y1120" s="74">
        <v>1</v>
      </c>
      <c r="Z1120" s="74">
        <v>0</v>
      </c>
      <c r="AA1120" s="74">
        <v>0</v>
      </c>
      <c r="AB1120" s="74">
        <v>1</v>
      </c>
      <c r="AC1120" s="74">
        <v>0.92</v>
      </c>
      <c r="AD1120" s="72">
        <v>0.996352029183767</v>
      </c>
      <c r="AE1120" s="72">
        <v>0.976586359009162</v>
      </c>
      <c r="AF1120" s="72">
        <v>0.848456057007126</v>
      </c>
      <c r="AG1120" s="72">
        <v>0.971258671952428</v>
      </c>
      <c r="AH1120" s="74">
        <v>0.92</v>
      </c>
      <c r="AI1120" s="72">
        <v>0.876016260162602</v>
      </c>
      <c r="AJ1120" s="72">
        <v>0.929775280898876</v>
      </c>
      <c r="AK1120" s="72">
        <v>0.933646812957158</v>
      </c>
      <c r="AL1120" s="72">
        <v>0.926195410915612</v>
      </c>
      <c r="AM1120" s="71">
        <v>0.99</v>
      </c>
      <c r="AN1120" s="76">
        <v>1</v>
      </c>
      <c r="AO1120" s="76">
        <v>1</v>
      </c>
      <c r="AP1120" s="76">
        <v>1</v>
      </c>
      <c r="AQ1120" s="76">
        <v>1</v>
      </c>
      <c r="AR1120" s="96">
        <v>0.0721861525408278</v>
      </c>
      <c r="AS1120" s="80">
        <v>0</v>
      </c>
      <c r="AT1120" s="80">
        <v>0.0333333333333333</v>
      </c>
      <c r="AU1120" s="80">
        <v>0.0333333333333333</v>
      </c>
      <c r="AV1120" s="80">
        <v>0.0343347639484979</v>
      </c>
      <c r="AW1120" s="36"/>
      <c r="AX1120" s="34"/>
    </row>
    <row r="1121" ht="14.5" spans="1:50">
      <c r="A1121" s="32"/>
      <c r="B1121" s="36"/>
      <c r="C1121" s="91" t="s">
        <v>1105</v>
      </c>
      <c r="D1121" s="69" t="s">
        <v>25</v>
      </c>
      <c r="E1121" s="129" t="s">
        <v>1170</v>
      </c>
      <c r="F1121" s="129" t="s">
        <v>1170</v>
      </c>
      <c r="G1121" s="129" t="s">
        <v>1170</v>
      </c>
      <c r="H1121" s="129" t="s">
        <v>1170</v>
      </c>
      <c r="I1121" s="71">
        <v>0.9</v>
      </c>
      <c r="J1121" s="72">
        <v>0</v>
      </c>
      <c r="K1121" s="72">
        <v>0</v>
      </c>
      <c r="L1121" s="73">
        <v>0</v>
      </c>
      <c r="M1121" s="72">
        <v>0</v>
      </c>
      <c r="N1121" s="74">
        <v>0.9</v>
      </c>
      <c r="O1121" s="72">
        <v>0.17741935483871</v>
      </c>
      <c r="P1121" s="72">
        <v>0.0277777777777778</v>
      </c>
      <c r="Q1121" s="72">
        <v>0.111966410076977</v>
      </c>
      <c r="R1121" s="72">
        <v>0.113745521079515</v>
      </c>
      <c r="S1121" s="74">
        <v>0.9</v>
      </c>
      <c r="T1121" s="72">
        <v>0.0193548387096774</v>
      </c>
      <c r="U1121" s="72">
        <v>0.0185185185185185</v>
      </c>
      <c r="V1121" s="72">
        <v>0.0615815255423373</v>
      </c>
      <c r="W1121" s="72">
        <v>0.03476404665701</v>
      </c>
      <c r="X1121" s="74">
        <v>0.92</v>
      </c>
      <c r="Y1121" s="74">
        <v>0</v>
      </c>
      <c r="Z1121" s="74">
        <v>0</v>
      </c>
      <c r="AA1121" s="74">
        <v>1</v>
      </c>
      <c r="AB1121" s="74">
        <v>1</v>
      </c>
      <c r="AC1121" s="74">
        <v>0.92</v>
      </c>
      <c r="AD1121" s="72">
        <v>0</v>
      </c>
      <c r="AE1121" s="72">
        <v>1</v>
      </c>
      <c r="AF1121" s="72">
        <v>0</v>
      </c>
      <c r="AG1121" s="72">
        <v>1</v>
      </c>
      <c r="AH1121" s="74">
        <v>0.92</v>
      </c>
      <c r="AI1121" s="72">
        <v>0.108387096774194</v>
      </c>
      <c r="AJ1121" s="72">
        <v>0.0270061728395062</v>
      </c>
      <c r="AK1121" s="72">
        <v>0.0783216783216783</v>
      </c>
      <c r="AL1121" s="72">
        <v>0.0821009300198201</v>
      </c>
      <c r="AM1121" s="71">
        <v>0.99</v>
      </c>
      <c r="AN1121" s="76">
        <v>0</v>
      </c>
      <c r="AO1121" s="76">
        <v>0</v>
      </c>
      <c r="AP1121" s="76">
        <v>0</v>
      </c>
      <c r="AQ1121" s="76">
        <v>0</v>
      </c>
      <c r="AR1121" s="96">
        <v>0.0721861525408278</v>
      </c>
      <c r="AS1121" s="80">
        <v>0.222222222222222</v>
      </c>
      <c r="AT1121" s="80">
        <v>0.272727272727273</v>
      </c>
      <c r="AU1121" s="80">
        <v>0.1875</v>
      </c>
      <c r="AV1121" s="80">
        <v>0.194444444444444</v>
      </c>
      <c r="AW1121" s="36"/>
      <c r="AX1121" s="34"/>
    </row>
    <row r="1122" ht="14.5" spans="1:50">
      <c r="A1122" s="32"/>
      <c r="B1122" s="36"/>
      <c r="C1122" s="91" t="s">
        <v>1105</v>
      </c>
      <c r="D1122" s="69" t="s">
        <v>25</v>
      </c>
      <c r="E1122" s="129" t="s">
        <v>1171</v>
      </c>
      <c r="F1122" s="129" t="s">
        <v>1171</v>
      </c>
      <c r="G1122" s="129" t="s">
        <v>1171</v>
      </c>
      <c r="H1122" s="129" t="s">
        <v>1171</v>
      </c>
      <c r="I1122" s="71">
        <v>0.9</v>
      </c>
      <c r="J1122" s="72">
        <v>0.875</v>
      </c>
      <c r="K1122" s="72">
        <v>0.916666666666667</v>
      </c>
      <c r="L1122" s="73">
        <v>0.916666666666667</v>
      </c>
      <c r="M1122" s="72">
        <v>0.929499072356215</v>
      </c>
      <c r="N1122" s="74">
        <v>0.9</v>
      </c>
      <c r="O1122" s="72">
        <v>0.682897625224506</v>
      </c>
      <c r="P1122" s="72">
        <v>0.914735461303017</v>
      </c>
      <c r="Q1122" s="72">
        <v>0.85097192224622</v>
      </c>
      <c r="R1122" s="72">
        <v>0.815081804212239</v>
      </c>
      <c r="S1122" s="74">
        <v>0.9</v>
      </c>
      <c r="T1122" s="72">
        <v>0.554979046098583</v>
      </c>
      <c r="U1122" s="72">
        <v>0.619151727153476</v>
      </c>
      <c r="V1122" s="72">
        <v>0.615354408010996</v>
      </c>
      <c r="W1122" s="72">
        <v>0.60849227153575</v>
      </c>
      <c r="X1122" s="74">
        <v>0.92</v>
      </c>
      <c r="Y1122" s="74">
        <v>0</v>
      </c>
      <c r="Z1122" s="74">
        <v>0</v>
      </c>
      <c r="AA1122" s="74">
        <v>0</v>
      </c>
      <c r="AB1122" s="74">
        <v>0</v>
      </c>
      <c r="AC1122" s="74">
        <v>0.92</v>
      </c>
      <c r="AD1122" s="72">
        <v>1</v>
      </c>
      <c r="AE1122" s="72">
        <v>1</v>
      </c>
      <c r="AF1122" s="72">
        <v>1</v>
      </c>
      <c r="AG1122" s="72">
        <v>0.999561979851073</v>
      </c>
      <c r="AH1122" s="74">
        <v>0.92</v>
      </c>
      <c r="AI1122" s="72">
        <v>0.805666400638468</v>
      </c>
      <c r="AJ1122" s="72">
        <v>0.860765027322404</v>
      </c>
      <c r="AK1122" s="72">
        <v>0.861574710386805</v>
      </c>
      <c r="AL1122" s="72">
        <v>0.8797848782031</v>
      </c>
      <c r="AM1122" s="71">
        <v>0.99</v>
      </c>
      <c r="AN1122" s="76">
        <v>1</v>
      </c>
      <c r="AO1122" s="76">
        <v>1</v>
      </c>
      <c r="AP1122" s="76">
        <v>1</v>
      </c>
      <c r="AQ1122" s="76">
        <v>1</v>
      </c>
      <c r="AR1122" s="96">
        <v>0.0721861525408278</v>
      </c>
      <c r="AS1122" s="80">
        <v>0.1</v>
      </c>
      <c r="AT1122" s="80">
        <v>0.0666666666666667</v>
      </c>
      <c r="AU1122" s="80">
        <v>0</v>
      </c>
      <c r="AV1122" s="80">
        <v>0.0857142857142857</v>
      </c>
      <c r="AW1122" s="36"/>
      <c r="AX1122" s="34"/>
    </row>
    <row r="1123" ht="14.5" spans="1:50">
      <c r="A1123" s="32"/>
      <c r="B1123" s="36"/>
      <c r="C1123" s="91" t="s">
        <v>1105</v>
      </c>
      <c r="D1123" s="69" t="s">
        <v>25</v>
      </c>
      <c r="E1123" s="129" t="s">
        <v>1172</v>
      </c>
      <c r="F1123" s="129" t="s">
        <v>1172</v>
      </c>
      <c r="G1123" s="129" t="s">
        <v>1172</v>
      </c>
      <c r="H1123" s="129" t="s">
        <v>1172</v>
      </c>
      <c r="I1123" s="71">
        <v>0.9</v>
      </c>
      <c r="J1123" s="72">
        <v>0.916666666666667</v>
      </c>
      <c r="K1123" s="72">
        <v>0.938461538461538</v>
      </c>
      <c r="L1123" s="73">
        <v>0.90625</v>
      </c>
      <c r="M1123" s="72">
        <v>0.904255319148936</v>
      </c>
      <c r="N1123" s="74">
        <v>0.9</v>
      </c>
      <c r="O1123" s="72">
        <v>0.930951337132837</v>
      </c>
      <c r="P1123" s="72">
        <v>0.988075754033201</v>
      </c>
      <c r="Q1123" s="72">
        <v>0.992692886309908</v>
      </c>
      <c r="R1123" s="72">
        <v>0.962789682924464</v>
      </c>
      <c r="S1123" s="74">
        <v>0.9</v>
      </c>
      <c r="T1123" s="72">
        <v>0.692240245506357</v>
      </c>
      <c r="U1123" s="72">
        <v>0.757774140752864</v>
      </c>
      <c r="V1123" s="72">
        <v>0.721899849559424</v>
      </c>
      <c r="W1123" s="72">
        <v>0.7123533404441</v>
      </c>
      <c r="X1123" s="74">
        <v>0.92</v>
      </c>
      <c r="Y1123" s="74">
        <v>0</v>
      </c>
      <c r="Z1123" s="74">
        <v>0</v>
      </c>
      <c r="AA1123" s="74">
        <v>0</v>
      </c>
      <c r="AB1123" s="74">
        <v>0</v>
      </c>
      <c r="AC1123" s="74">
        <v>0.92</v>
      </c>
      <c r="AD1123" s="72">
        <v>1</v>
      </c>
      <c r="AE1123" s="72">
        <v>1</v>
      </c>
      <c r="AF1123" s="72">
        <v>1</v>
      </c>
      <c r="AG1123" s="72">
        <v>1</v>
      </c>
      <c r="AH1123" s="74">
        <v>0.92</v>
      </c>
      <c r="AI1123" s="72">
        <v>0.91148115687993</v>
      </c>
      <c r="AJ1123" s="72">
        <v>0.943184475099369</v>
      </c>
      <c r="AK1123" s="72">
        <v>0.928218353750269</v>
      </c>
      <c r="AL1123" s="72">
        <v>0.930309788141756</v>
      </c>
      <c r="AM1123" s="71">
        <v>0.99</v>
      </c>
      <c r="AN1123" s="76">
        <v>1</v>
      </c>
      <c r="AO1123" s="76">
        <v>1</v>
      </c>
      <c r="AP1123" s="76">
        <v>1</v>
      </c>
      <c r="AQ1123" s="76">
        <v>1</v>
      </c>
      <c r="AR1123" s="96">
        <v>0.0721861525408278</v>
      </c>
      <c r="AS1123" s="80">
        <v>0</v>
      </c>
      <c r="AT1123" s="80">
        <v>0</v>
      </c>
      <c r="AU1123" s="80">
        <v>0.0909090909090909</v>
      </c>
      <c r="AV1123" s="80">
        <v>0.08</v>
      </c>
      <c r="AW1123" s="36"/>
      <c r="AX1123" s="34"/>
    </row>
    <row r="1124" ht="14.5" spans="1:50">
      <c r="A1124" s="32"/>
      <c r="B1124" s="36"/>
      <c r="C1124" s="91" t="s">
        <v>1105</v>
      </c>
      <c r="D1124" s="69" t="s">
        <v>25</v>
      </c>
      <c r="E1124" s="129" t="s">
        <v>1173</v>
      </c>
      <c r="F1124" s="129" t="s">
        <v>1173</v>
      </c>
      <c r="G1124" s="129" t="s">
        <v>1173</v>
      </c>
      <c r="H1124" s="129" t="s">
        <v>1173</v>
      </c>
      <c r="I1124" s="71">
        <v>0.9</v>
      </c>
      <c r="J1124" s="72">
        <v>0.91304347826087</v>
      </c>
      <c r="K1124" s="72">
        <v>0.844444444444444</v>
      </c>
      <c r="L1124" s="73">
        <v>0.891304347826087</v>
      </c>
      <c r="M1124" s="72">
        <v>0.915254237288136</v>
      </c>
      <c r="N1124" s="74">
        <v>0.9</v>
      </c>
      <c r="O1124" s="72">
        <v>0.953754221875812</v>
      </c>
      <c r="P1124" s="72">
        <v>0.843830888697153</v>
      </c>
      <c r="Q1124" s="72">
        <v>0.924863031567962</v>
      </c>
      <c r="R1124" s="72">
        <v>0.938480853735091</v>
      </c>
      <c r="S1124" s="74">
        <v>0.9</v>
      </c>
      <c r="T1124" s="72">
        <v>0.745128604832424</v>
      </c>
      <c r="U1124" s="72">
        <v>0.66983031348864</v>
      </c>
      <c r="V1124" s="72">
        <v>0.762327158883381</v>
      </c>
      <c r="W1124" s="72">
        <v>0.752757600215227</v>
      </c>
      <c r="X1124" s="74">
        <v>0.92</v>
      </c>
      <c r="Y1124" s="74">
        <v>0</v>
      </c>
      <c r="Z1124" s="74">
        <v>0</v>
      </c>
      <c r="AA1124" s="74">
        <v>0</v>
      </c>
      <c r="AB1124" s="74">
        <v>0.5</v>
      </c>
      <c r="AC1124" s="74">
        <v>0.92</v>
      </c>
      <c r="AD1124" s="72">
        <v>1</v>
      </c>
      <c r="AE1124" s="72">
        <v>1</v>
      </c>
      <c r="AF1124" s="72">
        <v>1</v>
      </c>
      <c r="AG1124" s="72">
        <v>1</v>
      </c>
      <c r="AH1124" s="74">
        <v>0.92</v>
      </c>
      <c r="AI1124" s="72">
        <v>0.89012987012987</v>
      </c>
      <c r="AJ1124" s="72">
        <v>0.930112165660052</v>
      </c>
      <c r="AK1124" s="72">
        <v>0.933994260370467</v>
      </c>
      <c r="AL1124" s="72">
        <v>0.930593334329697</v>
      </c>
      <c r="AM1124" s="71">
        <v>0.99</v>
      </c>
      <c r="AN1124" s="76">
        <v>1</v>
      </c>
      <c r="AO1124" s="76">
        <v>1</v>
      </c>
      <c r="AP1124" s="76">
        <v>1</v>
      </c>
      <c r="AQ1124" s="76">
        <v>1</v>
      </c>
      <c r="AR1124" s="96">
        <v>0.0721861525408278</v>
      </c>
      <c r="AS1124" s="80">
        <v>0</v>
      </c>
      <c r="AT1124" s="80">
        <v>0.2</v>
      </c>
      <c r="AU1124" s="80">
        <v>0</v>
      </c>
      <c r="AV1124" s="80">
        <v>0.0135135135135135</v>
      </c>
      <c r="AW1124" s="36"/>
      <c r="AX1124" s="34"/>
    </row>
    <row r="1125" ht="14.5" spans="1:50">
      <c r="A1125" s="32"/>
      <c r="B1125" s="36"/>
      <c r="C1125" s="91" t="s">
        <v>1105</v>
      </c>
      <c r="D1125" s="69" t="s">
        <v>25</v>
      </c>
      <c r="E1125" s="129" t="s">
        <v>1174</v>
      </c>
      <c r="F1125" s="129" t="s">
        <v>1174</v>
      </c>
      <c r="G1125" s="129" t="s">
        <v>1174</v>
      </c>
      <c r="H1125" s="129" t="s">
        <v>1174</v>
      </c>
      <c r="I1125" s="71">
        <v>0.9</v>
      </c>
      <c r="J1125" s="72">
        <v>0.906976744186046</v>
      </c>
      <c r="K1125" s="72">
        <v>0.926829268292683</v>
      </c>
      <c r="L1125" s="73">
        <v>0.928571428571429</v>
      </c>
      <c r="M1125" s="72">
        <v>0.898123324396783</v>
      </c>
      <c r="N1125" s="74">
        <v>0.9</v>
      </c>
      <c r="O1125" s="72">
        <v>0.872209567198178</v>
      </c>
      <c r="P1125" s="72">
        <v>0.886947584789311</v>
      </c>
      <c r="Q1125" s="72">
        <v>0.872311212814645</v>
      </c>
      <c r="R1125" s="72">
        <v>0.854246119138422</v>
      </c>
      <c r="S1125" s="74">
        <v>0.9</v>
      </c>
      <c r="T1125" s="72">
        <v>0.642141230068337</v>
      </c>
      <c r="U1125" s="72">
        <v>0.655704008221994</v>
      </c>
      <c r="V1125" s="72">
        <v>0.634782608695652</v>
      </c>
      <c r="W1125" s="72">
        <v>0.625288714615674</v>
      </c>
      <c r="X1125" s="74">
        <v>0.92</v>
      </c>
      <c r="Y1125" s="74">
        <v>0</v>
      </c>
      <c r="Z1125" s="74">
        <v>0</v>
      </c>
      <c r="AA1125" s="74">
        <v>0</v>
      </c>
      <c r="AB1125" s="74">
        <v>0</v>
      </c>
      <c r="AC1125" s="74">
        <v>0.92</v>
      </c>
      <c r="AD1125" s="72">
        <v>1</v>
      </c>
      <c r="AE1125" s="72">
        <v>0.976190476190476</v>
      </c>
      <c r="AF1125" s="72">
        <v>1</v>
      </c>
      <c r="AG1125" s="72">
        <v>0.995201535508637</v>
      </c>
      <c r="AH1125" s="74">
        <v>0.92</v>
      </c>
      <c r="AI1125" s="72">
        <v>0.858314350797266</v>
      </c>
      <c r="AJ1125" s="72">
        <v>0.856628982528263</v>
      </c>
      <c r="AK1125" s="72">
        <v>0.869107551487414</v>
      </c>
      <c r="AL1125" s="72">
        <v>0.856237411038002</v>
      </c>
      <c r="AM1125" s="71">
        <v>0.99</v>
      </c>
      <c r="AN1125" s="76">
        <v>1</v>
      </c>
      <c r="AO1125" s="76">
        <v>1</v>
      </c>
      <c r="AP1125" s="76">
        <v>1</v>
      </c>
      <c r="AQ1125" s="76">
        <v>1</v>
      </c>
      <c r="AR1125" s="96">
        <v>0.0721861525408278</v>
      </c>
      <c r="AS1125" s="80">
        <v>0</v>
      </c>
      <c r="AT1125" s="80">
        <v>0</v>
      </c>
      <c r="AU1125" s="80">
        <v>0.111111111111111</v>
      </c>
      <c r="AV1125" s="80">
        <v>0.125</v>
      </c>
      <c r="AW1125" s="36"/>
      <c r="AX1125" s="34"/>
    </row>
    <row r="1126" ht="14.5" spans="1:50">
      <c r="A1126" s="32"/>
      <c r="B1126" s="36"/>
      <c r="C1126" s="91" t="s">
        <v>1105</v>
      </c>
      <c r="D1126" s="69" t="s">
        <v>25</v>
      </c>
      <c r="E1126" s="129" t="s">
        <v>1175</v>
      </c>
      <c r="F1126" s="129" t="s">
        <v>1175</v>
      </c>
      <c r="G1126" s="129" t="s">
        <v>1175</v>
      </c>
      <c r="H1126" s="129" t="s">
        <v>1175</v>
      </c>
      <c r="I1126" s="71">
        <v>0.9</v>
      </c>
      <c r="J1126" s="72">
        <v>1</v>
      </c>
      <c r="K1126" s="72">
        <v>1</v>
      </c>
      <c r="L1126" s="73">
        <v>1</v>
      </c>
      <c r="M1126" s="72">
        <v>0.988888888888889</v>
      </c>
      <c r="N1126" s="74">
        <v>0.9</v>
      </c>
      <c r="O1126" s="72">
        <v>0.973437142202885</v>
      </c>
      <c r="P1126" s="72">
        <v>0.984447900466563</v>
      </c>
      <c r="Q1126" s="72">
        <v>0.98645903859174</v>
      </c>
      <c r="R1126" s="72">
        <v>0.955998563218391</v>
      </c>
      <c r="S1126" s="74">
        <v>0.9</v>
      </c>
      <c r="T1126" s="72">
        <v>0.683306617815434</v>
      </c>
      <c r="U1126" s="72">
        <v>0.818558838776568</v>
      </c>
      <c r="V1126" s="72">
        <v>0.753103136989393</v>
      </c>
      <c r="W1126" s="72">
        <v>0.724445812807882</v>
      </c>
      <c r="X1126" s="74">
        <v>0.92</v>
      </c>
      <c r="Y1126" s="74">
        <v>0</v>
      </c>
      <c r="Z1126" s="74">
        <v>0</v>
      </c>
      <c r="AA1126" s="74">
        <v>0</v>
      </c>
      <c r="AB1126" s="74">
        <v>0</v>
      </c>
      <c r="AC1126" s="74">
        <v>0.92</v>
      </c>
      <c r="AD1126" s="72">
        <v>1</v>
      </c>
      <c r="AE1126" s="72">
        <v>0.990322580645161</v>
      </c>
      <c r="AF1126" s="72">
        <v>0.997311827956989</v>
      </c>
      <c r="AG1126" s="72">
        <v>0.994894486044928</v>
      </c>
      <c r="AH1126" s="74">
        <v>0.92</v>
      </c>
      <c r="AI1126" s="72">
        <v>0.949187457084001</v>
      </c>
      <c r="AJ1126" s="72">
        <v>0.968636599274235</v>
      </c>
      <c r="AK1126" s="72">
        <v>0.953960731211916</v>
      </c>
      <c r="AL1126" s="72">
        <v>0.957668428344194</v>
      </c>
      <c r="AM1126" s="71">
        <v>0.99</v>
      </c>
      <c r="AN1126" s="76">
        <v>1</v>
      </c>
      <c r="AO1126" s="76">
        <v>1</v>
      </c>
      <c r="AP1126" s="76">
        <v>1</v>
      </c>
      <c r="AQ1126" s="76">
        <v>1</v>
      </c>
      <c r="AR1126" s="96">
        <v>0.0721861525408278</v>
      </c>
      <c r="AS1126" s="80">
        <v>0.142857142857143</v>
      </c>
      <c r="AT1126" s="80">
        <v>0.125</v>
      </c>
      <c r="AU1126" s="80">
        <v>0.111111111111111</v>
      </c>
      <c r="AV1126" s="80">
        <v>0.12962962962963</v>
      </c>
      <c r="AW1126" s="36"/>
      <c r="AX1126" s="34"/>
    </row>
    <row r="1127" ht="14.5" spans="1:50">
      <c r="A1127" s="32"/>
      <c r="B1127" s="36"/>
      <c r="C1127" s="91" t="s">
        <v>1105</v>
      </c>
      <c r="D1127" s="69" t="s">
        <v>25</v>
      </c>
      <c r="E1127" s="129" t="s">
        <v>1176</v>
      </c>
      <c r="F1127" s="129" t="s">
        <v>1176</v>
      </c>
      <c r="G1127" s="129" t="s">
        <v>1176</v>
      </c>
      <c r="H1127" s="129" t="s">
        <v>1176</v>
      </c>
      <c r="I1127" s="71">
        <v>0.9</v>
      </c>
      <c r="J1127" s="72">
        <v>0.975</v>
      </c>
      <c r="K1127" s="72">
        <v>1</v>
      </c>
      <c r="L1127" s="73">
        <v>1</v>
      </c>
      <c r="M1127" s="72">
        <v>0.988795518207283</v>
      </c>
      <c r="N1127" s="74">
        <v>0.9</v>
      </c>
      <c r="O1127" s="72">
        <v>0.986413812623832</v>
      </c>
      <c r="P1127" s="72">
        <v>0.985530546623794</v>
      </c>
      <c r="Q1127" s="72">
        <v>0.985527809307605</v>
      </c>
      <c r="R1127" s="72">
        <v>0.981499111449607</v>
      </c>
      <c r="S1127" s="74">
        <v>0.9</v>
      </c>
      <c r="T1127" s="72">
        <v>0.849702802151146</v>
      </c>
      <c r="U1127" s="72">
        <v>0.911575562700965</v>
      </c>
      <c r="V1127" s="72">
        <v>0.90522133938706</v>
      </c>
      <c r="W1127" s="72">
        <v>0.860878395531861</v>
      </c>
      <c r="X1127" s="74">
        <v>0.92</v>
      </c>
      <c r="Y1127" s="74">
        <v>0</v>
      </c>
      <c r="Z1127" s="74">
        <v>0</v>
      </c>
      <c r="AA1127" s="74">
        <v>0</v>
      </c>
      <c r="AB1127" s="74">
        <v>0</v>
      </c>
      <c r="AC1127" s="74">
        <v>0.92</v>
      </c>
      <c r="AD1127" s="72">
        <v>1</v>
      </c>
      <c r="AE1127" s="72">
        <v>0.99009900990099</v>
      </c>
      <c r="AF1127" s="72">
        <v>1</v>
      </c>
      <c r="AG1127" s="72">
        <v>0.997830802603037</v>
      </c>
      <c r="AH1127" s="74">
        <v>0.92</v>
      </c>
      <c r="AI1127" s="72">
        <v>0.956410982168129</v>
      </c>
      <c r="AJ1127" s="72">
        <v>0.960128617363344</v>
      </c>
      <c r="AK1127" s="72">
        <v>0.962542565266742</v>
      </c>
      <c r="AL1127" s="72">
        <v>0.960554709317086</v>
      </c>
      <c r="AM1127" s="71">
        <v>0.99</v>
      </c>
      <c r="AN1127" s="76">
        <v>1</v>
      </c>
      <c r="AO1127" s="76">
        <v>1</v>
      </c>
      <c r="AP1127" s="76">
        <v>1</v>
      </c>
      <c r="AQ1127" s="76">
        <v>1</v>
      </c>
      <c r="AR1127" s="96">
        <v>0.0721861525408278</v>
      </c>
      <c r="AS1127" s="80">
        <v>0</v>
      </c>
      <c r="AT1127" s="80">
        <v>0</v>
      </c>
      <c r="AU1127" s="80">
        <v>0.142857142857143</v>
      </c>
      <c r="AV1127" s="80">
        <v>0.0606060606060606</v>
      </c>
      <c r="AW1127" s="36"/>
      <c r="AX1127" s="34"/>
    </row>
    <row r="1128" ht="14.5" spans="1:50">
      <c r="A1128" s="32"/>
      <c r="B1128" s="36"/>
      <c r="C1128" s="91" t="s">
        <v>1105</v>
      </c>
      <c r="D1128" s="69" t="s">
        <v>25</v>
      </c>
      <c r="E1128" s="129" t="s">
        <v>1177</v>
      </c>
      <c r="F1128" s="129" t="s">
        <v>1177</v>
      </c>
      <c r="G1128" s="129" t="s">
        <v>1177</v>
      </c>
      <c r="H1128" s="129" t="s">
        <v>1177</v>
      </c>
      <c r="I1128" s="71">
        <v>0.9</v>
      </c>
      <c r="J1128" s="72">
        <v>0.966666666666667</v>
      </c>
      <c r="K1128" s="72">
        <v>0.885714285714286</v>
      </c>
      <c r="L1128" s="73">
        <v>0.931034482758621</v>
      </c>
      <c r="M1128" s="72">
        <v>0.954692556634304</v>
      </c>
      <c r="N1128" s="74">
        <v>0.9</v>
      </c>
      <c r="O1128" s="72">
        <v>0.92597915918074</v>
      </c>
      <c r="P1128" s="72">
        <v>0.979468599033816</v>
      </c>
      <c r="Q1128" s="72">
        <v>0.955426356589147</v>
      </c>
      <c r="R1128" s="72">
        <v>0.965817971397867</v>
      </c>
      <c r="S1128" s="74">
        <v>0.9</v>
      </c>
      <c r="T1128" s="72">
        <v>0.523895077254761</v>
      </c>
      <c r="U1128" s="72">
        <v>0.602254428341385</v>
      </c>
      <c r="V1128" s="72">
        <v>0.553875968992248</v>
      </c>
      <c r="W1128" s="72">
        <v>0.618169794163842</v>
      </c>
      <c r="X1128" s="74">
        <v>0.92</v>
      </c>
      <c r="Y1128" s="74">
        <v>0</v>
      </c>
      <c r="Z1128" s="74">
        <v>0</v>
      </c>
      <c r="AA1128" s="74">
        <v>0</v>
      </c>
      <c r="AB1128" s="74">
        <v>0</v>
      </c>
      <c r="AC1128" s="74">
        <v>0.92</v>
      </c>
      <c r="AD1128" s="72">
        <v>1</v>
      </c>
      <c r="AE1128" s="72">
        <v>1</v>
      </c>
      <c r="AF1128" s="72">
        <v>1</v>
      </c>
      <c r="AG1128" s="72">
        <v>0.996610169491525</v>
      </c>
      <c r="AH1128" s="74">
        <v>0.92</v>
      </c>
      <c r="AI1128" s="72">
        <v>0.845186781609195</v>
      </c>
      <c r="AJ1128" s="72">
        <v>0.920692431561997</v>
      </c>
      <c r="AK1128" s="72">
        <v>0.827131782945736</v>
      </c>
      <c r="AL1128" s="72">
        <v>0.907336226493077</v>
      </c>
      <c r="AM1128" s="71">
        <v>0.99</v>
      </c>
      <c r="AN1128" s="76">
        <v>1</v>
      </c>
      <c r="AO1128" s="76">
        <v>1</v>
      </c>
      <c r="AP1128" s="76">
        <v>1</v>
      </c>
      <c r="AQ1128" s="76">
        <v>1</v>
      </c>
      <c r="AR1128" s="96">
        <v>0.0721861525408278</v>
      </c>
      <c r="AS1128" s="80">
        <v>0.333333333333333</v>
      </c>
      <c r="AT1128" s="80">
        <v>0.2</v>
      </c>
      <c r="AU1128" s="80">
        <v>0.333333333333333</v>
      </c>
      <c r="AV1128" s="80">
        <v>0.156862745098039</v>
      </c>
      <c r="AW1128" s="36"/>
      <c r="AX1128" s="34"/>
    </row>
    <row r="1129" ht="14.5" spans="1:50">
      <c r="A1129" s="32"/>
      <c r="B1129" s="36"/>
      <c r="C1129" s="91" t="s">
        <v>1105</v>
      </c>
      <c r="D1129" s="69" t="s">
        <v>25</v>
      </c>
      <c r="E1129" s="129" t="s">
        <v>1178</v>
      </c>
      <c r="F1129" s="129" t="s">
        <v>1178</v>
      </c>
      <c r="G1129" s="129" t="s">
        <v>1178</v>
      </c>
      <c r="H1129" s="129" t="s">
        <v>1178</v>
      </c>
      <c r="I1129" s="71">
        <v>0.9</v>
      </c>
      <c r="J1129" s="72">
        <v>0.838383838383838</v>
      </c>
      <c r="K1129" s="72">
        <v>0.862745098039216</v>
      </c>
      <c r="L1129" s="73">
        <v>0.851485148514851</v>
      </c>
      <c r="M1129" s="72">
        <v>0.827586206896552</v>
      </c>
      <c r="N1129" s="74">
        <v>0.9</v>
      </c>
      <c r="O1129" s="72">
        <v>0.907367514002585</v>
      </c>
      <c r="P1129" s="72">
        <v>0.910433539780848</v>
      </c>
      <c r="Q1129" s="72">
        <v>0.96264196054991</v>
      </c>
      <c r="R1129" s="72">
        <v>0.915148246161107</v>
      </c>
      <c r="S1129" s="74">
        <v>0.9</v>
      </c>
      <c r="T1129" s="72">
        <v>0.781846905069654</v>
      </c>
      <c r="U1129" s="72">
        <v>0.82626647609973</v>
      </c>
      <c r="V1129" s="72">
        <v>0.831589958158996</v>
      </c>
      <c r="W1129" s="72">
        <v>0.812901377113287</v>
      </c>
      <c r="X1129" s="74">
        <v>0.92</v>
      </c>
      <c r="Y1129" s="74">
        <v>0</v>
      </c>
      <c r="Z1129" s="74">
        <v>0</v>
      </c>
      <c r="AA1129" s="74">
        <v>0</v>
      </c>
      <c r="AB1129" s="74">
        <v>0</v>
      </c>
      <c r="AC1129" s="74">
        <v>0.92</v>
      </c>
      <c r="AD1129" s="72">
        <v>1</v>
      </c>
      <c r="AE1129" s="72">
        <v>0.990253411306043</v>
      </c>
      <c r="AF1129" s="72">
        <v>0.997936016511868</v>
      </c>
      <c r="AG1129" s="72">
        <v>0.997630819942316</v>
      </c>
      <c r="AH1129" s="74">
        <v>0.92</v>
      </c>
      <c r="AI1129" s="72">
        <v>0.911975875933372</v>
      </c>
      <c r="AJ1129" s="72">
        <v>0.937112910909957</v>
      </c>
      <c r="AK1129" s="72">
        <v>0.947101016138673</v>
      </c>
      <c r="AL1129" s="72">
        <v>0.947882955771305</v>
      </c>
      <c r="AM1129" s="71">
        <v>0.99</v>
      </c>
      <c r="AN1129" s="76">
        <v>1</v>
      </c>
      <c r="AO1129" s="76">
        <v>1</v>
      </c>
      <c r="AP1129" s="76">
        <v>1</v>
      </c>
      <c r="AQ1129" s="76">
        <v>1</v>
      </c>
      <c r="AR1129" s="96">
        <v>0.0721861525408278</v>
      </c>
      <c r="AS1129" s="80">
        <v>0.0476190476190476</v>
      </c>
      <c r="AT1129" s="80">
        <v>0.181818181818182</v>
      </c>
      <c r="AU1129" s="80">
        <v>0.0555555555555556</v>
      </c>
      <c r="AV1129" s="80">
        <v>0.124260355029586</v>
      </c>
      <c r="AW1129" s="36"/>
      <c r="AX1129" s="34"/>
    </row>
    <row r="1130" ht="14.5" spans="1:50">
      <c r="A1130" s="32"/>
      <c r="B1130" s="36"/>
      <c r="C1130" s="91" t="s">
        <v>1105</v>
      </c>
      <c r="D1130" s="69" t="s">
        <v>25</v>
      </c>
      <c r="E1130" s="129" t="s">
        <v>1179</v>
      </c>
      <c r="F1130" s="129" t="s">
        <v>1179</v>
      </c>
      <c r="G1130" s="129" t="s">
        <v>1179</v>
      </c>
      <c r="H1130" s="129" t="s">
        <v>1179</v>
      </c>
      <c r="I1130" s="71">
        <v>0.9</v>
      </c>
      <c r="J1130" s="72">
        <v>0.923076923076923</v>
      </c>
      <c r="K1130" s="72">
        <v>0.930232558139535</v>
      </c>
      <c r="L1130" s="73">
        <v>0.951219512195122</v>
      </c>
      <c r="M1130" s="72">
        <v>0.943243243243243</v>
      </c>
      <c r="N1130" s="74">
        <v>0.9</v>
      </c>
      <c r="O1130" s="72">
        <v>0.942602495543672</v>
      </c>
      <c r="P1130" s="72">
        <v>0.980824153406773</v>
      </c>
      <c r="Q1130" s="72">
        <v>0.984139264990329</v>
      </c>
      <c r="R1130" s="72">
        <v>0.974393068542507</v>
      </c>
      <c r="S1130" s="74">
        <v>0.9</v>
      </c>
      <c r="T1130" s="72">
        <v>0.763279857397504</v>
      </c>
      <c r="U1130" s="72">
        <v>0.82578539371685</v>
      </c>
      <c r="V1130" s="72">
        <v>0.796131528046422</v>
      </c>
      <c r="W1130" s="72">
        <v>0.792485202024535</v>
      </c>
      <c r="X1130" s="74">
        <v>0.92</v>
      </c>
      <c r="Y1130" s="74">
        <v>0</v>
      </c>
      <c r="Z1130" s="74">
        <v>0</v>
      </c>
      <c r="AA1130" s="74">
        <v>0</v>
      </c>
      <c r="AB1130" s="74">
        <v>0</v>
      </c>
      <c r="AC1130" s="74">
        <v>0.92</v>
      </c>
      <c r="AD1130" s="72">
        <v>1</v>
      </c>
      <c r="AE1130" s="72">
        <v>1</v>
      </c>
      <c r="AF1130" s="72">
        <v>1</v>
      </c>
      <c r="AG1130" s="72">
        <v>0.998958333333333</v>
      </c>
      <c r="AH1130" s="74">
        <v>0.92</v>
      </c>
      <c r="AI1130" s="72">
        <v>0.910548823948681</v>
      </c>
      <c r="AJ1130" s="72">
        <v>0.951448388412893</v>
      </c>
      <c r="AK1130" s="72">
        <v>0.949323017408124</v>
      </c>
      <c r="AL1130" s="72">
        <v>0.949431696332833</v>
      </c>
      <c r="AM1130" s="71">
        <v>0.99</v>
      </c>
      <c r="AN1130" s="76">
        <v>1</v>
      </c>
      <c r="AO1130" s="76">
        <v>1</v>
      </c>
      <c r="AP1130" s="76">
        <v>1</v>
      </c>
      <c r="AQ1130" s="76">
        <v>1</v>
      </c>
      <c r="AR1130" s="96">
        <v>0.0721861525408278</v>
      </c>
      <c r="AS1130" s="80">
        <v>0</v>
      </c>
      <c r="AT1130" s="80">
        <v>0.166666666666667</v>
      </c>
      <c r="AU1130" s="80">
        <v>0.333333333333333</v>
      </c>
      <c r="AV1130" s="80">
        <v>0.117647058823529</v>
      </c>
      <c r="AW1130" s="36"/>
      <c r="AX1130" s="34"/>
    </row>
    <row r="1131" ht="14.5" spans="1:50">
      <c r="A1131" s="32"/>
      <c r="B1131" s="36"/>
      <c r="C1131" s="91" t="s">
        <v>1105</v>
      </c>
      <c r="D1131" s="69" t="s">
        <v>25</v>
      </c>
      <c r="E1131" s="129" t="s">
        <v>1180</v>
      </c>
      <c r="F1131" s="129" t="s">
        <v>1180</v>
      </c>
      <c r="G1131" s="129" t="s">
        <v>1180</v>
      </c>
      <c r="H1131" s="129" t="s">
        <v>1180</v>
      </c>
      <c r="I1131" s="71">
        <v>0.9</v>
      </c>
      <c r="J1131" s="72">
        <v>0.931034482758621</v>
      </c>
      <c r="K1131" s="72">
        <v>0.931034482758621</v>
      </c>
      <c r="L1131" s="73">
        <v>1</v>
      </c>
      <c r="M1131" s="72">
        <v>0.934865900383142</v>
      </c>
      <c r="N1131" s="74">
        <v>0.9</v>
      </c>
      <c r="O1131" s="72">
        <v>0.991474850809889</v>
      </c>
      <c r="P1131" s="72">
        <v>0.985795454545455</v>
      </c>
      <c r="Q1131" s="72">
        <v>0.982722292456806</v>
      </c>
      <c r="R1131" s="72">
        <v>0.980335593057359</v>
      </c>
      <c r="S1131" s="74">
        <v>0.9</v>
      </c>
      <c r="T1131" s="72">
        <v>0.822250639386189</v>
      </c>
      <c r="U1131" s="72">
        <v>0.808712121212121</v>
      </c>
      <c r="V1131" s="72">
        <v>0.80952380952381</v>
      </c>
      <c r="W1131" s="72">
        <v>0.787585941631809</v>
      </c>
      <c r="X1131" s="74">
        <v>0.92</v>
      </c>
      <c r="Y1131" s="74">
        <v>0</v>
      </c>
      <c r="Z1131" s="74">
        <v>0</v>
      </c>
      <c r="AA1131" s="74">
        <v>0</v>
      </c>
      <c r="AB1131" s="74">
        <v>0</v>
      </c>
      <c r="AC1131" s="74">
        <v>0.92</v>
      </c>
      <c r="AD1131" s="72">
        <v>1</v>
      </c>
      <c r="AE1131" s="72">
        <v>0.941176470588235</v>
      </c>
      <c r="AF1131" s="72">
        <v>1</v>
      </c>
      <c r="AG1131" s="72">
        <v>0.989130434782609</v>
      </c>
      <c r="AH1131" s="74">
        <v>0.92</v>
      </c>
      <c r="AI1131" s="72">
        <v>0.947570332480818</v>
      </c>
      <c r="AJ1131" s="72">
        <v>0.944602272727273</v>
      </c>
      <c r="AK1131" s="72">
        <v>0.933839022334598</v>
      </c>
      <c r="AL1131" s="72">
        <v>0.938891292850618</v>
      </c>
      <c r="AM1131" s="71">
        <v>0.99</v>
      </c>
      <c r="AN1131" s="76">
        <v>1</v>
      </c>
      <c r="AO1131" s="76">
        <v>1</v>
      </c>
      <c r="AP1131" s="76">
        <v>1</v>
      </c>
      <c r="AQ1131" s="76">
        <v>1</v>
      </c>
      <c r="AR1131" s="96">
        <v>0.0721861525408278</v>
      </c>
      <c r="AS1131" s="80">
        <v>0</v>
      </c>
      <c r="AT1131" s="80">
        <v>0.333333333333333</v>
      </c>
      <c r="AU1131" s="80">
        <v>0</v>
      </c>
      <c r="AV1131" s="80">
        <v>0.25</v>
      </c>
      <c r="AW1131" s="36"/>
      <c r="AX1131" s="34"/>
    </row>
    <row r="1132" ht="14.5" spans="1:50">
      <c r="A1132" s="32"/>
      <c r="B1132" s="36"/>
      <c r="C1132" s="91" t="s">
        <v>1105</v>
      </c>
      <c r="D1132" s="69" t="s">
        <v>25</v>
      </c>
      <c r="E1132" s="129" t="s">
        <v>1181</v>
      </c>
      <c r="F1132" s="129" t="s">
        <v>1181</v>
      </c>
      <c r="G1132" s="129" t="s">
        <v>1181</v>
      </c>
      <c r="H1132" s="129" t="s">
        <v>1181</v>
      </c>
      <c r="I1132" s="71">
        <v>0.9</v>
      </c>
      <c r="J1132" s="72">
        <v>0.852941176470588</v>
      </c>
      <c r="K1132" s="72">
        <v>0.918918918918919</v>
      </c>
      <c r="L1132" s="73">
        <v>0.895522388059702</v>
      </c>
      <c r="M1132" s="72">
        <v>0.896389324960754</v>
      </c>
      <c r="N1132" s="74">
        <v>0.9</v>
      </c>
      <c r="O1132" s="72">
        <v>0.918303220738413</v>
      </c>
      <c r="P1132" s="72">
        <v>0.944063674552288</v>
      </c>
      <c r="Q1132" s="72">
        <v>0.920618556701031</v>
      </c>
      <c r="R1132" s="72">
        <v>0.944978086608988</v>
      </c>
      <c r="S1132" s="74">
        <v>0.9</v>
      </c>
      <c r="T1132" s="72">
        <v>0.746072270227808</v>
      </c>
      <c r="U1132" s="72">
        <v>0.799469378730931</v>
      </c>
      <c r="V1132" s="72">
        <v>0.74680412371134</v>
      </c>
      <c r="W1132" s="72">
        <v>0.807434657220065</v>
      </c>
      <c r="X1132" s="74">
        <v>0.92</v>
      </c>
      <c r="Y1132" s="74">
        <v>0</v>
      </c>
      <c r="Z1132" s="74">
        <v>0</v>
      </c>
      <c r="AA1132" s="74">
        <v>0</v>
      </c>
      <c r="AB1132" s="74">
        <v>0</v>
      </c>
      <c r="AC1132" s="74">
        <v>0.92</v>
      </c>
      <c r="AD1132" s="72">
        <v>0.999730167296276</v>
      </c>
      <c r="AE1132" s="72">
        <v>0.994824016563147</v>
      </c>
      <c r="AF1132" s="72">
        <v>1</v>
      </c>
      <c r="AG1132" s="72">
        <v>0.998149100257069</v>
      </c>
      <c r="AH1132" s="74">
        <v>0.92</v>
      </c>
      <c r="AI1132" s="72">
        <v>0.911036920659859</v>
      </c>
      <c r="AJ1132" s="72">
        <v>0.957550298474464</v>
      </c>
      <c r="AK1132" s="72">
        <v>0.936082474226804</v>
      </c>
      <c r="AL1132" s="72">
        <v>0.953834275722688</v>
      </c>
      <c r="AM1132" s="71">
        <v>0.99</v>
      </c>
      <c r="AN1132" s="76">
        <v>1</v>
      </c>
      <c r="AO1132" s="76">
        <v>1</v>
      </c>
      <c r="AP1132" s="76">
        <v>1</v>
      </c>
      <c r="AQ1132" s="76">
        <v>1</v>
      </c>
      <c r="AR1132" s="96">
        <v>0.0721861525408278</v>
      </c>
      <c r="AS1132" s="80">
        <v>0</v>
      </c>
      <c r="AT1132" s="80">
        <v>0.125</v>
      </c>
      <c r="AU1132" s="80">
        <v>0</v>
      </c>
      <c r="AV1132" s="80">
        <v>0.0761904761904762</v>
      </c>
      <c r="AW1132" s="36"/>
      <c r="AX1132" s="34"/>
    </row>
    <row r="1133" ht="14.5" spans="1:50">
      <c r="A1133" s="32"/>
      <c r="B1133" s="36"/>
      <c r="C1133" s="91" t="s">
        <v>1105</v>
      </c>
      <c r="D1133" s="69" t="s">
        <v>25</v>
      </c>
      <c r="E1133" s="129" t="s">
        <v>1182</v>
      </c>
      <c r="F1133" s="129" t="s">
        <v>1182</v>
      </c>
      <c r="G1133" s="129" t="s">
        <v>1182</v>
      </c>
      <c r="H1133" s="129" t="s">
        <v>1182</v>
      </c>
      <c r="I1133" s="71">
        <v>0.9</v>
      </c>
      <c r="J1133" s="72">
        <v>0.862745098039216</v>
      </c>
      <c r="K1133" s="72">
        <v>0.769230769230769</v>
      </c>
      <c r="L1133" s="73">
        <v>0.836734693877551</v>
      </c>
      <c r="M1133" s="72">
        <v>0.814410480349345</v>
      </c>
      <c r="N1133" s="74">
        <v>0.9</v>
      </c>
      <c r="O1133" s="72">
        <v>0.942796610169492</v>
      </c>
      <c r="P1133" s="72">
        <v>0.968343119734491</v>
      </c>
      <c r="Q1133" s="72">
        <v>0.965625</v>
      </c>
      <c r="R1133" s="72">
        <v>0.948877261826902</v>
      </c>
      <c r="S1133" s="74">
        <v>0.9</v>
      </c>
      <c r="T1133" s="72">
        <v>0.683380414312618</v>
      </c>
      <c r="U1133" s="72">
        <v>0.707173857544039</v>
      </c>
      <c r="V1133" s="72">
        <v>0.7375</v>
      </c>
      <c r="W1133" s="72">
        <v>0.738282101591454</v>
      </c>
      <c r="X1133" s="74">
        <v>0.92</v>
      </c>
      <c r="Y1133" s="74">
        <v>0</v>
      </c>
      <c r="Z1133" s="74">
        <v>0</v>
      </c>
      <c r="AA1133" s="74">
        <v>0</v>
      </c>
      <c r="AB1133" s="74">
        <v>0</v>
      </c>
      <c r="AC1133" s="74">
        <v>0.92</v>
      </c>
      <c r="AD1133" s="72">
        <v>1</v>
      </c>
      <c r="AE1133" s="72">
        <v>1</v>
      </c>
      <c r="AF1133" s="72">
        <v>1</v>
      </c>
      <c r="AG1133" s="72">
        <v>0.996598639455782</v>
      </c>
      <c r="AH1133" s="74">
        <v>0.92</v>
      </c>
      <c r="AI1133" s="72">
        <v>0.868173258003766</v>
      </c>
      <c r="AJ1133" s="72">
        <v>0.935409752361501</v>
      </c>
      <c r="AK1133" s="72">
        <v>0.912980769230769</v>
      </c>
      <c r="AL1133" s="72">
        <v>0.930564639197733</v>
      </c>
      <c r="AM1133" s="71">
        <v>0.99</v>
      </c>
      <c r="AN1133" s="76">
        <v>1</v>
      </c>
      <c r="AO1133" s="76">
        <v>1</v>
      </c>
      <c r="AP1133" s="76">
        <v>1</v>
      </c>
      <c r="AQ1133" s="76">
        <v>1</v>
      </c>
      <c r="AR1133" s="96">
        <v>0.0721861525408278</v>
      </c>
      <c r="AS1133" s="80">
        <v>0</v>
      </c>
      <c r="AT1133" s="80">
        <v>0.0666666666666667</v>
      </c>
      <c r="AU1133" s="80">
        <v>0.166666666666667</v>
      </c>
      <c r="AV1133" s="80">
        <v>0.0625</v>
      </c>
      <c r="AW1133" s="36"/>
      <c r="AX1133" s="34"/>
    </row>
    <row r="1134" ht="14.5" spans="1:50">
      <c r="A1134" s="32"/>
      <c r="B1134" s="36"/>
      <c r="C1134" s="91" t="s">
        <v>1105</v>
      </c>
      <c r="D1134" s="69" t="s">
        <v>25</v>
      </c>
      <c r="E1134" s="129" t="s">
        <v>1183</v>
      </c>
      <c r="F1134" s="129" t="s">
        <v>1183</v>
      </c>
      <c r="G1134" s="129" t="s">
        <v>1183</v>
      </c>
      <c r="H1134" s="129" t="s">
        <v>1183</v>
      </c>
      <c r="I1134" s="71">
        <v>0.9</v>
      </c>
      <c r="J1134" s="72">
        <v>0.818181818181818</v>
      </c>
      <c r="K1134" s="72">
        <v>0.74468085106383</v>
      </c>
      <c r="L1134" s="73">
        <v>0.770833333333333</v>
      </c>
      <c r="M1134" s="72">
        <v>0.795673076923077</v>
      </c>
      <c r="N1134" s="74">
        <v>0.9</v>
      </c>
      <c r="O1134" s="72">
        <v>0.9745377387087</v>
      </c>
      <c r="P1134" s="72">
        <v>0.977250881127844</v>
      </c>
      <c r="Q1134" s="72">
        <v>0.977640482494851</v>
      </c>
      <c r="R1134" s="72">
        <v>0.968999144568007</v>
      </c>
      <c r="S1134" s="74">
        <v>0.9</v>
      </c>
      <c r="T1134" s="72">
        <v>0.834192179448318</v>
      </c>
      <c r="U1134" s="72">
        <v>0.854533803268183</v>
      </c>
      <c r="V1134" s="72">
        <v>0.87408061194469</v>
      </c>
      <c r="W1134" s="72">
        <v>0.850778443113772</v>
      </c>
      <c r="X1134" s="74">
        <v>0.92</v>
      </c>
      <c r="Y1134" s="74">
        <v>0</v>
      </c>
      <c r="Z1134" s="74">
        <v>0</v>
      </c>
      <c r="AA1134" s="74">
        <v>0</v>
      </c>
      <c r="AB1134" s="74">
        <v>0</v>
      </c>
      <c r="AC1134" s="74">
        <v>0.92</v>
      </c>
      <c r="AD1134" s="72">
        <v>0.999720123145816</v>
      </c>
      <c r="AE1134" s="72">
        <v>1</v>
      </c>
      <c r="AF1134" s="72">
        <v>1</v>
      </c>
      <c r="AG1134" s="72">
        <v>0.997320099255583</v>
      </c>
      <c r="AH1134" s="74">
        <v>0.92</v>
      </c>
      <c r="AI1134" s="72">
        <v>0.93513185813883</v>
      </c>
      <c r="AJ1134" s="72">
        <v>0.950656840756168</v>
      </c>
      <c r="AK1134" s="72">
        <v>0.963529411764706</v>
      </c>
      <c r="AL1134" s="72">
        <v>0.961781913983645</v>
      </c>
      <c r="AM1134" s="71">
        <v>0.99</v>
      </c>
      <c r="AN1134" s="76">
        <v>1</v>
      </c>
      <c r="AO1134" s="76">
        <v>1</v>
      </c>
      <c r="AP1134" s="76">
        <v>1</v>
      </c>
      <c r="AQ1134" s="76">
        <v>1</v>
      </c>
      <c r="AR1134" s="96">
        <v>0.0721861525408278</v>
      </c>
      <c r="AS1134" s="80">
        <v>0</v>
      </c>
      <c r="AT1134" s="80">
        <v>0</v>
      </c>
      <c r="AU1134" s="80">
        <v>0</v>
      </c>
      <c r="AV1134" s="80">
        <v>0.0535714285714286</v>
      </c>
      <c r="AW1134" s="36"/>
      <c r="AX1134" s="34"/>
    </row>
    <row r="1135" ht="14.5" spans="1:50">
      <c r="A1135" s="32"/>
      <c r="B1135" s="36"/>
      <c r="C1135" s="91" t="s">
        <v>1105</v>
      </c>
      <c r="D1135" s="69" t="s">
        <v>25</v>
      </c>
      <c r="E1135" s="129" t="s">
        <v>1184</v>
      </c>
      <c r="F1135" s="129" t="s">
        <v>1184</v>
      </c>
      <c r="G1135" s="129" t="s">
        <v>1184</v>
      </c>
      <c r="H1135" s="129" t="s">
        <v>1184</v>
      </c>
      <c r="I1135" s="71">
        <v>0.9</v>
      </c>
      <c r="J1135" s="72">
        <v>0.857142857142857</v>
      </c>
      <c r="K1135" s="72">
        <v>0.9</v>
      </c>
      <c r="L1135" s="73">
        <v>0.931034482758621</v>
      </c>
      <c r="M1135" s="72">
        <v>0.89272030651341</v>
      </c>
      <c r="N1135" s="74">
        <v>0.9</v>
      </c>
      <c r="O1135" s="72">
        <v>0.984059511158342</v>
      </c>
      <c r="P1135" s="72">
        <v>0.98334045279795</v>
      </c>
      <c r="Q1135" s="72">
        <v>0.981716417910448</v>
      </c>
      <c r="R1135" s="72">
        <v>0.97959440207827</v>
      </c>
      <c r="S1135" s="74">
        <v>0.9</v>
      </c>
      <c r="T1135" s="72">
        <v>0.777541622387531</v>
      </c>
      <c r="U1135" s="72">
        <v>0.819735155916275</v>
      </c>
      <c r="V1135" s="72">
        <v>0.776492537313433</v>
      </c>
      <c r="W1135" s="72">
        <v>0.807969496354647</v>
      </c>
      <c r="X1135" s="74">
        <v>0.92</v>
      </c>
      <c r="Y1135" s="74">
        <v>1</v>
      </c>
      <c r="Z1135" s="74">
        <v>0</v>
      </c>
      <c r="AA1135" s="74">
        <v>0</v>
      </c>
      <c r="AB1135" s="74">
        <v>1</v>
      </c>
      <c r="AC1135" s="74">
        <v>0.92</v>
      </c>
      <c r="AD1135" s="72">
        <v>1</v>
      </c>
      <c r="AE1135" s="72">
        <v>1</v>
      </c>
      <c r="AF1135" s="72">
        <v>1</v>
      </c>
      <c r="AG1135" s="72">
        <v>1</v>
      </c>
      <c r="AH1135" s="74">
        <v>0.92</v>
      </c>
      <c r="AI1135" s="72">
        <v>0.917492917847025</v>
      </c>
      <c r="AJ1135" s="72">
        <v>0.943186672362238</v>
      </c>
      <c r="AK1135" s="72">
        <v>0.926865671641791</v>
      </c>
      <c r="AL1135" s="72">
        <v>0.941844387648217</v>
      </c>
      <c r="AM1135" s="71">
        <v>0.99</v>
      </c>
      <c r="AN1135" s="76">
        <v>1</v>
      </c>
      <c r="AO1135" s="76">
        <v>1</v>
      </c>
      <c r="AP1135" s="76">
        <v>1</v>
      </c>
      <c r="AQ1135" s="76">
        <v>1</v>
      </c>
      <c r="AR1135" s="96">
        <v>0.0721861525408278</v>
      </c>
      <c r="AS1135" s="80">
        <v>0.111111111111111</v>
      </c>
      <c r="AT1135" s="80">
        <v>0</v>
      </c>
      <c r="AU1135" s="80">
        <v>0</v>
      </c>
      <c r="AV1135" s="80">
        <v>0.0784313725490196</v>
      </c>
      <c r="AW1135" s="36"/>
      <c r="AX1135" s="34"/>
    </row>
    <row r="1136" ht="14.5" spans="1:50">
      <c r="A1136" s="32"/>
      <c r="B1136" s="36"/>
      <c r="C1136" s="91" t="s">
        <v>1105</v>
      </c>
      <c r="D1136" s="69" t="s">
        <v>25</v>
      </c>
      <c r="E1136" s="129" t="s">
        <v>1185</v>
      </c>
      <c r="F1136" s="129" t="s">
        <v>1185</v>
      </c>
      <c r="G1136" s="129" t="s">
        <v>1185</v>
      </c>
      <c r="H1136" s="129" t="s">
        <v>1185</v>
      </c>
      <c r="I1136" s="71">
        <v>0.9</v>
      </c>
      <c r="J1136" s="72">
        <v>0.727272727272727</v>
      </c>
      <c r="K1136" s="72">
        <v>0.857142857142857</v>
      </c>
      <c r="L1136" s="73">
        <v>0.695652173913043</v>
      </c>
      <c r="M1136" s="72">
        <v>0.826530612244898</v>
      </c>
      <c r="N1136" s="74">
        <v>0.9</v>
      </c>
      <c r="O1136" s="72">
        <v>0.922480620155039</v>
      </c>
      <c r="P1136" s="72">
        <v>0.928979074191503</v>
      </c>
      <c r="Q1136" s="72">
        <v>0.985654512851166</v>
      </c>
      <c r="R1136" s="72">
        <v>0.971426659528908</v>
      </c>
      <c r="S1136" s="74">
        <v>0.9</v>
      </c>
      <c r="T1136" s="72">
        <v>0.807308970099668</v>
      </c>
      <c r="U1136" s="72">
        <v>0.843373493975904</v>
      </c>
      <c r="V1136" s="72">
        <v>0.865511057979677</v>
      </c>
      <c r="W1136" s="72">
        <v>0.862486616702355</v>
      </c>
      <c r="X1136" s="74">
        <v>0.92</v>
      </c>
      <c r="Y1136" s="74">
        <v>1</v>
      </c>
      <c r="Z1136" s="74">
        <v>0</v>
      </c>
      <c r="AA1136" s="74">
        <v>0</v>
      </c>
      <c r="AB1136" s="74">
        <v>1</v>
      </c>
      <c r="AC1136" s="74">
        <v>0.92</v>
      </c>
      <c r="AD1136" s="72">
        <v>1</v>
      </c>
      <c r="AE1136" s="72">
        <v>1</v>
      </c>
      <c r="AF1136" s="72">
        <v>1</v>
      </c>
      <c r="AG1136" s="72">
        <v>1</v>
      </c>
      <c r="AH1136" s="74">
        <v>0.92</v>
      </c>
      <c r="AI1136" s="72">
        <v>0.883231876037631</v>
      </c>
      <c r="AJ1136" s="72">
        <v>0.948002536461636</v>
      </c>
      <c r="AK1136" s="72">
        <v>0.960549910340705</v>
      </c>
      <c r="AL1136" s="72">
        <v>0.948343927735028</v>
      </c>
      <c r="AM1136" s="71">
        <v>0.99</v>
      </c>
      <c r="AN1136" s="76">
        <v>1</v>
      </c>
      <c r="AO1136" s="76">
        <v>1</v>
      </c>
      <c r="AP1136" s="76">
        <v>1</v>
      </c>
      <c r="AQ1136" s="76">
        <v>1</v>
      </c>
      <c r="AR1136" s="96">
        <v>0.0721861525408278</v>
      </c>
      <c r="AS1136" s="80">
        <v>0.1</v>
      </c>
      <c r="AT1136" s="80">
        <v>0.1</v>
      </c>
      <c r="AU1136" s="80">
        <v>0</v>
      </c>
      <c r="AV1136" s="80">
        <v>0.120689655172414</v>
      </c>
      <c r="AW1136" s="36"/>
      <c r="AX1136" s="34"/>
    </row>
    <row r="1137" ht="14.5" spans="1:50">
      <c r="A1137" s="32"/>
      <c r="B1137" s="36"/>
      <c r="C1137" s="91" t="s">
        <v>1105</v>
      </c>
      <c r="D1137" s="69" t="s">
        <v>25</v>
      </c>
      <c r="E1137" s="129" t="s">
        <v>1186</v>
      </c>
      <c r="F1137" s="129" t="s">
        <v>1186</v>
      </c>
      <c r="G1137" s="129" t="s">
        <v>1186</v>
      </c>
      <c r="H1137" s="129" t="s">
        <v>1186</v>
      </c>
      <c r="I1137" s="71">
        <v>0.9</v>
      </c>
      <c r="J1137" s="72">
        <v>0.896551724137931</v>
      </c>
      <c r="K1137" s="72">
        <v>0.774193548387097</v>
      </c>
      <c r="L1137" s="73">
        <v>0.806451612903226</v>
      </c>
      <c r="M1137" s="72">
        <v>0.798479087452472</v>
      </c>
      <c r="N1137" s="74">
        <v>0.9</v>
      </c>
      <c r="O1137" s="72">
        <v>0.950751519027822</v>
      </c>
      <c r="P1137" s="72">
        <v>0.960885608856089</v>
      </c>
      <c r="Q1137" s="72">
        <v>0.985274431057564</v>
      </c>
      <c r="R1137" s="72">
        <v>0.929700902513612</v>
      </c>
      <c r="S1137" s="74">
        <v>0.9</v>
      </c>
      <c r="T1137" s="72">
        <v>0.795970578829549</v>
      </c>
      <c r="U1137" s="72">
        <v>0.860147601476015</v>
      </c>
      <c r="V1137" s="72">
        <v>0.857429718875502</v>
      </c>
      <c r="W1137" s="72">
        <v>0.806817334228388</v>
      </c>
      <c r="X1137" s="74">
        <v>0.92</v>
      </c>
      <c r="Y1137" s="74">
        <v>0</v>
      </c>
      <c r="Z1137" s="74">
        <v>0</v>
      </c>
      <c r="AA1137" s="74">
        <v>0</v>
      </c>
      <c r="AB1137" s="74">
        <v>0</v>
      </c>
      <c r="AC1137" s="74">
        <v>0.92</v>
      </c>
      <c r="AD1137" s="72">
        <v>0.996779388083736</v>
      </c>
      <c r="AE1137" s="72">
        <v>0.897836538461538</v>
      </c>
      <c r="AF1137" s="72">
        <v>0.962012320328542</v>
      </c>
      <c r="AG1137" s="72">
        <v>0.808324536269039</v>
      </c>
      <c r="AH1137" s="74">
        <v>0.92</v>
      </c>
      <c r="AI1137" s="72">
        <v>0.902782219379597</v>
      </c>
      <c r="AJ1137" s="72">
        <v>0.954981549815498</v>
      </c>
      <c r="AK1137" s="72">
        <v>0.959183673469388</v>
      </c>
      <c r="AL1137" s="72">
        <v>0.940481074025732</v>
      </c>
      <c r="AM1137" s="71">
        <v>0.99</v>
      </c>
      <c r="AN1137" s="76">
        <v>1</v>
      </c>
      <c r="AO1137" s="76">
        <v>1</v>
      </c>
      <c r="AP1137" s="76">
        <v>1</v>
      </c>
      <c r="AQ1137" s="76">
        <v>1</v>
      </c>
      <c r="AR1137" s="96">
        <v>0.0721861525408278</v>
      </c>
      <c r="AS1137" s="80">
        <v>0.142857142857143</v>
      </c>
      <c r="AT1137" s="80">
        <v>0.285714285714286</v>
      </c>
      <c r="AU1137" s="80">
        <v>0.4</v>
      </c>
      <c r="AV1137" s="80">
        <v>0.153846153846154</v>
      </c>
      <c r="AW1137" s="36"/>
      <c r="AX1137" s="34"/>
    </row>
    <row r="1138" ht="14.5" spans="1:50">
      <c r="A1138" s="32"/>
      <c r="B1138" s="36"/>
      <c r="C1138" s="91" t="s">
        <v>1105</v>
      </c>
      <c r="D1138" s="69" t="s">
        <v>25</v>
      </c>
      <c r="E1138" s="129" t="s">
        <v>1187</v>
      </c>
      <c r="F1138" s="129" t="s">
        <v>1187</v>
      </c>
      <c r="G1138" s="129" t="s">
        <v>1187</v>
      </c>
      <c r="H1138" s="129" t="s">
        <v>1187</v>
      </c>
      <c r="I1138" s="71">
        <v>0.9</v>
      </c>
      <c r="J1138" s="72">
        <v>0.925925925925926</v>
      </c>
      <c r="K1138" s="72">
        <v>0.961538461538462</v>
      </c>
      <c r="L1138" s="73">
        <v>0.84</v>
      </c>
      <c r="M1138" s="72">
        <v>0.843220338983051</v>
      </c>
      <c r="N1138" s="74">
        <v>0.9</v>
      </c>
      <c r="O1138" s="72">
        <v>0.976234003656307</v>
      </c>
      <c r="P1138" s="72">
        <v>0.955501222493888</v>
      </c>
      <c r="Q1138" s="72">
        <v>0.939</v>
      </c>
      <c r="R1138" s="72">
        <v>0.926638917793965</v>
      </c>
      <c r="S1138" s="74">
        <v>0.9</v>
      </c>
      <c r="T1138" s="72">
        <v>0.840950639853748</v>
      </c>
      <c r="U1138" s="72">
        <v>0.826894865525672</v>
      </c>
      <c r="V1138" s="72">
        <v>0.8275</v>
      </c>
      <c r="W1138" s="72">
        <v>0.826690946930281</v>
      </c>
      <c r="X1138" s="74">
        <v>0.92</v>
      </c>
      <c r="Y1138" s="74">
        <v>0</v>
      </c>
      <c r="Z1138" s="74">
        <v>0</v>
      </c>
      <c r="AA1138" s="74">
        <v>0</v>
      </c>
      <c r="AB1138" s="74">
        <v>0</v>
      </c>
      <c r="AC1138" s="74">
        <v>0.92</v>
      </c>
      <c r="AD1138" s="72">
        <v>1</v>
      </c>
      <c r="AE1138" s="72">
        <v>1</v>
      </c>
      <c r="AF1138" s="72">
        <v>1</v>
      </c>
      <c r="AG1138" s="72">
        <v>0.913701741105223</v>
      </c>
      <c r="AH1138" s="74">
        <v>0.92</v>
      </c>
      <c r="AI1138" s="72">
        <v>0.924131627056673</v>
      </c>
      <c r="AJ1138" s="72">
        <v>0.957457212713936</v>
      </c>
      <c r="AK1138" s="72">
        <v>0.9235</v>
      </c>
      <c r="AL1138" s="72">
        <v>0.942976066597294</v>
      </c>
      <c r="AM1138" s="71">
        <v>0.99</v>
      </c>
      <c r="AN1138" s="76">
        <v>1</v>
      </c>
      <c r="AO1138" s="76">
        <v>1</v>
      </c>
      <c r="AP1138" s="76">
        <v>1</v>
      </c>
      <c r="AQ1138" s="76">
        <v>1</v>
      </c>
      <c r="AR1138" s="96">
        <v>0.0721861525408278</v>
      </c>
      <c r="AS1138" s="80">
        <v>0</v>
      </c>
      <c r="AT1138" s="80">
        <v>0</v>
      </c>
      <c r="AU1138" s="80">
        <v>0</v>
      </c>
      <c r="AV1138" s="80">
        <v>0.0625</v>
      </c>
      <c r="AW1138" s="36"/>
      <c r="AX1138" s="34"/>
    </row>
    <row r="1139" ht="14.5" spans="1:50">
      <c r="A1139" s="32"/>
      <c r="B1139" s="36"/>
      <c r="C1139" s="91" t="s">
        <v>1105</v>
      </c>
      <c r="D1139" s="69" t="s">
        <v>25</v>
      </c>
      <c r="E1139" s="129" t="s">
        <v>1188</v>
      </c>
      <c r="F1139" s="129" t="s">
        <v>1188</v>
      </c>
      <c r="G1139" s="129" t="s">
        <v>1188</v>
      </c>
      <c r="H1139" s="129" t="s">
        <v>1188</v>
      </c>
      <c r="I1139" s="71">
        <v>0.9</v>
      </c>
      <c r="J1139" s="72">
        <v>0.941176470588235</v>
      </c>
      <c r="K1139" s="72">
        <v>0.833333333333333</v>
      </c>
      <c r="L1139" s="73">
        <v>0.888888888888889</v>
      </c>
      <c r="M1139" s="72">
        <v>0.847058823529412</v>
      </c>
      <c r="N1139" s="74">
        <v>0.9</v>
      </c>
      <c r="O1139" s="72">
        <v>0.973523421588595</v>
      </c>
      <c r="P1139" s="72">
        <v>0.971407072987208</v>
      </c>
      <c r="Q1139" s="72">
        <v>0.973094170403587</v>
      </c>
      <c r="R1139" s="72">
        <v>0.962057928019361</v>
      </c>
      <c r="S1139" s="74">
        <v>0.9</v>
      </c>
      <c r="T1139" s="72">
        <v>0.691106585200272</v>
      </c>
      <c r="U1139" s="72">
        <v>0.682468021068472</v>
      </c>
      <c r="V1139" s="72">
        <v>0.641896220371557</v>
      </c>
      <c r="W1139" s="72">
        <v>0.697166055117496</v>
      </c>
      <c r="X1139" s="74">
        <v>0.92</v>
      </c>
      <c r="Y1139" s="74">
        <v>0</v>
      </c>
      <c r="Z1139" s="74">
        <v>0</v>
      </c>
      <c r="AA1139" s="74">
        <v>0</v>
      </c>
      <c r="AB1139" s="74">
        <v>1</v>
      </c>
      <c r="AC1139" s="74">
        <v>0.92</v>
      </c>
      <c r="AD1139" s="72">
        <v>1</v>
      </c>
      <c r="AE1139" s="72">
        <v>1</v>
      </c>
      <c r="AF1139" s="72">
        <v>1</v>
      </c>
      <c r="AG1139" s="72">
        <v>1</v>
      </c>
      <c r="AH1139" s="74">
        <v>0.92</v>
      </c>
      <c r="AI1139" s="72">
        <v>0.91581805838425</v>
      </c>
      <c r="AJ1139" s="72">
        <v>0.933784800601956</v>
      </c>
      <c r="AK1139" s="72">
        <v>0.928251121076233</v>
      </c>
      <c r="AL1139" s="72">
        <v>0.940749414519906</v>
      </c>
      <c r="AM1139" s="71">
        <v>0.99</v>
      </c>
      <c r="AN1139" s="76">
        <v>1</v>
      </c>
      <c r="AO1139" s="76">
        <v>0</v>
      </c>
      <c r="AP1139" s="76">
        <v>0</v>
      </c>
      <c r="AQ1139" s="76">
        <v>1</v>
      </c>
      <c r="AR1139" s="96">
        <v>0.0721861525408278</v>
      </c>
      <c r="AS1139" s="80">
        <v>0.125</v>
      </c>
      <c r="AT1139" s="80">
        <v>0.285714285714286</v>
      </c>
      <c r="AU1139" s="80">
        <v>0</v>
      </c>
      <c r="AV1139" s="80">
        <v>0.08</v>
      </c>
      <c r="AW1139" s="36"/>
      <c r="AX1139" s="34"/>
    </row>
    <row r="1140" ht="14.5" spans="1:50">
      <c r="A1140" s="32"/>
      <c r="B1140" s="36"/>
      <c r="C1140" s="91" t="s">
        <v>1105</v>
      </c>
      <c r="D1140" s="69" t="s">
        <v>25</v>
      </c>
      <c r="E1140" s="129" t="s">
        <v>1189</v>
      </c>
      <c r="F1140" s="129" t="s">
        <v>1189</v>
      </c>
      <c r="G1140" s="129" t="s">
        <v>1189</v>
      </c>
      <c r="H1140" s="129" t="s">
        <v>1189</v>
      </c>
      <c r="I1140" s="71">
        <v>0.9</v>
      </c>
      <c r="J1140" s="72">
        <v>0.875</v>
      </c>
      <c r="K1140" s="72">
        <v>0.9375</v>
      </c>
      <c r="L1140" s="73">
        <v>0.882352941176471</v>
      </c>
      <c r="M1140" s="72">
        <v>0.933333333333333</v>
      </c>
      <c r="N1140" s="74">
        <v>0.9</v>
      </c>
      <c r="O1140" s="72">
        <v>0.859876965140123</v>
      </c>
      <c r="P1140" s="72">
        <v>0.977795400475813</v>
      </c>
      <c r="Q1140" s="72">
        <v>0.984555984555985</v>
      </c>
      <c r="R1140" s="72">
        <v>0.964153884012796</v>
      </c>
      <c r="S1140" s="74">
        <v>0.9</v>
      </c>
      <c r="T1140" s="72">
        <v>0.950102529049897</v>
      </c>
      <c r="U1140" s="72">
        <v>0.962727993655829</v>
      </c>
      <c r="V1140" s="72">
        <v>0.971428571428571</v>
      </c>
      <c r="W1140" s="72">
        <v>0.961282913624805</v>
      </c>
      <c r="X1140" s="74">
        <v>0.92</v>
      </c>
      <c r="Y1140" s="74">
        <v>0.944723618090452</v>
      </c>
      <c r="Z1140" s="74">
        <v>0.951127819548872</v>
      </c>
      <c r="AA1140" s="74">
        <v>0.975510204081633</v>
      </c>
      <c r="AB1140" s="74">
        <v>0.96152436790033</v>
      </c>
      <c r="AC1140" s="74">
        <v>0.92</v>
      </c>
      <c r="AD1140" s="72">
        <v>0.99749373433584</v>
      </c>
      <c r="AE1140" s="72">
        <v>0.996197718631179</v>
      </c>
      <c r="AF1140" s="72">
        <v>0.998513379583746</v>
      </c>
      <c r="AG1140" s="72">
        <v>0.997715504112093</v>
      </c>
      <c r="AH1140" s="74">
        <v>0.92</v>
      </c>
      <c r="AI1140" s="72">
        <v>0.966305655836342</v>
      </c>
      <c r="AJ1140" s="72">
        <v>0.97969875573019</v>
      </c>
      <c r="AK1140" s="72">
        <v>0.987662337662338</v>
      </c>
      <c r="AL1140" s="72">
        <v>0.979959785522788</v>
      </c>
      <c r="AM1140" s="71">
        <v>0.99</v>
      </c>
      <c r="AN1140" s="76">
        <v>1</v>
      </c>
      <c r="AO1140" s="76">
        <v>1</v>
      </c>
      <c r="AP1140" s="76">
        <v>1</v>
      </c>
      <c r="AQ1140" s="76">
        <v>1</v>
      </c>
      <c r="AR1140" s="96">
        <v>0.0721861525408278</v>
      </c>
      <c r="AS1140" s="80">
        <v>0.5</v>
      </c>
      <c r="AT1140" s="80">
        <v>0</v>
      </c>
      <c r="AU1140" s="80">
        <v>0</v>
      </c>
      <c r="AV1140" s="80">
        <v>0.037037037037037</v>
      </c>
      <c r="AW1140" s="36"/>
      <c r="AX1140" s="34"/>
    </row>
    <row r="1141" ht="14.5" spans="1:50">
      <c r="A1141" s="32"/>
      <c r="B1141" s="36"/>
      <c r="C1141" s="91" t="s">
        <v>1105</v>
      </c>
      <c r="D1141" s="69" t="s">
        <v>25</v>
      </c>
      <c r="E1141" s="129" t="s">
        <v>1190</v>
      </c>
      <c r="F1141" s="129" t="s">
        <v>1190</v>
      </c>
      <c r="G1141" s="129" t="s">
        <v>1190</v>
      </c>
      <c r="H1141" s="129" t="s">
        <v>1190</v>
      </c>
      <c r="I1141" s="71">
        <v>0.9</v>
      </c>
      <c r="J1141" s="72">
        <v>0.967741935483871</v>
      </c>
      <c r="K1141" s="72">
        <v>0.941176470588235</v>
      </c>
      <c r="L1141" s="73">
        <v>0.986301369863014</v>
      </c>
      <c r="M1141" s="72">
        <v>0.969793322734499</v>
      </c>
      <c r="N1141" s="74">
        <v>0.9</v>
      </c>
      <c r="O1141" s="72">
        <v>0.966187184756211</v>
      </c>
      <c r="P1141" s="72">
        <v>0.975657044377424</v>
      </c>
      <c r="Q1141" s="72">
        <v>0.971116154322261</v>
      </c>
      <c r="R1141" s="72">
        <v>0.972698455219216</v>
      </c>
      <c r="S1141" s="74">
        <v>0.9</v>
      </c>
      <c r="T1141" s="72">
        <v>0.880814496543994</v>
      </c>
      <c r="U1141" s="72">
        <v>0.95282205945713</v>
      </c>
      <c r="V1141" s="72">
        <v>0.948628017330307</v>
      </c>
      <c r="W1141" s="72">
        <v>0.932627913206536</v>
      </c>
      <c r="X1141" s="74">
        <v>0.92</v>
      </c>
      <c r="Y1141" s="74">
        <v>0.951065509076559</v>
      </c>
      <c r="Z1141" s="74">
        <v>0.95692025664528</v>
      </c>
      <c r="AA1141" s="74">
        <v>0.965761511216057</v>
      </c>
      <c r="AB1141" s="74">
        <v>0.953716308194936</v>
      </c>
      <c r="AC1141" s="74">
        <v>0.92</v>
      </c>
      <c r="AD1141" s="72">
        <v>0.999390615478367</v>
      </c>
      <c r="AE1141" s="72">
        <v>0.998001090314374</v>
      </c>
      <c r="AF1141" s="72">
        <v>0.999376558603491</v>
      </c>
      <c r="AG1141" s="72">
        <v>0.997904471220646</v>
      </c>
      <c r="AH1141" s="74">
        <v>0.92</v>
      </c>
      <c r="AI1141" s="72">
        <v>0.965413079595227</v>
      </c>
      <c r="AJ1141" s="72">
        <v>0.975409836065574</v>
      </c>
      <c r="AK1141" s="72">
        <v>0.979100807867931</v>
      </c>
      <c r="AL1141" s="72">
        <v>0.973934073808671</v>
      </c>
      <c r="AM1141" s="71">
        <v>0.99</v>
      </c>
      <c r="AN1141" s="76">
        <v>1</v>
      </c>
      <c r="AO1141" s="76">
        <v>1</v>
      </c>
      <c r="AP1141" s="76">
        <v>1</v>
      </c>
      <c r="AQ1141" s="76">
        <v>1</v>
      </c>
      <c r="AR1141" s="96">
        <v>0.0721861525408278</v>
      </c>
      <c r="AS1141" s="80">
        <v>0</v>
      </c>
      <c r="AT1141" s="80">
        <v>0.0625</v>
      </c>
      <c r="AU1141" s="80">
        <v>0</v>
      </c>
      <c r="AV1141" s="80">
        <v>0.00588235294117647</v>
      </c>
      <c r="AW1141" s="36"/>
      <c r="AX1141" s="34"/>
    </row>
    <row r="1142" ht="14.5" spans="1:50">
      <c r="A1142" s="32"/>
      <c r="B1142" s="36"/>
      <c r="C1142" s="91" t="s">
        <v>1105</v>
      </c>
      <c r="D1142" s="69" t="s">
        <v>25</v>
      </c>
      <c r="E1142" s="129" t="s">
        <v>1191</v>
      </c>
      <c r="F1142" s="129" t="s">
        <v>1191</v>
      </c>
      <c r="G1142" s="129" t="s">
        <v>1191</v>
      </c>
      <c r="H1142" s="129" t="s">
        <v>1191</v>
      </c>
      <c r="I1142" s="71">
        <v>0.9</v>
      </c>
      <c r="J1142" s="72">
        <v>0.984615384615385</v>
      </c>
      <c r="K1142" s="72">
        <v>0.96969696969697</v>
      </c>
      <c r="L1142" s="73">
        <v>0.933333333333333</v>
      </c>
      <c r="M1142" s="72">
        <v>0.953150242326333</v>
      </c>
      <c r="N1142" s="74">
        <v>0.9</v>
      </c>
      <c r="O1142" s="72">
        <v>0.962608567643162</v>
      </c>
      <c r="P1142" s="72">
        <v>0.973040857334226</v>
      </c>
      <c r="Q1142" s="72">
        <v>0.987572989968558</v>
      </c>
      <c r="R1142" s="72">
        <v>0.963817346042047</v>
      </c>
      <c r="S1142" s="74">
        <v>0.9</v>
      </c>
      <c r="T1142" s="72">
        <v>0.917414986015015</v>
      </c>
      <c r="U1142" s="72">
        <v>0.943569993302076</v>
      </c>
      <c r="V1142" s="72">
        <v>0.949094175774817</v>
      </c>
      <c r="W1142" s="72">
        <v>0.928699384844183</v>
      </c>
      <c r="X1142" s="74">
        <v>0.92</v>
      </c>
      <c r="Y1142" s="74">
        <v>0</v>
      </c>
      <c r="Z1142" s="74">
        <v>0</v>
      </c>
      <c r="AA1142" s="74">
        <v>0</v>
      </c>
      <c r="AB1142" s="74">
        <v>0.25</v>
      </c>
      <c r="AC1142" s="74">
        <v>0.92</v>
      </c>
      <c r="AD1142" s="72">
        <v>0.992896174863388</v>
      </c>
      <c r="AE1142" s="72">
        <v>0.996589617279272</v>
      </c>
      <c r="AF1142" s="72">
        <v>0.993041342611543</v>
      </c>
      <c r="AG1142" s="72">
        <v>0.994854460093897</v>
      </c>
      <c r="AH1142" s="74">
        <v>0.92</v>
      </c>
      <c r="AI1142" s="72">
        <v>0.971012360211889</v>
      </c>
      <c r="AJ1142" s="72">
        <v>0.986269256530476</v>
      </c>
      <c r="AK1142" s="72">
        <v>0.989519389130109</v>
      </c>
      <c r="AL1142" s="72">
        <v>0.983692713262133</v>
      </c>
      <c r="AM1142" s="71">
        <v>0.99</v>
      </c>
      <c r="AN1142" s="76">
        <v>1</v>
      </c>
      <c r="AO1142" s="76">
        <v>1</v>
      </c>
      <c r="AP1142" s="76">
        <v>1</v>
      </c>
      <c r="AQ1142" s="76">
        <v>1</v>
      </c>
      <c r="AR1142" s="96">
        <v>0.0721861525408278</v>
      </c>
      <c r="AS1142" s="80">
        <v>0.0454545454545455</v>
      </c>
      <c r="AT1142" s="80">
        <v>0</v>
      </c>
      <c r="AU1142" s="80">
        <v>0.0540540540540541</v>
      </c>
      <c r="AV1142" s="80">
        <v>0.0533980582524272</v>
      </c>
      <c r="AW1142" s="36"/>
      <c r="AX1142" s="34"/>
    </row>
    <row r="1143" ht="14.5" spans="1:50">
      <c r="A1143" s="32"/>
      <c r="B1143" s="36"/>
      <c r="C1143" s="91" t="s">
        <v>1105</v>
      </c>
      <c r="D1143" s="69" t="s">
        <v>25</v>
      </c>
      <c r="E1143" s="129" t="s">
        <v>1192</v>
      </c>
      <c r="F1143" s="129" t="s">
        <v>1192</v>
      </c>
      <c r="G1143" s="129" t="s">
        <v>1192</v>
      </c>
      <c r="H1143" s="129" t="s">
        <v>1192</v>
      </c>
      <c r="I1143" s="71">
        <v>0.9</v>
      </c>
      <c r="J1143" s="72">
        <v>0.977777777777778</v>
      </c>
      <c r="K1143" s="72">
        <v>0.979166666666667</v>
      </c>
      <c r="L1143" s="73">
        <v>1</v>
      </c>
      <c r="M1143" s="72">
        <v>0.94047619047619</v>
      </c>
      <c r="N1143" s="74">
        <v>0.9</v>
      </c>
      <c r="O1143" s="72">
        <v>0.976490144858703</v>
      </c>
      <c r="P1143" s="72">
        <v>0.98546511627907</v>
      </c>
      <c r="Q1143" s="72">
        <v>0.983471074380165</v>
      </c>
      <c r="R1143" s="72">
        <v>0.983016025202027</v>
      </c>
      <c r="S1143" s="74">
        <v>0.9</v>
      </c>
      <c r="T1143" s="72">
        <v>0.928045594870577</v>
      </c>
      <c r="U1143" s="72">
        <v>0.962209302325581</v>
      </c>
      <c r="V1143" s="72">
        <v>0.959929877285249</v>
      </c>
      <c r="W1143" s="72">
        <v>0.954855499246679</v>
      </c>
      <c r="X1143" s="74">
        <v>0.92</v>
      </c>
      <c r="Y1143" s="74">
        <v>0.967153284671533</v>
      </c>
      <c r="Z1143" s="74">
        <v>0.973597359735974</v>
      </c>
      <c r="AA1143" s="74">
        <v>0.974324324324324</v>
      </c>
      <c r="AB1143" s="74">
        <v>0.970408750719632</v>
      </c>
      <c r="AC1143" s="74">
        <v>0.92</v>
      </c>
      <c r="AD1143" s="72">
        <v>0.999846437346437</v>
      </c>
      <c r="AE1143" s="72">
        <v>0.998936311660683</v>
      </c>
      <c r="AF1143" s="72">
        <v>0.998205956225332</v>
      </c>
      <c r="AG1143" s="72">
        <v>0.998711965340158</v>
      </c>
      <c r="AH1143" s="74">
        <v>0.92</v>
      </c>
      <c r="AI1143" s="72">
        <v>0.973971786211007</v>
      </c>
      <c r="AJ1143" s="72">
        <v>0.98231408480716</v>
      </c>
      <c r="AK1143" s="72">
        <v>0.986266638495669</v>
      </c>
      <c r="AL1143" s="72">
        <v>0.982982960832043</v>
      </c>
      <c r="AM1143" s="71">
        <v>0.99</v>
      </c>
      <c r="AN1143" s="76">
        <v>1</v>
      </c>
      <c r="AO1143" s="76">
        <v>1</v>
      </c>
      <c r="AP1143" s="76">
        <v>1</v>
      </c>
      <c r="AQ1143" s="76">
        <v>1</v>
      </c>
      <c r="AR1143" s="96">
        <v>0.0721861525408278</v>
      </c>
      <c r="AS1143" s="80">
        <v>0.111111111111111</v>
      </c>
      <c r="AT1143" s="80">
        <v>0</v>
      </c>
      <c r="AU1143" s="80">
        <v>0.0454545454545455</v>
      </c>
      <c r="AV1143" s="80">
        <v>0.0106382978723404</v>
      </c>
      <c r="AW1143" s="36"/>
      <c r="AX1143" s="34"/>
    </row>
    <row r="1144" ht="14.5" spans="1:50">
      <c r="A1144" s="32"/>
      <c r="B1144" s="36"/>
      <c r="C1144" s="91" t="s">
        <v>1105</v>
      </c>
      <c r="D1144" s="69" t="s">
        <v>25</v>
      </c>
      <c r="E1144" s="129" t="s">
        <v>1193</v>
      </c>
      <c r="F1144" s="129" t="s">
        <v>1193</v>
      </c>
      <c r="G1144" s="129" t="s">
        <v>1193</v>
      </c>
      <c r="H1144" s="129" t="s">
        <v>1193</v>
      </c>
      <c r="I1144" s="71">
        <v>0.9</v>
      </c>
      <c r="J1144" s="72">
        <v>0.842105263157895</v>
      </c>
      <c r="K1144" s="72">
        <v>0.888888888888889</v>
      </c>
      <c r="L1144" s="73">
        <v>1</v>
      </c>
      <c r="M1144" s="72">
        <v>0.897849462365591</v>
      </c>
      <c r="N1144" s="74">
        <v>0.9</v>
      </c>
      <c r="O1144" s="72">
        <v>0.96410822749862</v>
      </c>
      <c r="P1144" s="72">
        <v>0.884393063583815</v>
      </c>
      <c r="Q1144" s="72">
        <v>0.981120943952802</v>
      </c>
      <c r="R1144" s="72">
        <v>0.941061768775947</v>
      </c>
      <c r="S1144" s="74">
        <v>0.9</v>
      </c>
      <c r="T1144" s="72">
        <v>0.872998343456654</v>
      </c>
      <c r="U1144" s="72">
        <v>0.865895953757225</v>
      </c>
      <c r="V1144" s="72">
        <v>0.928023598820059</v>
      </c>
      <c r="W1144" s="72">
        <v>0.89168448861492</v>
      </c>
      <c r="X1144" s="74">
        <v>0.92</v>
      </c>
      <c r="Y1144" s="74">
        <v>0.939467312348668</v>
      </c>
      <c r="Z1144" s="74">
        <v>0.946969696969697</v>
      </c>
      <c r="AA1144" s="74">
        <v>0.953168044077135</v>
      </c>
      <c r="AB1144" s="74">
        <v>0.93855647974242</v>
      </c>
      <c r="AC1144" s="74">
        <v>0.92</v>
      </c>
      <c r="AD1144" s="72">
        <v>0.999025974025974</v>
      </c>
      <c r="AE1144" s="72">
        <v>0.996083550913838</v>
      </c>
      <c r="AF1144" s="72">
        <v>0.998653651969034</v>
      </c>
      <c r="AG1144" s="72">
        <v>0.99819761364046</v>
      </c>
      <c r="AH1144" s="74">
        <v>0.92</v>
      </c>
      <c r="AI1144" s="72">
        <v>0.944244604316547</v>
      </c>
      <c r="AJ1144" s="72">
        <v>0.974129821260583</v>
      </c>
      <c r="AK1144" s="72">
        <v>0.975716367168528</v>
      </c>
      <c r="AL1144" s="72">
        <v>0.966065423417915</v>
      </c>
      <c r="AM1144" s="71">
        <v>0.99</v>
      </c>
      <c r="AN1144" s="76">
        <v>1</v>
      </c>
      <c r="AO1144" s="76">
        <v>1</v>
      </c>
      <c r="AP1144" s="76">
        <v>1</v>
      </c>
      <c r="AQ1144" s="76">
        <v>1</v>
      </c>
      <c r="AR1144" s="96">
        <v>0.0721861525408278</v>
      </c>
      <c r="AS1144" s="80">
        <v>0.1</v>
      </c>
      <c r="AT1144" s="80">
        <v>0</v>
      </c>
      <c r="AU1144" s="80">
        <v>0.142857142857143</v>
      </c>
      <c r="AV1144" s="80">
        <v>0.0493827160493827</v>
      </c>
      <c r="AW1144" s="36"/>
      <c r="AX1144" s="34"/>
    </row>
    <row r="1145" ht="14.5" spans="1:50">
      <c r="A1145" s="32"/>
      <c r="B1145" s="36"/>
      <c r="C1145" s="91" t="s">
        <v>1105</v>
      </c>
      <c r="D1145" s="69" t="s">
        <v>25</v>
      </c>
      <c r="E1145" s="129" t="s">
        <v>1194</v>
      </c>
      <c r="F1145" s="129" t="s">
        <v>1194</v>
      </c>
      <c r="G1145" s="129" t="s">
        <v>1194</v>
      </c>
      <c r="H1145" s="129" t="s">
        <v>1194</v>
      </c>
      <c r="I1145" s="71">
        <v>0.9</v>
      </c>
      <c r="J1145" s="72">
        <v>0.966666666666667</v>
      </c>
      <c r="K1145" s="72">
        <v>1</v>
      </c>
      <c r="L1145" s="73">
        <v>1</v>
      </c>
      <c r="M1145" s="72">
        <v>0.9812734082397</v>
      </c>
      <c r="N1145" s="74">
        <v>0.9</v>
      </c>
      <c r="O1145" s="72">
        <v>0.979661016949153</v>
      </c>
      <c r="P1145" s="72">
        <v>0.987538940809969</v>
      </c>
      <c r="Q1145" s="72">
        <v>0.990331491712707</v>
      </c>
      <c r="R1145" s="72">
        <v>0.986910727068207</v>
      </c>
      <c r="S1145" s="74">
        <v>0.9</v>
      </c>
      <c r="T1145" s="72">
        <v>0.957203389830508</v>
      </c>
      <c r="U1145" s="72">
        <v>0.953790238836968</v>
      </c>
      <c r="V1145" s="72">
        <v>0.956721915285451</v>
      </c>
      <c r="W1145" s="72">
        <v>0.938950812966561</v>
      </c>
      <c r="X1145" s="74">
        <v>0.92</v>
      </c>
      <c r="Y1145" s="74">
        <v>0.962151394422311</v>
      </c>
      <c r="Z1145" s="74">
        <v>0.983425414364641</v>
      </c>
      <c r="AA1145" s="74">
        <v>0.967741935483871</v>
      </c>
      <c r="AB1145" s="74">
        <v>0.972303206997085</v>
      </c>
      <c r="AC1145" s="74">
        <v>0.92</v>
      </c>
      <c r="AD1145" s="72">
        <v>1</v>
      </c>
      <c r="AE1145" s="72">
        <v>1</v>
      </c>
      <c r="AF1145" s="72">
        <v>0.994152046783626</v>
      </c>
      <c r="AG1145" s="72">
        <v>0.99855533082924</v>
      </c>
      <c r="AH1145" s="74">
        <v>0.92</v>
      </c>
      <c r="AI1145" s="72">
        <v>0.981830887491265</v>
      </c>
      <c r="AJ1145" s="72">
        <v>0.983799108950992</v>
      </c>
      <c r="AK1145" s="72">
        <v>0.986796116504854</v>
      </c>
      <c r="AL1145" s="72">
        <v>0.983456486042693</v>
      </c>
      <c r="AM1145" s="71">
        <v>0.99</v>
      </c>
      <c r="AN1145" s="76">
        <v>1</v>
      </c>
      <c r="AO1145" s="76">
        <v>1</v>
      </c>
      <c r="AP1145" s="76">
        <v>1</v>
      </c>
      <c r="AQ1145" s="76">
        <v>1</v>
      </c>
      <c r="AR1145" s="96">
        <v>0.0721861525408278</v>
      </c>
      <c r="AS1145" s="80">
        <v>0.0833333333333333</v>
      </c>
      <c r="AT1145" s="80">
        <v>0.166666666666667</v>
      </c>
      <c r="AU1145" s="80">
        <v>0.0769230769230769</v>
      </c>
      <c r="AV1145" s="80">
        <v>0.0597014925373134</v>
      </c>
      <c r="AW1145" s="36"/>
      <c r="AX1145" s="34"/>
    </row>
    <row r="1146" ht="14.5" spans="1:50">
      <c r="A1146" s="32"/>
      <c r="B1146" s="36"/>
      <c r="C1146" s="91" t="s">
        <v>1105</v>
      </c>
      <c r="D1146" s="69" t="s">
        <v>25</v>
      </c>
      <c r="E1146" s="129" t="s">
        <v>1195</v>
      </c>
      <c r="F1146" s="129" t="s">
        <v>1195</v>
      </c>
      <c r="G1146" s="129" t="s">
        <v>1195</v>
      </c>
      <c r="H1146" s="129" t="s">
        <v>1195</v>
      </c>
      <c r="I1146" s="71">
        <v>0.9</v>
      </c>
      <c r="J1146" s="72">
        <v>0.84375</v>
      </c>
      <c r="K1146" s="72">
        <v>0.810344827586207</v>
      </c>
      <c r="L1146" s="73">
        <v>0.870967741935484</v>
      </c>
      <c r="M1146" s="72">
        <v>0.87298747763864</v>
      </c>
      <c r="N1146" s="74">
        <v>0.9</v>
      </c>
      <c r="O1146" s="72">
        <v>0.848421782865071</v>
      </c>
      <c r="P1146" s="72">
        <v>0.893632683106367</v>
      </c>
      <c r="Q1146" s="72">
        <v>0.918909090909091</v>
      </c>
      <c r="R1146" s="72">
        <v>0.892156100594706</v>
      </c>
      <c r="S1146" s="74">
        <v>0.9</v>
      </c>
      <c r="T1146" s="72">
        <v>0.875130072840791</v>
      </c>
      <c r="U1146" s="72">
        <v>0.838240706661759</v>
      </c>
      <c r="V1146" s="72">
        <v>0.892</v>
      </c>
      <c r="W1146" s="72">
        <v>0.884693123955378</v>
      </c>
      <c r="X1146" s="74">
        <v>0.92</v>
      </c>
      <c r="Y1146" s="74">
        <v>0.876712328767123</v>
      </c>
      <c r="Z1146" s="74">
        <v>0.915213946117274</v>
      </c>
      <c r="AA1146" s="74">
        <v>0.932853717026379</v>
      </c>
      <c r="AB1146" s="74">
        <v>0.917304477874549</v>
      </c>
      <c r="AC1146" s="74">
        <v>0.92</v>
      </c>
      <c r="AD1146" s="72">
        <v>0.997638724911452</v>
      </c>
      <c r="AE1146" s="72">
        <v>0.998029556650246</v>
      </c>
      <c r="AF1146" s="72">
        <v>0.99875</v>
      </c>
      <c r="AG1146" s="72">
        <v>0.998168050806058</v>
      </c>
      <c r="AH1146" s="74">
        <v>0.92</v>
      </c>
      <c r="AI1146" s="72">
        <v>0.917375630857967</v>
      </c>
      <c r="AJ1146" s="72">
        <v>0.945639187574671</v>
      </c>
      <c r="AK1146" s="72">
        <v>0.963056520366277</v>
      </c>
      <c r="AL1146" s="72">
        <v>0.950193400506184</v>
      </c>
      <c r="AM1146" s="71">
        <v>0.99</v>
      </c>
      <c r="AN1146" s="76">
        <v>1</v>
      </c>
      <c r="AO1146" s="76">
        <v>1</v>
      </c>
      <c r="AP1146" s="76">
        <v>1</v>
      </c>
      <c r="AQ1146" s="76">
        <v>1</v>
      </c>
      <c r="AR1146" s="96">
        <v>0.0721861525408278</v>
      </c>
      <c r="AS1146" s="80">
        <v>0</v>
      </c>
      <c r="AT1146" s="80">
        <v>0.027027027027027</v>
      </c>
      <c r="AU1146" s="80">
        <v>0.032258064516129</v>
      </c>
      <c r="AV1146" s="80">
        <v>-0.00303951367781155</v>
      </c>
      <c r="AW1146" s="36"/>
      <c r="AX1146" s="34"/>
    </row>
    <row r="1147" ht="14.5" spans="1:50">
      <c r="A1147" s="32"/>
      <c r="B1147" s="36"/>
      <c r="C1147" s="91" t="s">
        <v>1105</v>
      </c>
      <c r="D1147" s="69" t="s">
        <v>25</v>
      </c>
      <c r="E1147" s="129" t="s">
        <v>1196</v>
      </c>
      <c r="F1147" s="129" t="s">
        <v>1196</v>
      </c>
      <c r="G1147" s="129" t="s">
        <v>1196</v>
      </c>
      <c r="H1147" s="129" t="s">
        <v>1196</v>
      </c>
      <c r="I1147" s="71">
        <v>0.9</v>
      </c>
      <c r="J1147" s="72">
        <v>0.981481481481482</v>
      </c>
      <c r="K1147" s="72">
        <v>1</v>
      </c>
      <c r="L1147" s="73">
        <v>0.982758620689655</v>
      </c>
      <c r="M1147" s="72">
        <v>0.971042471042471</v>
      </c>
      <c r="N1147" s="74">
        <v>0.9</v>
      </c>
      <c r="O1147" s="72">
        <v>0.983403361344538</v>
      </c>
      <c r="P1147" s="72">
        <v>0.993003498250875</v>
      </c>
      <c r="Q1147" s="72">
        <v>0.990496059341678</v>
      </c>
      <c r="R1147" s="72">
        <v>0.986575156497473</v>
      </c>
      <c r="S1147" s="74">
        <v>0.9</v>
      </c>
      <c r="T1147" s="72">
        <v>0.938025210084034</v>
      </c>
      <c r="U1147" s="72">
        <v>0.949525237381309</v>
      </c>
      <c r="V1147" s="72">
        <v>0.966620305980529</v>
      </c>
      <c r="W1147" s="72">
        <v>0.948688940845212</v>
      </c>
      <c r="X1147" s="74">
        <v>0.92</v>
      </c>
      <c r="Y1147" s="74">
        <v>0.975108225108225</v>
      </c>
      <c r="Z1147" s="74">
        <v>0.983068783068783</v>
      </c>
      <c r="AA1147" s="74">
        <v>0.991071428571429</v>
      </c>
      <c r="AB1147" s="74">
        <v>0.980678449884729</v>
      </c>
      <c r="AC1147" s="74">
        <v>0.92</v>
      </c>
      <c r="AD1147" s="72">
        <v>0.998307952622673</v>
      </c>
      <c r="AE1147" s="72">
        <v>0.995068370320556</v>
      </c>
      <c r="AF1147" s="72">
        <v>0.996394230769231</v>
      </c>
      <c r="AG1147" s="72">
        <v>0.993673734085074</v>
      </c>
      <c r="AH1147" s="74">
        <v>0.92</v>
      </c>
      <c r="AI1147" s="72">
        <v>0.980471498944405</v>
      </c>
      <c r="AJ1147" s="72">
        <v>0.991105720638771</v>
      </c>
      <c r="AK1147" s="72">
        <v>0.993526873283641</v>
      </c>
      <c r="AL1147" s="72">
        <v>0.989240713467518</v>
      </c>
      <c r="AM1147" s="71">
        <v>0.99</v>
      </c>
      <c r="AN1147" s="76">
        <v>1</v>
      </c>
      <c r="AO1147" s="76">
        <v>1</v>
      </c>
      <c r="AP1147" s="76">
        <v>1</v>
      </c>
      <c r="AQ1147" s="76">
        <v>1</v>
      </c>
      <c r="AR1147" s="96">
        <v>0.0721861525408278</v>
      </c>
      <c r="AS1147" s="80">
        <v>0</v>
      </c>
      <c r="AT1147" s="80">
        <v>0.0344827586206897</v>
      </c>
      <c r="AU1147" s="80">
        <v>0</v>
      </c>
      <c r="AV1147" s="80">
        <v>0.0319634703196347</v>
      </c>
      <c r="AW1147" s="36"/>
      <c r="AX1147" s="34"/>
    </row>
    <row r="1148" ht="14.5" spans="1:50">
      <c r="A1148" s="32"/>
      <c r="B1148" s="36"/>
      <c r="C1148" s="91" t="s">
        <v>1105</v>
      </c>
      <c r="D1148" s="69" t="s">
        <v>25</v>
      </c>
      <c r="E1148" s="129" t="s">
        <v>1197</v>
      </c>
      <c r="F1148" s="129" t="s">
        <v>1197</v>
      </c>
      <c r="G1148" s="129" t="s">
        <v>1197</v>
      </c>
      <c r="H1148" s="129" t="s">
        <v>1197</v>
      </c>
      <c r="I1148" s="71">
        <v>0.9</v>
      </c>
      <c r="J1148" s="72">
        <v>0.946428571428571</v>
      </c>
      <c r="K1148" s="72">
        <v>0.789473684210526</v>
      </c>
      <c r="L1148" s="73">
        <v>0.885245901639344</v>
      </c>
      <c r="M1148" s="72">
        <v>0.865420560747664</v>
      </c>
      <c r="N1148" s="74">
        <v>0.9</v>
      </c>
      <c r="O1148" s="72">
        <v>0.933282789992419</v>
      </c>
      <c r="P1148" s="72">
        <v>0.883855732073851</v>
      </c>
      <c r="Q1148" s="72">
        <v>0.956811301715439</v>
      </c>
      <c r="R1148" s="72">
        <v>0.934309183285212</v>
      </c>
      <c r="S1148" s="74">
        <v>0.9</v>
      </c>
      <c r="T1148" s="72">
        <v>0.887983320697498</v>
      </c>
      <c r="U1148" s="72">
        <v>0.879776728209532</v>
      </c>
      <c r="V1148" s="72">
        <v>0.9372351160444</v>
      </c>
      <c r="W1148" s="72">
        <v>0.896282369793415</v>
      </c>
      <c r="X1148" s="74">
        <v>0.92</v>
      </c>
      <c r="Y1148" s="74">
        <v>0.956566701137539</v>
      </c>
      <c r="Z1148" s="74">
        <v>0.973432518597237</v>
      </c>
      <c r="AA1148" s="74">
        <v>0.964653902798233</v>
      </c>
      <c r="AB1148" s="74">
        <v>0.966053299492386</v>
      </c>
      <c r="AC1148" s="74">
        <v>0.92</v>
      </c>
      <c r="AD1148" s="72">
        <v>0.996993714129544</v>
      </c>
      <c r="AE1148" s="72">
        <v>0.998611111111111</v>
      </c>
      <c r="AF1148" s="72">
        <v>0.988606152677554</v>
      </c>
      <c r="AG1148" s="72">
        <v>0.996353196772191</v>
      </c>
      <c r="AH1148" s="74">
        <v>0.92</v>
      </c>
      <c r="AI1148" s="72">
        <v>0.972128784238347</v>
      </c>
      <c r="AJ1148" s="72">
        <v>0.981964285714286</v>
      </c>
      <c r="AK1148" s="72">
        <v>0.98793256433008</v>
      </c>
      <c r="AL1148" s="72">
        <v>0.981528344754974</v>
      </c>
      <c r="AM1148" s="71">
        <v>0.99</v>
      </c>
      <c r="AN1148" s="76">
        <v>1</v>
      </c>
      <c r="AO1148" s="76">
        <v>1</v>
      </c>
      <c r="AP1148" s="76">
        <v>1</v>
      </c>
      <c r="AQ1148" s="76">
        <v>1</v>
      </c>
      <c r="AR1148" s="96">
        <v>0.0721861525408278</v>
      </c>
      <c r="AS1148" s="80">
        <v>0</v>
      </c>
      <c r="AT1148" s="80">
        <v>0</v>
      </c>
      <c r="AU1148" s="80">
        <v>0.0526315789473684</v>
      </c>
      <c r="AV1148" s="80">
        <v>0.0366492146596859</v>
      </c>
      <c r="AW1148" s="36"/>
      <c r="AX1148" s="34"/>
    </row>
    <row r="1149" ht="14.5" spans="1:50">
      <c r="A1149" s="32"/>
      <c r="B1149" s="36"/>
      <c r="C1149" s="91" t="s">
        <v>1105</v>
      </c>
      <c r="D1149" s="69" t="s">
        <v>25</v>
      </c>
      <c r="E1149" s="129" t="s">
        <v>1198</v>
      </c>
      <c r="F1149" s="129" t="s">
        <v>1198</v>
      </c>
      <c r="G1149" s="129" t="s">
        <v>1198</v>
      </c>
      <c r="H1149" s="129" t="s">
        <v>1198</v>
      </c>
      <c r="I1149" s="71">
        <v>0.9</v>
      </c>
      <c r="J1149" s="72">
        <v>1</v>
      </c>
      <c r="K1149" s="72">
        <v>0.975</v>
      </c>
      <c r="L1149" s="73">
        <v>0.975</v>
      </c>
      <c r="M1149" s="72">
        <v>0.974647887323944</v>
      </c>
      <c r="N1149" s="74">
        <v>0.9</v>
      </c>
      <c r="O1149" s="72">
        <v>0.989206945096199</v>
      </c>
      <c r="P1149" s="72">
        <v>0.992034943473792</v>
      </c>
      <c r="Q1149" s="72">
        <v>0.991404011461318</v>
      </c>
      <c r="R1149" s="72">
        <v>0.991019545694665</v>
      </c>
      <c r="S1149" s="74">
        <v>0.9</v>
      </c>
      <c r="T1149" s="72">
        <v>0.942045987799155</v>
      </c>
      <c r="U1149" s="72">
        <v>0.940133607399794</v>
      </c>
      <c r="V1149" s="72">
        <v>0.961187809325345</v>
      </c>
      <c r="W1149" s="72">
        <v>0.954347040342536</v>
      </c>
      <c r="X1149" s="74">
        <v>0.92</v>
      </c>
      <c r="Y1149" s="74">
        <v>0.96962879640045</v>
      </c>
      <c r="Z1149" s="74">
        <v>0.987063389391979</v>
      </c>
      <c r="AA1149" s="74">
        <v>0.988571428571429</v>
      </c>
      <c r="AB1149" s="74">
        <v>0.985150925024343</v>
      </c>
      <c r="AC1149" s="74">
        <v>0.92</v>
      </c>
      <c r="AD1149" s="72">
        <v>0.996101364522417</v>
      </c>
      <c r="AE1149" s="72">
        <v>1</v>
      </c>
      <c r="AF1149" s="72">
        <v>0.9985935302391</v>
      </c>
      <c r="AG1149" s="72">
        <v>0.999079048349962</v>
      </c>
      <c r="AH1149" s="74">
        <v>0.92</v>
      </c>
      <c r="AI1149" s="72">
        <v>0.985051446321103</v>
      </c>
      <c r="AJ1149" s="72">
        <v>0.992497320471597</v>
      </c>
      <c r="AK1149" s="72">
        <v>0.993610927517074</v>
      </c>
      <c r="AL1149" s="72">
        <v>0.992621763534311</v>
      </c>
      <c r="AM1149" s="71">
        <v>0.99</v>
      </c>
      <c r="AN1149" s="76">
        <v>1</v>
      </c>
      <c r="AO1149" s="76">
        <v>1</v>
      </c>
      <c r="AP1149" s="76">
        <v>1</v>
      </c>
      <c r="AQ1149" s="76">
        <v>1</v>
      </c>
      <c r="AR1149" s="96">
        <v>0.0721861525408278</v>
      </c>
      <c r="AS1149" s="80">
        <v>0.125</v>
      </c>
      <c r="AT1149" s="80">
        <v>0.0588235294117647</v>
      </c>
      <c r="AU1149" s="80">
        <v>0</v>
      </c>
      <c r="AV1149" s="80">
        <v>0.0294117647058824</v>
      </c>
      <c r="AW1149" s="36"/>
      <c r="AX1149" s="34"/>
    </row>
    <row r="1150" ht="14.5" spans="1:50">
      <c r="A1150" s="32"/>
      <c r="B1150" s="36"/>
      <c r="C1150" s="91" t="s">
        <v>1105</v>
      </c>
      <c r="D1150" s="69" t="s">
        <v>25</v>
      </c>
      <c r="E1150" s="129" t="s">
        <v>1199</v>
      </c>
      <c r="F1150" s="129" t="s">
        <v>1199</v>
      </c>
      <c r="G1150" s="129" t="s">
        <v>1199</v>
      </c>
      <c r="H1150" s="129" t="s">
        <v>1199</v>
      </c>
      <c r="I1150" s="71">
        <v>0.9</v>
      </c>
      <c r="J1150" s="72">
        <v>0.923076923076923</v>
      </c>
      <c r="K1150" s="72">
        <v>0.961538461538462</v>
      </c>
      <c r="L1150" s="73">
        <v>0.962962962962963</v>
      </c>
      <c r="M1150" s="72">
        <v>0.943965517241379</v>
      </c>
      <c r="N1150" s="74">
        <v>0.9</v>
      </c>
      <c r="O1150" s="72">
        <v>0.976935749588138</v>
      </c>
      <c r="P1150" s="72">
        <v>0.98172090949621</v>
      </c>
      <c r="Q1150" s="72">
        <v>0.991260349586017</v>
      </c>
      <c r="R1150" s="72">
        <v>0.979964187194502</v>
      </c>
      <c r="S1150" s="74">
        <v>0.9</v>
      </c>
      <c r="T1150" s="72">
        <v>0.932042833607908</v>
      </c>
      <c r="U1150" s="72">
        <v>0.955416852429782</v>
      </c>
      <c r="V1150" s="72">
        <v>0.972401103955842</v>
      </c>
      <c r="W1150" s="72">
        <v>0.94908774137347</v>
      </c>
      <c r="X1150" s="74">
        <v>0.92</v>
      </c>
      <c r="Y1150" s="74">
        <v>0.957746478873239</v>
      </c>
      <c r="Z1150" s="74">
        <v>0.953934740882918</v>
      </c>
      <c r="AA1150" s="74">
        <v>0.967811158798283</v>
      </c>
      <c r="AB1150" s="74">
        <v>0.966382978723404</v>
      </c>
      <c r="AC1150" s="74">
        <v>0.92</v>
      </c>
      <c r="AD1150" s="72">
        <v>1</v>
      </c>
      <c r="AE1150" s="72">
        <v>0.997037037037037</v>
      </c>
      <c r="AF1150" s="72">
        <v>0.996272134203169</v>
      </c>
      <c r="AG1150" s="72">
        <v>0.996227601383213</v>
      </c>
      <c r="AH1150" s="74">
        <v>0.92</v>
      </c>
      <c r="AI1150" s="72">
        <v>0.979145299145299</v>
      </c>
      <c r="AJ1150" s="72">
        <v>0.979377713458755</v>
      </c>
      <c r="AK1150" s="72">
        <v>0.990909090909091</v>
      </c>
      <c r="AL1150" s="72">
        <v>0.984269042737739</v>
      </c>
      <c r="AM1150" s="71">
        <v>0.99</v>
      </c>
      <c r="AN1150" s="76">
        <v>1</v>
      </c>
      <c r="AO1150" s="76">
        <v>1</v>
      </c>
      <c r="AP1150" s="76">
        <v>1</v>
      </c>
      <c r="AQ1150" s="76">
        <v>1</v>
      </c>
      <c r="AR1150" s="96">
        <v>0.0721861525408278</v>
      </c>
      <c r="AS1150" s="80">
        <v>0.166666666666667</v>
      </c>
      <c r="AT1150" s="80">
        <v>0</v>
      </c>
      <c r="AU1150" s="80">
        <v>0</v>
      </c>
      <c r="AV1150" s="80">
        <v>0.0238095238095238</v>
      </c>
      <c r="AW1150" s="36"/>
      <c r="AX1150" s="34"/>
    </row>
    <row r="1151" ht="14.5" spans="1:50">
      <c r="A1151" s="32"/>
      <c r="B1151" s="36"/>
      <c r="C1151" s="91" t="s">
        <v>1105</v>
      </c>
      <c r="D1151" s="69" t="s">
        <v>25</v>
      </c>
      <c r="E1151" s="129" t="s">
        <v>1200</v>
      </c>
      <c r="F1151" s="129" t="s">
        <v>1200</v>
      </c>
      <c r="G1151" s="129" t="s">
        <v>1200</v>
      </c>
      <c r="H1151" s="129" t="s">
        <v>1200</v>
      </c>
      <c r="I1151" s="71">
        <v>0.9</v>
      </c>
      <c r="J1151" s="72">
        <v>0.987012987012987</v>
      </c>
      <c r="K1151" s="72">
        <v>1</v>
      </c>
      <c r="L1151" s="73">
        <v>0.988505747126437</v>
      </c>
      <c r="M1151" s="72">
        <v>0.984910836762689</v>
      </c>
      <c r="N1151" s="74">
        <v>0.9</v>
      </c>
      <c r="O1151" s="72">
        <v>0.929174692547044</v>
      </c>
      <c r="P1151" s="72">
        <v>0.953920220082531</v>
      </c>
      <c r="Q1151" s="72">
        <v>0.971147646679562</v>
      </c>
      <c r="R1151" s="72">
        <v>0.955899838506451</v>
      </c>
      <c r="S1151" s="74">
        <v>0.9</v>
      </c>
      <c r="T1151" s="72">
        <v>0.885464513261224</v>
      </c>
      <c r="U1151" s="72">
        <v>0.927097661623109</v>
      </c>
      <c r="V1151" s="72">
        <v>0.943423597678917</v>
      </c>
      <c r="W1151" s="72">
        <v>0.922465349873112</v>
      </c>
      <c r="X1151" s="74">
        <v>0.92</v>
      </c>
      <c r="Y1151" s="74">
        <v>0.931869795609387</v>
      </c>
      <c r="Z1151" s="74">
        <v>0.953815261044177</v>
      </c>
      <c r="AA1151" s="74">
        <v>0.965106382978723</v>
      </c>
      <c r="AB1151" s="74">
        <v>0.956761243585874</v>
      </c>
      <c r="AC1151" s="74">
        <v>0.92</v>
      </c>
      <c r="AD1151" s="72">
        <v>0.996195652173913</v>
      </c>
      <c r="AE1151" s="72">
        <v>0.998902907295666</v>
      </c>
      <c r="AF1151" s="72">
        <v>0.994743758212878</v>
      </c>
      <c r="AG1151" s="72">
        <v>0.994111315139619</v>
      </c>
      <c r="AH1151" s="74">
        <v>0.92</v>
      </c>
      <c r="AI1151" s="72">
        <v>0.944609665427509</v>
      </c>
      <c r="AJ1151" s="72">
        <v>0.972370400765969</v>
      </c>
      <c r="AK1151" s="72">
        <v>0.983739837398374</v>
      </c>
      <c r="AL1151" s="72">
        <v>0.971495481516601</v>
      </c>
      <c r="AM1151" s="71">
        <v>0.99</v>
      </c>
      <c r="AN1151" s="76">
        <v>1</v>
      </c>
      <c r="AO1151" s="76">
        <v>1</v>
      </c>
      <c r="AP1151" s="76">
        <v>1</v>
      </c>
      <c r="AQ1151" s="76">
        <v>1</v>
      </c>
      <c r="AR1151" s="96">
        <v>0.0721861525408278</v>
      </c>
      <c r="AS1151" s="80">
        <v>0</v>
      </c>
      <c r="AT1151" s="80">
        <v>0.0222222222222222</v>
      </c>
      <c r="AU1151" s="80">
        <v>0.115384615384615</v>
      </c>
      <c r="AV1151" s="80">
        <v>0.0537190082644628</v>
      </c>
      <c r="AW1151" s="36"/>
      <c r="AX1151" s="34"/>
    </row>
    <row r="1152" ht="14.5" spans="1:50">
      <c r="A1152" s="32"/>
      <c r="B1152" s="36"/>
      <c r="C1152" s="91" t="s">
        <v>1105</v>
      </c>
      <c r="D1152" s="69" t="s">
        <v>25</v>
      </c>
      <c r="E1152" s="129" t="s">
        <v>1201</v>
      </c>
      <c r="F1152" s="129" t="s">
        <v>1201</v>
      </c>
      <c r="G1152" s="129" t="s">
        <v>1201</v>
      </c>
      <c r="H1152" s="129" t="s">
        <v>1201</v>
      </c>
      <c r="I1152" s="71">
        <v>0.9</v>
      </c>
      <c r="J1152" s="72">
        <v>0.962962962962963</v>
      </c>
      <c r="K1152" s="72">
        <v>0.924528301886792</v>
      </c>
      <c r="L1152" s="73">
        <v>0.931034482758621</v>
      </c>
      <c r="M1152" s="72">
        <v>0.932405566600398</v>
      </c>
      <c r="N1152" s="74">
        <v>0.9</v>
      </c>
      <c r="O1152" s="72">
        <v>0.907811260904044</v>
      </c>
      <c r="P1152" s="72">
        <v>0.958855098389982</v>
      </c>
      <c r="Q1152" s="72">
        <v>0.970747562296858</v>
      </c>
      <c r="R1152" s="72">
        <v>0.935645899165212</v>
      </c>
      <c r="S1152" s="74">
        <v>0.9</v>
      </c>
      <c r="T1152" s="72">
        <v>0.825931800158604</v>
      </c>
      <c r="U1152" s="72">
        <v>0.861806797853309</v>
      </c>
      <c r="V1152" s="72">
        <v>0.895774647887324</v>
      </c>
      <c r="W1152" s="72">
        <v>0.867896052445409</v>
      </c>
      <c r="X1152" s="74">
        <v>0.92</v>
      </c>
      <c r="Y1152" s="74">
        <v>0.889003083247688</v>
      </c>
      <c r="Z1152" s="74">
        <v>0.895480225988701</v>
      </c>
      <c r="AA1152" s="74">
        <v>0.928915662650602</v>
      </c>
      <c r="AB1152" s="74">
        <v>0.905401017426128</v>
      </c>
      <c r="AC1152" s="74">
        <v>0.92</v>
      </c>
      <c r="AD1152" s="72">
        <v>0.977933801404213</v>
      </c>
      <c r="AE1152" s="72">
        <v>0.990521327014218</v>
      </c>
      <c r="AF1152" s="72">
        <v>0.982960596379127</v>
      </c>
      <c r="AG1152" s="72">
        <v>0.986960690316395</v>
      </c>
      <c r="AH1152" s="74">
        <v>0.92</v>
      </c>
      <c r="AI1152" s="72">
        <v>0.950149551345962</v>
      </c>
      <c r="AJ1152" s="72">
        <v>0.9615106613661</v>
      </c>
      <c r="AK1152" s="72">
        <v>0.976492194674013</v>
      </c>
      <c r="AL1152" s="72">
        <v>0.965902490028269</v>
      </c>
      <c r="AM1152" s="71">
        <v>0.99</v>
      </c>
      <c r="AN1152" s="76">
        <v>1</v>
      </c>
      <c r="AO1152" s="76">
        <v>1</v>
      </c>
      <c r="AP1152" s="76">
        <v>1</v>
      </c>
      <c r="AQ1152" s="76">
        <v>1</v>
      </c>
      <c r="AR1152" s="96">
        <v>0.0721861525408278</v>
      </c>
      <c r="AS1152" s="80">
        <v>0</v>
      </c>
      <c r="AT1152" s="80">
        <v>0</v>
      </c>
      <c r="AU1152" s="80">
        <v>0.0434782608695652</v>
      </c>
      <c r="AV1152" s="80">
        <v>0.0171428571428571</v>
      </c>
      <c r="AW1152" s="36"/>
      <c r="AX1152" s="34"/>
    </row>
    <row r="1153" ht="14.5" spans="1:50">
      <c r="A1153" s="32"/>
      <c r="B1153" s="36"/>
      <c r="C1153" s="91" t="s">
        <v>1105</v>
      </c>
      <c r="D1153" s="69" t="s">
        <v>25</v>
      </c>
      <c r="E1153" s="129" t="s">
        <v>1202</v>
      </c>
      <c r="F1153" s="129" t="s">
        <v>1202</v>
      </c>
      <c r="G1153" s="129" t="s">
        <v>1202</v>
      </c>
      <c r="H1153" s="129" t="s">
        <v>1202</v>
      </c>
      <c r="I1153" s="71">
        <v>0.9</v>
      </c>
      <c r="J1153" s="72">
        <v>0.945945945945946</v>
      </c>
      <c r="K1153" s="72">
        <v>0.975609756097561</v>
      </c>
      <c r="L1153" s="73">
        <v>0.909090909090909</v>
      </c>
      <c r="M1153" s="72">
        <v>0.94559585492228</v>
      </c>
      <c r="N1153" s="74">
        <v>0.9</v>
      </c>
      <c r="O1153" s="72">
        <v>0.948819941660037</v>
      </c>
      <c r="P1153" s="72">
        <v>0.855271176112127</v>
      </c>
      <c r="Q1153" s="72">
        <v>0.925687536571094</v>
      </c>
      <c r="R1153" s="72">
        <v>0.913674121405751</v>
      </c>
      <c r="S1153" s="74">
        <v>0.9</v>
      </c>
      <c r="T1153" s="72">
        <v>0.787059135507823</v>
      </c>
      <c r="U1153" s="72">
        <v>0.838208409506399</v>
      </c>
      <c r="V1153" s="72">
        <v>0.906085430076068</v>
      </c>
      <c r="W1153" s="72">
        <v>0.863003194888179</v>
      </c>
      <c r="X1153" s="74">
        <v>0.92</v>
      </c>
      <c r="Y1153" s="74">
        <v>0.844804318488529</v>
      </c>
      <c r="Z1153" s="74">
        <v>0.946360153256705</v>
      </c>
      <c r="AA1153" s="74">
        <v>0.942367601246106</v>
      </c>
      <c r="AB1153" s="74">
        <v>0.936903788498228</v>
      </c>
      <c r="AC1153" s="74">
        <v>0.92</v>
      </c>
      <c r="AD1153" s="72">
        <v>0.99904214559387</v>
      </c>
      <c r="AE1153" s="72">
        <v>0.98539435248296</v>
      </c>
      <c r="AF1153" s="72">
        <v>0.99671412924425</v>
      </c>
      <c r="AG1153" s="72">
        <v>0.995059830936436</v>
      </c>
      <c r="AH1153" s="74">
        <v>0.92</v>
      </c>
      <c r="AI1153" s="72">
        <v>0.930881701373505</v>
      </c>
      <c r="AJ1153" s="72">
        <v>0.969741697416974</v>
      </c>
      <c r="AK1153" s="72">
        <v>0.976847290640394</v>
      </c>
      <c r="AL1153" s="72">
        <v>0.965993788819876</v>
      </c>
      <c r="AM1153" s="71">
        <v>0.99</v>
      </c>
      <c r="AN1153" s="76">
        <v>1</v>
      </c>
      <c r="AO1153" s="76">
        <v>1</v>
      </c>
      <c r="AP1153" s="76">
        <v>1</v>
      </c>
      <c r="AQ1153" s="76">
        <v>1</v>
      </c>
      <c r="AR1153" s="96">
        <v>0.0721861525408278</v>
      </c>
      <c r="AS1153" s="80">
        <v>0.0909090909090909</v>
      </c>
      <c r="AT1153" s="80">
        <v>0.166666666666667</v>
      </c>
      <c r="AU1153" s="80">
        <v>0.111111111111111</v>
      </c>
      <c r="AV1153" s="80">
        <v>0.0408163265306122</v>
      </c>
      <c r="AW1153" s="36"/>
      <c r="AX1153" s="34"/>
    </row>
    <row r="1154" ht="14.5" spans="1:50">
      <c r="A1154" s="32"/>
      <c r="B1154" s="36"/>
      <c r="C1154" s="91" t="s">
        <v>1105</v>
      </c>
      <c r="D1154" s="69" t="s">
        <v>25</v>
      </c>
      <c r="E1154" s="129" t="s">
        <v>1203</v>
      </c>
      <c r="F1154" s="129" t="s">
        <v>1203</v>
      </c>
      <c r="G1154" s="129" t="s">
        <v>1203</v>
      </c>
      <c r="H1154" s="129" t="s">
        <v>1203</v>
      </c>
      <c r="I1154" s="71">
        <v>0.9</v>
      </c>
      <c r="J1154" s="72">
        <v>0.983050847457627</v>
      </c>
      <c r="K1154" s="72">
        <v>1</v>
      </c>
      <c r="L1154" s="73">
        <v>0.985294117647059</v>
      </c>
      <c r="M1154" s="72">
        <v>0.98211091234347</v>
      </c>
      <c r="N1154" s="74">
        <v>0.9</v>
      </c>
      <c r="O1154" s="72">
        <v>0.94377438808088</v>
      </c>
      <c r="P1154" s="72">
        <v>0.959602368866328</v>
      </c>
      <c r="Q1154" s="72">
        <v>0.965130505709625</v>
      </c>
      <c r="R1154" s="72">
        <v>0.956270360062995</v>
      </c>
      <c r="S1154" s="74">
        <v>0.9</v>
      </c>
      <c r="T1154" s="72">
        <v>0.894820858460447</v>
      </c>
      <c r="U1154" s="72">
        <v>0.902072758037225</v>
      </c>
      <c r="V1154" s="72">
        <v>0.911908646003263</v>
      </c>
      <c r="W1154" s="72">
        <v>0.892822471037473</v>
      </c>
      <c r="X1154" s="74">
        <v>0.92</v>
      </c>
      <c r="Y1154" s="74">
        <v>0.895589558955896</v>
      </c>
      <c r="Z1154" s="74">
        <v>0.929693961952026</v>
      </c>
      <c r="AA1154" s="74">
        <v>0.941117764471058</v>
      </c>
      <c r="AB1154" s="74">
        <v>0.927186242224662</v>
      </c>
      <c r="AC1154" s="74">
        <v>0.92</v>
      </c>
      <c r="AD1154" s="72">
        <v>0.975824175824176</v>
      </c>
      <c r="AE1154" s="72">
        <v>0.993697478991597</v>
      </c>
      <c r="AF1154" s="72">
        <v>0.997658079625293</v>
      </c>
      <c r="AG1154" s="72">
        <v>0.992540904716073</v>
      </c>
      <c r="AH1154" s="74">
        <v>0.92</v>
      </c>
      <c r="AI1154" s="72">
        <v>0.96162962962963</v>
      </c>
      <c r="AJ1154" s="72">
        <v>0.969007916456123</v>
      </c>
      <c r="AK1154" s="72">
        <v>0.975114271203657</v>
      </c>
      <c r="AL1154" s="72">
        <v>0.968772364677338</v>
      </c>
      <c r="AM1154" s="71">
        <v>0.99</v>
      </c>
      <c r="AN1154" s="76">
        <v>1</v>
      </c>
      <c r="AO1154" s="76">
        <v>1</v>
      </c>
      <c r="AP1154" s="76">
        <v>1</v>
      </c>
      <c r="AQ1154" s="76">
        <v>1</v>
      </c>
      <c r="AR1154" s="96">
        <v>0.0721861525408278</v>
      </c>
      <c r="AS1154" s="80">
        <v>0</v>
      </c>
      <c r="AT1154" s="80">
        <v>0</v>
      </c>
      <c r="AU1154" s="80">
        <v>0.0645161290322581</v>
      </c>
      <c r="AV1154" s="80">
        <v>0.0111731843575419</v>
      </c>
      <c r="AW1154" s="36"/>
      <c r="AX1154" s="34"/>
    </row>
    <row r="1155" ht="14.5" spans="1:50">
      <c r="A1155" s="32"/>
      <c r="B1155" s="36"/>
      <c r="C1155" s="91" t="s">
        <v>1105</v>
      </c>
      <c r="D1155" s="69" t="s">
        <v>25</v>
      </c>
      <c r="E1155" s="129" t="s">
        <v>1204</v>
      </c>
      <c r="F1155" s="129" t="s">
        <v>1204</v>
      </c>
      <c r="G1155" s="129" t="s">
        <v>1204</v>
      </c>
      <c r="H1155" s="129" t="s">
        <v>1204</v>
      </c>
      <c r="I1155" s="71">
        <v>0.9</v>
      </c>
      <c r="J1155" s="72">
        <v>0.926829268292683</v>
      </c>
      <c r="K1155" s="72">
        <v>0.952380952380952</v>
      </c>
      <c r="L1155" s="73">
        <v>0.957446808510638</v>
      </c>
      <c r="M1155" s="72">
        <v>0.9609375</v>
      </c>
      <c r="N1155" s="74">
        <v>0.9</v>
      </c>
      <c r="O1155" s="72">
        <v>0.985431841831426</v>
      </c>
      <c r="P1155" s="72">
        <v>0.981011034128817</v>
      </c>
      <c r="Q1155" s="72">
        <v>0.984689413823272</v>
      </c>
      <c r="R1155" s="72">
        <v>0.983739038589079</v>
      </c>
      <c r="S1155" s="74">
        <v>0.9</v>
      </c>
      <c r="T1155" s="72">
        <v>0.908220603537981</v>
      </c>
      <c r="U1155" s="72">
        <v>0.913266615345137</v>
      </c>
      <c r="V1155" s="72">
        <v>0.918853893263342</v>
      </c>
      <c r="W1155" s="72">
        <v>0.912701726806023</v>
      </c>
      <c r="X1155" s="74">
        <v>0.92</v>
      </c>
      <c r="Y1155" s="74">
        <v>0</v>
      </c>
      <c r="Z1155" s="74">
        <v>0</v>
      </c>
      <c r="AA1155" s="74">
        <v>0</v>
      </c>
      <c r="AB1155" s="74">
        <v>0</v>
      </c>
      <c r="AC1155" s="74">
        <v>0.92</v>
      </c>
      <c r="AD1155" s="72">
        <v>0.998</v>
      </c>
      <c r="AE1155" s="72">
        <v>0.998109640831758</v>
      </c>
      <c r="AF1155" s="72">
        <v>1</v>
      </c>
      <c r="AG1155" s="72">
        <v>0.998534385569335</v>
      </c>
      <c r="AH1155" s="74">
        <v>0.92</v>
      </c>
      <c r="AI1155" s="72">
        <v>0.953817349698357</v>
      </c>
      <c r="AJ1155" s="72">
        <v>0.975365665896844</v>
      </c>
      <c r="AK1155" s="72">
        <v>0.977913842116772</v>
      </c>
      <c r="AL1155" s="72">
        <v>0.978410374809648</v>
      </c>
      <c r="AM1155" s="71">
        <v>0.99</v>
      </c>
      <c r="AN1155" s="76">
        <v>1</v>
      </c>
      <c r="AO1155" s="76">
        <v>1</v>
      </c>
      <c r="AP1155" s="76">
        <v>1</v>
      </c>
      <c r="AQ1155" s="76">
        <v>1</v>
      </c>
      <c r="AR1155" s="96">
        <v>0.0721861525408278</v>
      </c>
      <c r="AS1155" s="80">
        <v>0.277777777777778</v>
      </c>
      <c r="AT1155" s="80">
        <v>0.0454545454545455</v>
      </c>
      <c r="AU1155" s="80">
        <v>0</v>
      </c>
      <c r="AV1155" s="80">
        <v>0.035</v>
      </c>
      <c r="AW1155" s="36"/>
      <c r="AX1155" s="34"/>
    </row>
    <row r="1156" ht="14.5" spans="1:50">
      <c r="A1156" s="32"/>
      <c r="B1156" s="36"/>
      <c r="C1156" s="91" t="s">
        <v>1105</v>
      </c>
      <c r="D1156" s="69" t="s">
        <v>25</v>
      </c>
      <c r="E1156" s="129" t="s">
        <v>1205</v>
      </c>
      <c r="F1156" s="129" t="s">
        <v>1205</v>
      </c>
      <c r="G1156" s="129" t="s">
        <v>1205</v>
      </c>
      <c r="H1156" s="129" t="s">
        <v>1205</v>
      </c>
      <c r="I1156" s="71">
        <v>0.9</v>
      </c>
      <c r="J1156" s="72">
        <v>0.96</v>
      </c>
      <c r="K1156" s="72">
        <v>0.958333333333333</v>
      </c>
      <c r="L1156" s="73">
        <v>0.925925925925926</v>
      </c>
      <c r="M1156" s="72">
        <v>0.908695652173913</v>
      </c>
      <c r="N1156" s="74">
        <v>0.9</v>
      </c>
      <c r="O1156" s="72">
        <v>0.96039603960396</v>
      </c>
      <c r="P1156" s="72">
        <v>0.986835176408636</v>
      </c>
      <c r="Q1156" s="72">
        <v>0.974309258361609</v>
      </c>
      <c r="R1156" s="72">
        <v>0.97672981878089</v>
      </c>
      <c r="S1156" s="74">
        <v>0.9</v>
      </c>
      <c r="T1156" s="72">
        <v>0.766914191419142</v>
      </c>
      <c r="U1156" s="72">
        <v>0.891521853607162</v>
      </c>
      <c r="V1156" s="72">
        <v>0.854095976732913</v>
      </c>
      <c r="W1156" s="72">
        <v>0.837932454695222</v>
      </c>
      <c r="X1156" s="74">
        <v>0.92</v>
      </c>
      <c r="Y1156" s="74">
        <v>0</v>
      </c>
      <c r="Z1156" s="74">
        <v>0</v>
      </c>
      <c r="AA1156" s="74">
        <v>0</v>
      </c>
      <c r="AB1156" s="74">
        <v>0</v>
      </c>
      <c r="AC1156" s="74">
        <v>0.92</v>
      </c>
      <c r="AD1156" s="72">
        <v>0.996732026143791</v>
      </c>
      <c r="AE1156" s="72">
        <v>1</v>
      </c>
      <c r="AF1156" s="72">
        <v>1</v>
      </c>
      <c r="AG1156" s="72">
        <v>0.992595335061088</v>
      </c>
      <c r="AH1156" s="74">
        <v>0.92</v>
      </c>
      <c r="AI1156" s="72">
        <v>0.949278350515464</v>
      </c>
      <c r="AJ1156" s="72">
        <v>0.970526315789474</v>
      </c>
      <c r="AK1156" s="72">
        <v>0.976248182258846</v>
      </c>
      <c r="AL1156" s="72">
        <v>0.966333779470812</v>
      </c>
      <c r="AM1156" s="71">
        <v>0.99</v>
      </c>
      <c r="AN1156" s="76">
        <v>1</v>
      </c>
      <c r="AO1156" s="76">
        <v>1</v>
      </c>
      <c r="AP1156" s="76">
        <v>1</v>
      </c>
      <c r="AQ1156" s="76">
        <v>1</v>
      </c>
      <c r="AR1156" s="96">
        <v>0.0721861525408278</v>
      </c>
      <c r="AS1156" s="80">
        <v>0.125</v>
      </c>
      <c r="AT1156" s="80">
        <v>0</v>
      </c>
      <c r="AU1156" s="80">
        <v>0</v>
      </c>
      <c r="AV1156" s="80">
        <v>0.0769230769230769</v>
      </c>
      <c r="AW1156" s="36"/>
      <c r="AX1156" s="34"/>
    </row>
    <row r="1157" ht="14.5" spans="1:50">
      <c r="A1157" s="32"/>
      <c r="B1157" s="36"/>
      <c r="C1157" s="91" t="s">
        <v>1105</v>
      </c>
      <c r="D1157" s="69" t="s">
        <v>25</v>
      </c>
      <c r="E1157" s="129" t="s">
        <v>1206</v>
      </c>
      <c r="F1157" s="129" t="s">
        <v>1206</v>
      </c>
      <c r="G1157" s="129" t="s">
        <v>1206</v>
      </c>
      <c r="H1157" s="129" t="s">
        <v>1206</v>
      </c>
      <c r="I1157" s="71">
        <v>0.9</v>
      </c>
      <c r="J1157" s="72">
        <v>0.961538461538462</v>
      </c>
      <c r="K1157" s="72">
        <v>0.925925925925926</v>
      </c>
      <c r="L1157" s="73">
        <v>0.90625</v>
      </c>
      <c r="M1157" s="72">
        <v>0.931558935361217</v>
      </c>
      <c r="N1157" s="74">
        <v>0.9</v>
      </c>
      <c r="O1157" s="72">
        <v>0.955737242740344</v>
      </c>
      <c r="P1157" s="72">
        <v>0.985460992907801</v>
      </c>
      <c r="Q1157" s="72">
        <v>0.987163814180929</v>
      </c>
      <c r="R1157" s="72">
        <v>0.87180729116213</v>
      </c>
      <c r="S1157" s="74">
        <v>0.9</v>
      </c>
      <c r="T1157" s="72">
        <v>0.764307865802086</v>
      </c>
      <c r="U1157" s="72">
        <v>0.770921985815603</v>
      </c>
      <c r="V1157" s="72">
        <v>0.873471882640587</v>
      </c>
      <c r="W1157" s="72">
        <v>0.804062126642772</v>
      </c>
      <c r="X1157" s="74">
        <v>0.92</v>
      </c>
      <c r="Y1157" s="74">
        <v>0</v>
      </c>
      <c r="Z1157" s="74">
        <v>0</v>
      </c>
      <c r="AA1157" s="74">
        <v>0</v>
      </c>
      <c r="AB1157" s="74">
        <v>0</v>
      </c>
      <c r="AC1157" s="74">
        <v>0.92</v>
      </c>
      <c r="AD1157" s="72">
        <v>1</v>
      </c>
      <c r="AE1157" s="72">
        <v>1</v>
      </c>
      <c r="AF1157" s="72">
        <v>1</v>
      </c>
      <c r="AG1157" s="72">
        <v>1</v>
      </c>
      <c r="AH1157" s="74">
        <v>0.92</v>
      </c>
      <c r="AI1157" s="72">
        <v>0.936865839909808</v>
      </c>
      <c r="AJ1157" s="72">
        <v>0.962805526036132</v>
      </c>
      <c r="AK1157" s="72">
        <v>0.98257946210269</v>
      </c>
      <c r="AL1157" s="72">
        <v>0.96852096987699</v>
      </c>
      <c r="AM1157" s="71">
        <v>0.99</v>
      </c>
      <c r="AN1157" s="76">
        <v>1</v>
      </c>
      <c r="AO1157" s="76">
        <v>1</v>
      </c>
      <c r="AP1157" s="76">
        <v>1</v>
      </c>
      <c r="AQ1157" s="76">
        <v>1</v>
      </c>
      <c r="AR1157" s="96">
        <v>0.0721861525408278</v>
      </c>
      <c r="AS1157" s="80">
        <v>0</v>
      </c>
      <c r="AT1157" s="80">
        <v>0</v>
      </c>
      <c r="AU1157" s="80">
        <v>0.142857142857143</v>
      </c>
      <c r="AV1157" s="80">
        <v>0.0480769230769231</v>
      </c>
      <c r="AW1157" s="36"/>
      <c r="AX1157" s="34"/>
    </row>
    <row r="1158" ht="14.5" spans="1:50">
      <c r="A1158" s="32"/>
      <c r="B1158" s="36"/>
      <c r="C1158" s="91" t="s">
        <v>1105</v>
      </c>
      <c r="D1158" s="69" t="s">
        <v>25</v>
      </c>
      <c r="E1158" s="129" t="s">
        <v>1207</v>
      </c>
      <c r="F1158" s="129" t="s">
        <v>1207</v>
      </c>
      <c r="G1158" s="129" t="s">
        <v>1207</v>
      </c>
      <c r="H1158" s="129" t="s">
        <v>1207</v>
      </c>
      <c r="I1158" s="71">
        <v>0.9</v>
      </c>
      <c r="J1158" s="72">
        <v>0.939393939393939</v>
      </c>
      <c r="K1158" s="72">
        <v>0.878787878787879</v>
      </c>
      <c r="L1158" s="73">
        <v>0.885714285714286</v>
      </c>
      <c r="M1158" s="72">
        <v>0.909090909090909</v>
      </c>
      <c r="N1158" s="74">
        <v>0.9</v>
      </c>
      <c r="O1158" s="72">
        <v>0.982582250483826</v>
      </c>
      <c r="P1158" s="72">
        <v>0.987090367428004</v>
      </c>
      <c r="Q1158" s="72">
        <v>0.960790182580066</v>
      </c>
      <c r="R1158" s="72">
        <v>0.96390423572744</v>
      </c>
      <c r="S1158" s="74">
        <v>0.9</v>
      </c>
      <c r="T1158" s="72">
        <v>0.745922034835499</v>
      </c>
      <c r="U1158" s="72">
        <v>0.751075802714333</v>
      </c>
      <c r="V1158" s="72">
        <v>0.787488775815624</v>
      </c>
      <c r="W1158" s="72">
        <v>0.739896199564708</v>
      </c>
      <c r="X1158" s="74">
        <v>0.92</v>
      </c>
      <c r="Y1158" s="74">
        <v>0</v>
      </c>
      <c r="Z1158" s="74">
        <v>0</v>
      </c>
      <c r="AA1158" s="74">
        <v>0</v>
      </c>
      <c r="AB1158" s="74">
        <v>0</v>
      </c>
      <c r="AC1158" s="74">
        <v>0.92</v>
      </c>
      <c r="AD1158" s="72">
        <v>1</v>
      </c>
      <c r="AE1158" s="72">
        <v>1</v>
      </c>
      <c r="AF1158" s="72">
        <v>1</v>
      </c>
      <c r="AG1158" s="72">
        <v>1</v>
      </c>
      <c r="AH1158" s="74">
        <v>0.92</v>
      </c>
      <c r="AI1158" s="72">
        <v>0.942004971002485</v>
      </c>
      <c r="AJ1158" s="72">
        <v>0.955312810327706</v>
      </c>
      <c r="AK1158" s="72">
        <v>0.965579167913798</v>
      </c>
      <c r="AL1158" s="72">
        <v>0.956443135022933</v>
      </c>
      <c r="AM1158" s="71">
        <v>0.99</v>
      </c>
      <c r="AN1158" s="76">
        <v>1</v>
      </c>
      <c r="AO1158" s="76">
        <v>1</v>
      </c>
      <c r="AP1158" s="76">
        <v>1</v>
      </c>
      <c r="AQ1158" s="76">
        <v>1</v>
      </c>
      <c r="AR1158" s="96">
        <v>0.0721861525408278</v>
      </c>
      <c r="AS1158" s="80">
        <v>0</v>
      </c>
      <c r="AT1158" s="80">
        <v>0.0714285714285714</v>
      </c>
      <c r="AU1158" s="80">
        <v>0.153846153846154</v>
      </c>
      <c r="AV1158" s="80">
        <v>0.0990990990990991</v>
      </c>
      <c r="AW1158" s="36"/>
      <c r="AX1158" s="34"/>
    </row>
    <row r="1159" ht="14.5" spans="1:50">
      <c r="A1159" s="32"/>
      <c r="B1159" s="36"/>
      <c r="C1159" s="91" t="s">
        <v>1105</v>
      </c>
      <c r="D1159" s="69" t="s">
        <v>25</v>
      </c>
      <c r="E1159" s="129" t="s">
        <v>1208</v>
      </c>
      <c r="F1159" s="129" t="s">
        <v>1208</v>
      </c>
      <c r="G1159" s="129" t="s">
        <v>1208</v>
      </c>
      <c r="H1159" s="129" t="s">
        <v>1208</v>
      </c>
      <c r="I1159" s="71">
        <v>0.9</v>
      </c>
      <c r="J1159" s="72">
        <v>0.95</v>
      </c>
      <c r="K1159" s="72">
        <v>0.963855421686747</v>
      </c>
      <c r="L1159" s="73">
        <v>0.964705882352941</v>
      </c>
      <c r="M1159" s="72">
        <v>0.931909212283044</v>
      </c>
      <c r="N1159" s="74">
        <v>0.9</v>
      </c>
      <c r="O1159" s="72">
        <v>0.950982127057158</v>
      </c>
      <c r="P1159" s="72">
        <v>0.961427019195944</v>
      </c>
      <c r="Q1159" s="72">
        <v>0.948319479580773</v>
      </c>
      <c r="R1159" s="72">
        <v>0.957398795157081</v>
      </c>
      <c r="S1159" s="74">
        <v>0.9</v>
      </c>
      <c r="T1159" s="72">
        <v>0.890992744646965</v>
      </c>
      <c r="U1159" s="72">
        <v>0.928467946396233</v>
      </c>
      <c r="V1159" s="72">
        <v>0.924105529454283</v>
      </c>
      <c r="W1159" s="72">
        <v>0.918663291536665</v>
      </c>
      <c r="X1159" s="74">
        <v>0.92</v>
      </c>
      <c r="Y1159" s="74">
        <v>0.935125657510228</v>
      </c>
      <c r="Z1159" s="74">
        <v>0.963442498095963</v>
      </c>
      <c r="AA1159" s="74">
        <v>0.957732949087416</v>
      </c>
      <c r="AB1159" s="74">
        <v>0.953139717425432</v>
      </c>
      <c r="AC1159" s="74">
        <v>0.92</v>
      </c>
      <c r="AD1159" s="72">
        <v>1</v>
      </c>
      <c r="AE1159" s="72">
        <v>0.995724211651523</v>
      </c>
      <c r="AF1159" s="72">
        <v>0.999473684210526</v>
      </c>
      <c r="AG1159" s="72">
        <v>0.998988035002083</v>
      </c>
      <c r="AH1159" s="74">
        <v>0.92</v>
      </c>
      <c r="AI1159" s="72">
        <v>0.951507742461288</v>
      </c>
      <c r="AJ1159" s="72">
        <v>0.974103877103146</v>
      </c>
      <c r="AK1159" s="72">
        <v>0.972627737226277</v>
      </c>
      <c r="AL1159" s="72">
        <v>0.967601167864879</v>
      </c>
      <c r="AM1159" s="71">
        <v>0.99</v>
      </c>
      <c r="AN1159" s="76">
        <v>1</v>
      </c>
      <c r="AO1159" s="76">
        <v>1</v>
      </c>
      <c r="AP1159" s="76">
        <v>1</v>
      </c>
      <c r="AQ1159" s="76">
        <v>1</v>
      </c>
      <c r="AR1159" s="96">
        <v>0.0721861525408278</v>
      </c>
      <c r="AS1159" s="80">
        <v>0.04</v>
      </c>
      <c r="AT1159" s="80">
        <v>0</v>
      </c>
      <c r="AU1159" s="80">
        <v>0.0444444444444444</v>
      </c>
      <c r="AV1159" s="80">
        <v>0.0431034482758621</v>
      </c>
      <c r="AW1159" s="36"/>
      <c r="AX1159" s="34"/>
    </row>
    <row r="1160" ht="14.5" spans="1:50">
      <c r="A1160" s="32"/>
      <c r="B1160" s="36"/>
      <c r="C1160" s="91" t="s">
        <v>1105</v>
      </c>
      <c r="D1160" s="69" t="s">
        <v>25</v>
      </c>
      <c r="E1160" s="129" t="s">
        <v>1209</v>
      </c>
      <c r="F1160" s="129" t="s">
        <v>1209</v>
      </c>
      <c r="G1160" s="129" t="s">
        <v>1209</v>
      </c>
      <c r="H1160" s="129" t="s">
        <v>1209</v>
      </c>
      <c r="I1160" s="71">
        <v>0.9</v>
      </c>
      <c r="J1160" s="72">
        <v>0.92156862745098</v>
      </c>
      <c r="K1160" s="72">
        <v>0.941176470588235</v>
      </c>
      <c r="L1160" s="73">
        <v>0.867924528301887</v>
      </c>
      <c r="M1160" s="72">
        <v>0.926931106471816</v>
      </c>
      <c r="N1160" s="74">
        <v>0.9</v>
      </c>
      <c r="O1160" s="72">
        <v>0.952649790566381</v>
      </c>
      <c r="P1160" s="72">
        <v>0.979566305254379</v>
      </c>
      <c r="Q1160" s="72">
        <v>0.971464465183058</v>
      </c>
      <c r="R1160" s="72">
        <v>0.947735924453698</v>
      </c>
      <c r="S1160" s="74">
        <v>0.9</v>
      </c>
      <c r="T1160" s="72">
        <v>0.889273356401384</v>
      </c>
      <c r="U1160" s="72">
        <v>0.906797331109258</v>
      </c>
      <c r="V1160" s="72">
        <v>0.923725771715721</v>
      </c>
      <c r="W1160" s="72">
        <v>0.913054451384945</v>
      </c>
      <c r="X1160" s="74">
        <v>0.92</v>
      </c>
      <c r="Y1160" s="74">
        <v>0</v>
      </c>
      <c r="Z1160" s="74">
        <v>0</v>
      </c>
      <c r="AA1160" s="74">
        <v>0</v>
      </c>
      <c r="AB1160" s="74">
        <v>0</v>
      </c>
      <c r="AC1160" s="74">
        <v>0.92</v>
      </c>
      <c r="AD1160" s="72">
        <v>0.999327956989247</v>
      </c>
      <c r="AE1160" s="72">
        <v>0.997402597402597</v>
      </c>
      <c r="AF1160" s="72">
        <v>0.998583569405099</v>
      </c>
      <c r="AG1160" s="72">
        <v>0.998427157742971</v>
      </c>
      <c r="AH1160" s="74">
        <v>0.92</v>
      </c>
      <c r="AI1160" s="72">
        <v>0.962848297213622</v>
      </c>
      <c r="AJ1160" s="72">
        <v>0.979357798165138</v>
      </c>
      <c r="AK1160" s="72">
        <v>0.977207465900933</v>
      </c>
      <c r="AL1160" s="72">
        <v>0.975855469325089</v>
      </c>
      <c r="AM1160" s="71">
        <v>0.99</v>
      </c>
      <c r="AN1160" s="76">
        <v>1</v>
      </c>
      <c r="AO1160" s="76">
        <v>1</v>
      </c>
      <c r="AP1160" s="76">
        <v>1</v>
      </c>
      <c r="AQ1160" s="76">
        <v>1</v>
      </c>
      <c r="AR1160" s="96">
        <v>0.0721861525408278</v>
      </c>
      <c r="AS1160" s="80">
        <v>0</v>
      </c>
      <c r="AT1160" s="80">
        <v>0.0666666666666667</v>
      </c>
      <c r="AU1160" s="80">
        <v>0</v>
      </c>
      <c r="AV1160" s="80">
        <v>0.032258064516129</v>
      </c>
      <c r="AW1160" s="36"/>
      <c r="AX1160" s="34"/>
    </row>
    <row r="1161" ht="14.5" spans="1:50">
      <c r="A1161" s="32"/>
      <c r="B1161" s="36"/>
      <c r="C1161" s="91" t="s">
        <v>1105</v>
      </c>
      <c r="D1161" s="69" t="s">
        <v>25</v>
      </c>
      <c r="E1161" s="129" t="s">
        <v>1210</v>
      </c>
      <c r="F1161" s="129" t="s">
        <v>1210</v>
      </c>
      <c r="G1161" s="129" t="s">
        <v>1210</v>
      </c>
      <c r="H1161" s="129" t="s">
        <v>1210</v>
      </c>
      <c r="I1161" s="71">
        <v>0.9</v>
      </c>
      <c r="J1161" s="72">
        <v>0.981132075471698</v>
      </c>
      <c r="K1161" s="72">
        <v>0.980769230769231</v>
      </c>
      <c r="L1161" s="73">
        <v>0.982456140350877</v>
      </c>
      <c r="M1161" s="72">
        <v>0.974789915966387</v>
      </c>
      <c r="N1161" s="74">
        <v>0.9</v>
      </c>
      <c r="O1161" s="72">
        <v>0.952458634350967</v>
      </c>
      <c r="P1161" s="72">
        <v>0.957388487415898</v>
      </c>
      <c r="Q1161" s="72">
        <v>0.972154963680387</v>
      </c>
      <c r="R1161" s="72">
        <v>0.941095963933018</v>
      </c>
      <c r="S1161" s="74">
        <v>0.9</v>
      </c>
      <c r="T1161" s="72">
        <v>0.809135399673736</v>
      </c>
      <c r="U1161" s="72">
        <v>0.824819337154249</v>
      </c>
      <c r="V1161" s="72">
        <v>0.864648910411622</v>
      </c>
      <c r="W1161" s="72">
        <v>0.807293902962645</v>
      </c>
      <c r="X1161" s="74">
        <v>0.92</v>
      </c>
      <c r="Y1161" s="74">
        <v>0.901482127288579</v>
      </c>
      <c r="Z1161" s="74">
        <v>0.880829015544041</v>
      </c>
      <c r="AA1161" s="74">
        <v>0.91899852724595</v>
      </c>
      <c r="AB1161" s="74">
        <v>0.887029785214193</v>
      </c>
      <c r="AC1161" s="74">
        <v>0.92</v>
      </c>
      <c r="AD1161" s="72">
        <v>1</v>
      </c>
      <c r="AE1161" s="72">
        <v>0.991202346041056</v>
      </c>
      <c r="AF1161" s="72">
        <v>0.993169398907104</v>
      </c>
      <c r="AG1161" s="72">
        <v>0.994765228426396</v>
      </c>
      <c r="AH1161" s="74">
        <v>0.92</v>
      </c>
      <c r="AI1161" s="72">
        <v>0.934166973151894</v>
      </c>
      <c r="AJ1161" s="72">
        <v>0.932706374085684</v>
      </c>
      <c r="AK1161" s="72">
        <v>0.954252443335413</v>
      </c>
      <c r="AL1161" s="72">
        <v>0.936292211060775</v>
      </c>
      <c r="AM1161" s="71">
        <v>0.99</v>
      </c>
      <c r="AN1161" s="76">
        <v>1</v>
      </c>
      <c r="AO1161" s="76">
        <v>1</v>
      </c>
      <c r="AP1161" s="76">
        <v>1</v>
      </c>
      <c r="AQ1161" s="76">
        <v>1</v>
      </c>
      <c r="AR1161" s="96">
        <v>0.0721861525408278</v>
      </c>
      <c r="AS1161" s="80">
        <v>0</v>
      </c>
      <c r="AT1161" s="80">
        <v>0</v>
      </c>
      <c r="AU1161" s="80">
        <v>0</v>
      </c>
      <c r="AV1161" s="80">
        <v>0.0377358490566038</v>
      </c>
      <c r="AW1161" s="36"/>
      <c r="AX1161" s="34"/>
    </row>
    <row r="1162" ht="14.5" spans="1:50">
      <c r="A1162" s="32"/>
      <c r="B1162" s="36"/>
      <c r="C1162" s="91" t="s">
        <v>1105</v>
      </c>
      <c r="D1162" s="69" t="s">
        <v>25</v>
      </c>
      <c r="E1162" s="129" t="s">
        <v>1211</v>
      </c>
      <c r="F1162" s="129" t="s">
        <v>1211</v>
      </c>
      <c r="G1162" s="129" t="s">
        <v>1211</v>
      </c>
      <c r="H1162" s="129" t="s">
        <v>1211</v>
      </c>
      <c r="I1162" s="71">
        <v>0.9</v>
      </c>
      <c r="J1162" s="72">
        <v>0.931818181818182</v>
      </c>
      <c r="K1162" s="72">
        <v>0.954545454545455</v>
      </c>
      <c r="L1162" s="73">
        <v>0.979166666666667</v>
      </c>
      <c r="M1162" s="72">
        <v>0.968137254901961</v>
      </c>
      <c r="N1162" s="74">
        <v>0.9</v>
      </c>
      <c r="O1162" s="72">
        <v>0.915973377703827</v>
      </c>
      <c r="P1162" s="72">
        <v>0.971464019851117</v>
      </c>
      <c r="Q1162" s="72">
        <v>0.978665865384615</v>
      </c>
      <c r="R1162" s="72">
        <v>0.945803855390407</v>
      </c>
      <c r="S1162" s="74">
        <v>0.9</v>
      </c>
      <c r="T1162" s="72">
        <v>0.877426511369939</v>
      </c>
      <c r="U1162" s="72">
        <v>0.925868486352357</v>
      </c>
      <c r="V1162" s="72">
        <v>0.911658653846154</v>
      </c>
      <c r="W1162" s="72">
        <v>0.903939767638087</v>
      </c>
      <c r="X1162" s="74">
        <v>0.92</v>
      </c>
      <c r="Y1162" s="74">
        <v>0.925329428989751</v>
      </c>
      <c r="Z1162" s="74">
        <v>0.947445255474453</v>
      </c>
      <c r="AA1162" s="74">
        <v>0.949675324675325</v>
      </c>
      <c r="AB1162" s="74">
        <v>0.941877152698048</v>
      </c>
      <c r="AC1162" s="74">
        <v>0.92</v>
      </c>
      <c r="AD1162" s="72">
        <v>0.99896694214876</v>
      </c>
      <c r="AE1162" s="72">
        <v>0.980167014613779</v>
      </c>
      <c r="AF1162" s="72">
        <v>0.995234312946783</v>
      </c>
      <c r="AG1162" s="72">
        <v>0.992651487772558</v>
      </c>
      <c r="AH1162" s="74">
        <v>0.92</v>
      </c>
      <c r="AI1162" s="72">
        <v>0.957799020750758</v>
      </c>
      <c r="AJ1162" s="72">
        <v>0.973394730110003</v>
      </c>
      <c r="AK1162" s="72">
        <v>0.973123732251521</v>
      </c>
      <c r="AL1162" s="72">
        <v>0.969006405166481</v>
      </c>
      <c r="AM1162" s="71">
        <v>0.99</v>
      </c>
      <c r="AN1162" s="76">
        <v>1</v>
      </c>
      <c r="AO1162" s="76">
        <v>1</v>
      </c>
      <c r="AP1162" s="76">
        <v>1</v>
      </c>
      <c r="AQ1162" s="76">
        <v>1</v>
      </c>
      <c r="AR1162" s="96">
        <v>0.0721861525408278</v>
      </c>
      <c r="AS1162" s="80">
        <v>0</v>
      </c>
      <c r="AT1162" s="80">
        <v>0</v>
      </c>
      <c r="AU1162" s="80">
        <v>0.0476190476190476</v>
      </c>
      <c r="AV1162" s="80">
        <v>0.0197368421052632</v>
      </c>
      <c r="AW1162" s="36"/>
      <c r="AX1162" s="34"/>
    </row>
    <row r="1163" ht="14.5" spans="1:50">
      <c r="A1163" s="32"/>
      <c r="B1163" s="36"/>
      <c r="C1163" s="91" t="s">
        <v>1105</v>
      </c>
      <c r="D1163" s="69" t="s">
        <v>25</v>
      </c>
      <c r="E1163" s="129" t="s">
        <v>1212</v>
      </c>
      <c r="F1163" s="129" t="s">
        <v>1212</v>
      </c>
      <c r="G1163" s="129" t="s">
        <v>1212</v>
      </c>
      <c r="H1163" s="129" t="s">
        <v>1212</v>
      </c>
      <c r="I1163" s="71">
        <v>0.9</v>
      </c>
      <c r="J1163" s="72">
        <v>1</v>
      </c>
      <c r="K1163" s="72">
        <v>1</v>
      </c>
      <c r="L1163" s="73">
        <v>1</v>
      </c>
      <c r="M1163" s="72">
        <v>0.992</v>
      </c>
      <c r="N1163" s="74">
        <v>0.9</v>
      </c>
      <c r="O1163" s="72">
        <v>0.961203770848441</v>
      </c>
      <c r="P1163" s="72">
        <v>0.963621984974298</v>
      </c>
      <c r="Q1163" s="72">
        <v>0.980748274609517</v>
      </c>
      <c r="R1163" s="72">
        <v>0.976109076109076</v>
      </c>
      <c r="S1163" s="74">
        <v>0.9</v>
      </c>
      <c r="T1163" s="72">
        <v>0.942349528643945</v>
      </c>
      <c r="U1163" s="72">
        <v>0.958877026492685</v>
      </c>
      <c r="V1163" s="72">
        <v>0.953868507083182</v>
      </c>
      <c r="W1163" s="72">
        <v>0.962596662596663</v>
      </c>
      <c r="X1163" s="74">
        <v>0.92</v>
      </c>
      <c r="Y1163" s="74">
        <v>0.975339087546239</v>
      </c>
      <c r="Z1163" s="74">
        <v>0.975339087546239</v>
      </c>
      <c r="AA1163" s="74">
        <v>0.966029723991507</v>
      </c>
      <c r="AB1163" s="74">
        <v>0.981099385730036</v>
      </c>
      <c r="AC1163" s="74">
        <v>0.92</v>
      </c>
      <c r="AD1163" s="72">
        <v>0.997262773722628</v>
      </c>
      <c r="AE1163" s="72">
        <v>0.999084249084249</v>
      </c>
      <c r="AF1163" s="72">
        <v>1</v>
      </c>
      <c r="AG1163" s="72">
        <v>0.998315664321807</v>
      </c>
      <c r="AH1163" s="74">
        <v>0.92</v>
      </c>
      <c r="AI1163" s="72">
        <v>0.976744186046512</v>
      </c>
      <c r="AJ1163" s="72">
        <v>0.985029940119761</v>
      </c>
      <c r="AK1163" s="72">
        <v>0.988523573200993</v>
      </c>
      <c r="AL1163" s="72">
        <v>0.987904269081501</v>
      </c>
      <c r="AM1163" s="71">
        <v>0.99</v>
      </c>
      <c r="AN1163" s="76">
        <v>1</v>
      </c>
      <c r="AO1163" s="76">
        <v>1</v>
      </c>
      <c r="AP1163" s="76">
        <v>1</v>
      </c>
      <c r="AQ1163" s="76">
        <v>1</v>
      </c>
      <c r="AR1163" s="96">
        <v>0.0721861525408278</v>
      </c>
      <c r="AS1163" s="80">
        <v>0</v>
      </c>
      <c r="AT1163" s="80">
        <v>0</v>
      </c>
      <c r="AU1163" s="80">
        <v>0</v>
      </c>
      <c r="AV1163" s="80">
        <v>0.0245901639344262</v>
      </c>
      <c r="AW1163" s="36"/>
      <c r="AX1163" s="34"/>
    </row>
    <row r="1164" ht="14.5" spans="1:50">
      <c r="A1164" s="32"/>
      <c r="B1164" s="36"/>
      <c r="C1164" s="91" t="s">
        <v>1105</v>
      </c>
      <c r="D1164" s="69" t="s">
        <v>25</v>
      </c>
      <c r="E1164" s="129" t="s">
        <v>1213</v>
      </c>
      <c r="F1164" s="129" t="s">
        <v>1213</v>
      </c>
      <c r="G1164" s="129" t="s">
        <v>1213</v>
      </c>
      <c r="H1164" s="129" t="s">
        <v>1213</v>
      </c>
      <c r="I1164" s="71">
        <v>0.9</v>
      </c>
      <c r="J1164" s="72">
        <v>1</v>
      </c>
      <c r="K1164" s="72">
        <v>0.916666666666667</v>
      </c>
      <c r="L1164" s="73">
        <v>0.974358974358974</v>
      </c>
      <c r="M1164" s="72">
        <v>0.952662721893491</v>
      </c>
      <c r="N1164" s="74">
        <v>0.9</v>
      </c>
      <c r="O1164" s="72">
        <v>0.877448937057107</v>
      </c>
      <c r="P1164" s="72">
        <v>0.987131367292225</v>
      </c>
      <c r="Q1164" s="72">
        <v>0.98963282937365</v>
      </c>
      <c r="R1164" s="72">
        <v>0.973393809033947</v>
      </c>
      <c r="S1164" s="74">
        <v>0.9</v>
      </c>
      <c r="T1164" s="72">
        <v>0.868278449353897</v>
      </c>
      <c r="U1164" s="72">
        <v>0.899195710455764</v>
      </c>
      <c r="V1164" s="72">
        <v>0.925701943844492</v>
      </c>
      <c r="W1164" s="72">
        <v>0.905078088469092</v>
      </c>
      <c r="X1164" s="74">
        <v>0.92</v>
      </c>
      <c r="Y1164" s="74">
        <v>0.898453261600538</v>
      </c>
      <c r="Z1164" s="74">
        <v>0.951190476190476</v>
      </c>
      <c r="AA1164" s="74">
        <v>0.966145833333333</v>
      </c>
      <c r="AB1164" s="74">
        <v>0.948999444135631</v>
      </c>
      <c r="AC1164" s="74">
        <v>0.92</v>
      </c>
      <c r="AD1164" s="72">
        <v>0.989233954451346</v>
      </c>
      <c r="AE1164" s="72">
        <v>0.992308315116185</v>
      </c>
      <c r="AF1164" s="72">
        <v>0.98794071619258</v>
      </c>
      <c r="AG1164" s="72">
        <v>0.986320259149011</v>
      </c>
      <c r="AH1164" s="74">
        <v>0.92</v>
      </c>
      <c r="AI1164" s="72">
        <v>0.920998455995883</v>
      </c>
      <c r="AJ1164" s="72">
        <v>0.964456981664316</v>
      </c>
      <c r="AK1164" s="72">
        <v>0.976110101272397</v>
      </c>
      <c r="AL1164" s="72">
        <v>0.96277145811789</v>
      </c>
      <c r="AM1164" s="71">
        <v>0.99</v>
      </c>
      <c r="AN1164" s="76">
        <v>1</v>
      </c>
      <c r="AO1164" s="76">
        <v>1</v>
      </c>
      <c r="AP1164" s="76">
        <v>1</v>
      </c>
      <c r="AQ1164" s="76">
        <v>1</v>
      </c>
      <c r="AR1164" s="96">
        <v>0.0721861525408278</v>
      </c>
      <c r="AS1164" s="80">
        <v>0</v>
      </c>
      <c r="AT1164" s="80">
        <v>0</v>
      </c>
      <c r="AU1164" s="80">
        <v>0.347826086956522</v>
      </c>
      <c r="AV1164" s="80">
        <v>0.0895522388059701</v>
      </c>
      <c r="AW1164" s="36"/>
      <c r="AX1164" s="34"/>
    </row>
    <row r="1165" ht="14.5" spans="1:50">
      <c r="A1165" s="32"/>
      <c r="B1165" s="36"/>
      <c r="C1165" s="91" t="s">
        <v>1105</v>
      </c>
      <c r="D1165" s="69" t="s">
        <v>25</v>
      </c>
      <c r="E1165" s="129" t="s">
        <v>1214</v>
      </c>
      <c r="F1165" s="129" t="s">
        <v>1214</v>
      </c>
      <c r="G1165" s="129" t="s">
        <v>1214</v>
      </c>
      <c r="H1165" s="129" t="s">
        <v>1214</v>
      </c>
      <c r="I1165" s="71">
        <v>0.9</v>
      </c>
      <c r="J1165" s="72">
        <v>0.974358974358974</v>
      </c>
      <c r="K1165" s="72">
        <v>0.936170212765957</v>
      </c>
      <c r="L1165" s="73">
        <v>1</v>
      </c>
      <c r="M1165" s="72">
        <v>0.99</v>
      </c>
      <c r="N1165" s="74">
        <v>0.9</v>
      </c>
      <c r="O1165" s="72">
        <v>0.795889237796175</v>
      </c>
      <c r="P1165" s="72">
        <v>0.920405774483028</v>
      </c>
      <c r="Q1165" s="72">
        <v>0.907401857956248</v>
      </c>
      <c r="R1165" s="72">
        <v>0.868617537750695</v>
      </c>
      <c r="S1165" s="74">
        <v>0.9</v>
      </c>
      <c r="T1165" s="72">
        <v>0.884955752212389</v>
      </c>
      <c r="U1165" s="72">
        <v>0.96332422941865</v>
      </c>
      <c r="V1165" s="72">
        <v>0.906203176505844</v>
      </c>
      <c r="W1165" s="72">
        <v>0.909900559145545</v>
      </c>
      <c r="X1165" s="74">
        <v>0.92</v>
      </c>
      <c r="Y1165" s="74">
        <v>0.907185628742515</v>
      </c>
      <c r="Z1165" s="74">
        <v>0.945945945945946</v>
      </c>
      <c r="AA1165" s="74">
        <v>0.953351206434316</v>
      </c>
      <c r="AB1165" s="74">
        <v>0.931853756708408</v>
      </c>
      <c r="AC1165" s="74">
        <v>0.92</v>
      </c>
      <c r="AD1165" s="72">
        <v>0.99165022013056</v>
      </c>
      <c r="AE1165" s="72">
        <v>0.991916247018288</v>
      </c>
      <c r="AF1165" s="72">
        <v>0.994604316546763</v>
      </c>
      <c r="AG1165" s="72">
        <v>0.993107198495047</v>
      </c>
      <c r="AH1165" s="74">
        <v>0.92</v>
      </c>
      <c r="AI1165" s="72">
        <v>0.928649237472767</v>
      </c>
      <c r="AJ1165" s="72">
        <v>0.965672251736821</v>
      </c>
      <c r="AK1165" s="72">
        <v>0.971939265808188</v>
      </c>
      <c r="AL1165" s="72">
        <v>0.953601340033501</v>
      </c>
      <c r="AM1165" s="71">
        <v>0.99</v>
      </c>
      <c r="AN1165" s="76">
        <v>1</v>
      </c>
      <c r="AO1165" s="76">
        <v>1</v>
      </c>
      <c r="AP1165" s="76">
        <v>1</v>
      </c>
      <c r="AQ1165" s="76">
        <v>1</v>
      </c>
      <c r="AR1165" s="96">
        <v>0.0721861525408278</v>
      </c>
      <c r="AS1165" s="80">
        <v>0.166666666666667</v>
      </c>
      <c r="AT1165" s="80">
        <v>0.0555555555555556</v>
      </c>
      <c r="AU1165" s="80">
        <v>0.125</v>
      </c>
      <c r="AV1165" s="80">
        <v>0.0661157024793388</v>
      </c>
      <c r="AW1165" s="36"/>
      <c r="AX1165" s="34"/>
    </row>
    <row r="1166" ht="14.5" spans="1:50">
      <c r="A1166" s="32"/>
      <c r="B1166" s="36"/>
      <c r="C1166" s="91" t="s">
        <v>1105</v>
      </c>
      <c r="D1166" s="69" t="s">
        <v>25</v>
      </c>
      <c r="E1166" s="129" t="s">
        <v>1215</v>
      </c>
      <c r="F1166" s="129" t="s">
        <v>1215</v>
      </c>
      <c r="G1166" s="129" t="s">
        <v>1215</v>
      </c>
      <c r="H1166" s="129" t="s">
        <v>1215</v>
      </c>
      <c r="I1166" s="71">
        <v>0.9</v>
      </c>
      <c r="J1166" s="72">
        <v>0.846153846153846</v>
      </c>
      <c r="K1166" s="72">
        <v>0.821428571428571</v>
      </c>
      <c r="L1166" s="73">
        <v>0.96969696969697</v>
      </c>
      <c r="M1166" s="72">
        <v>0.890977443609023</v>
      </c>
      <c r="N1166" s="74">
        <v>0.9</v>
      </c>
      <c r="O1166" s="72">
        <v>0.961120640365923</v>
      </c>
      <c r="P1166" s="72">
        <v>0.978601997146933</v>
      </c>
      <c r="Q1166" s="72">
        <v>0.978274363749224</v>
      </c>
      <c r="R1166" s="72">
        <v>0.965989576373112</v>
      </c>
      <c r="S1166" s="74">
        <v>0.9</v>
      </c>
      <c r="T1166" s="72">
        <v>0.867924528301887</v>
      </c>
      <c r="U1166" s="72">
        <v>0.926533523537803</v>
      </c>
      <c r="V1166" s="72">
        <v>0.937926753569212</v>
      </c>
      <c r="W1166" s="72">
        <v>0.912000534544969</v>
      </c>
      <c r="X1166" s="74">
        <v>0.92</v>
      </c>
      <c r="Y1166" s="74">
        <v>0.889464594127807</v>
      </c>
      <c r="Z1166" s="74">
        <v>0.94935691318328</v>
      </c>
      <c r="AA1166" s="74">
        <v>0.945487042001787</v>
      </c>
      <c r="AB1166" s="74">
        <v>0.944839857651246</v>
      </c>
      <c r="AC1166" s="74">
        <v>0.92</v>
      </c>
      <c r="AD1166" s="72">
        <v>0.991627229705133</v>
      </c>
      <c r="AE1166" s="72">
        <v>0.992995200415099</v>
      </c>
      <c r="AF1166" s="72">
        <v>0.992508833922262</v>
      </c>
      <c r="AG1166" s="72">
        <v>0.912971806109766</v>
      </c>
      <c r="AH1166" s="74">
        <v>0.92</v>
      </c>
      <c r="AI1166" s="72">
        <v>0.912280701754386</v>
      </c>
      <c r="AJ1166" s="72">
        <v>0.95880574452003</v>
      </c>
      <c r="AK1166" s="72">
        <v>0.965934065934066</v>
      </c>
      <c r="AL1166" s="72">
        <v>0.959525851984715</v>
      </c>
      <c r="AM1166" s="71">
        <v>0.99</v>
      </c>
      <c r="AN1166" s="76">
        <v>1</v>
      </c>
      <c r="AO1166" s="76">
        <v>1</v>
      </c>
      <c r="AP1166" s="76">
        <v>1</v>
      </c>
      <c r="AQ1166" s="76">
        <v>1</v>
      </c>
      <c r="AR1166" s="96">
        <v>0.0721861525408278</v>
      </c>
      <c r="AS1166" s="80">
        <v>0.0526315789473684</v>
      </c>
      <c r="AT1166" s="80">
        <v>0.153846153846154</v>
      </c>
      <c r="AU1166" s="80">
        <v>0</v>
      </c>
      <c r="AV1166" s="80">
        <v>0.0493273542600897</v>
      </c>
      <c r="AW1166" s="36"/>
      <c r="AX1166" s="34"/>
    </row>
    <row r="1167" ht="14.5" spans="1:50">
      <c r="A1167" s="32"/>
      <c r="B1167" s="36"/>
      <c r="C1167" s="91" t="s">
        <v>1105</v>
      </c>
      <c r="D1167" s="69" t="s">
        <v>25</v>
      </c>
      <c r="E1167" s="129" t="s">
        <v>1216</v>
      </c>
      <c r="F1167" s="129" t="s">
        <v>1216</v>
      </c>
      <c r="G1167" s="129" t="s">
        <v>1216</v>
      </c>
      <c r="H1167" s="129" t="s">
        <v>1216</v>
      </c>
      <c r="I1167" s="71">
        <v>0.9</v>
      </c>
      <c r="J1167" s="72">
        <v>0.945945945945946</v>
      </c>
      <c r="K1167" s="72">
        <v>0.974358974358974</v>
      </c>
      <c r="L1167" s="73">
        <v>0.948717948717949</v>
      </c>
      <c r="M1167" s="72">
        <v>0.942249240121581</v>
      </c>
      <c r="N1167" s="74">
        <v>0.9</v>
      </c>
      <c r="O1167" s="72">
        <v>0.983932346723044</v>
      </c>
      <c r="P1167" s="72">
        <v>0.997245179063361</v>
      </c>
      <c r="Q1167" s="72">
        <v>0.990191499299393</v>
      </c>
      <c r="R1167" s="72">
        <v>0.990831918505942</v>
      </c>
      <c r="S1167" s="74">
        <v>0.9</v>
      </c>
      <c r="T1167" s="72">
        <v>0.944186046511628</v>
      </c>
      <c r="U1167" s="72">
        <v>0.953719008264463</v>
      </c>
      <c r="V1167" s="72">
        <v>0.944418496029893</v>
      </c>
      <c r="W1167" s="72">
        <v>0.944069852049479</v>
      </c>
      <c r="X1167" s="74">
        <v>0.92</v>
      </c>
      <c r="Y1167" s="74">
        <v>0.935567010309278</v>
      </c>
      <c r="Z1167" s="74">
        <v>0.975662520281233</v>
      </c>
      <c r="AA1167" s="74">
        <v>0.969736842105263</v>
      </c>
      <c r="AB1167" s="74">
        <v>0.963307206769786</v>
      </c>
      <c r="AC1167" s="74">
        <v>0.92</v>
      </c>
      <c r="AD1167" s="72">
        <v>0.998635211542211</v>
      </c>
      <c r="AE1167" s="72">
        <v>0.994593695417117</v>
      </c>
      <c r="AF1167" s="72">
        <v>0.995445488186735</v>
      </c>
      <c r="AG1167" s="72">
        <v>0.990265333256258</v>
      </c>
      <c r="AH1167" s="74">
        <v>0.92</v>
      </c>
      <c r="AI1167" s="72">
        <v>0.957620628031657</v>
      </c>
      <c r="AJ1167" s="72">
        <v>0.983078602620087</v>
      </c>
      <c r="AK1167" s="72">
        <v>0.980606391696258</v>
      </c>
      <c r="AL1167" s="72">
        <v>0.976738876045324</v>
      </c>
      <c r="AM1167" s="71">
        <v>0.99</v>
      </c>
      <c r="AN1167" s="76">
        <v>1</v>
      </c>
      <c r="AO1167" s="76">
        <v>1</v>
      </c>
      <c r="AP1167" s="76">
        <v>1</v>
      </c>
      <c r="AQ1167" s="76">
        <v>1</v>
      </c>
      <c r="AR1167" s="96">
        <v>0.0721861525408278</v>
      </c>
      <c r="AS1167" s="80">
        <v>0</v>
      </c>
      <c r="AT1167" s="80">
        <v>0</v>
      </c>
      <c r="AU1167" s="80">
        <v>0.0833333333333333</v>
      </c>
      <c r="AV1167" s="80">
        <v>0.0294117647058824</v>
      </c>
      <c r="AW1167" s="36"/>
      <c r="AX1167" s="34"/>
    </row>
    <row r="1168" ht="14.5" spans="1:50">
      <c r="A1168" s="32"/>
      <c r="B1168" s="36"/>
      <c r="C1168" s="91" t="s">
        <v>1105</v>
      </c>
      <c r="D1168" s="69" t="s">
        <v>25</v>
      </c>
      <c r="E1168" s="129" t="s">
        <v>1217</v>
      </c>
      <c r="F1168" s="129" t="s">
        <v>1217</v>
      </c>
      <c r="G1168" s="129" t="s">
        <v>1217</v>
      </c>
      <c r="H1168" s="129" t="s">
        <v>1217</v>
      </c>
      <c r="I1168" s="71">
        <v>0.9</v>
      </c>
      <c r="J1168" s="72">
        <v>0.903225806451613</v>
      </c>
      <c r="K1168" s="72">
        <v>0.84375</v>
      </c>
      <c r="L1168" s="73">
        <v>0.848484848484849</v>
      </c>
      <c r="M1168" s="72">
        <v>0.882352941176471</v>
      </c>
      <c r="N1168" s="74">
        <v>0.9</v>
      </c>
      <c r="O1168" s="72">
        <v>0.96304718590108</v>
      </c>
      <c r="P1168" s="72">
        <v>0.976372924648787</v>
      </c>
      <c r="Q1168" s="72">
        <v>0.985428051001822</v>
      </c>
      <c r="R1168" s="72">
        <v>0.975961235919703</v>
      </c>
      <c r="S1168" s="74">
        <v>0.9</v>
      </c>
      <c r="T1168" s="72">
        <v>0.877771461057419</v>
      </c>
      <c r="U1168" s="72">
        <v>0.931673052362708</v>
      </c>
      <c r="V1168" s="72">
        <v>0.927747419550698</v>
      </c>
      <c r="W1168" s="72">
        <v>0.915738468315399</v>
      </c>
      <c r="X1168" s="74">
        <v>0.92</v>
      </c>
      <c r="Y1168" s="74">
        <v>0.886086248982913</v>
      </c>
      <c r="Z1168" s="74">
        <v>0.959298245614035</v>
      </c>
      <c r="AA1168" s="74">
        <v>0.959276018099548</v>
      </c>
      <c r="AB1168" s="74">
        <v>0.944491814461119</v>
      </c>
      <c r="AC1168" s="74">
        <v>0.92</v>
      </c>
      <c r="AD1168" s="72">
        <v>0.998090874379534</v>
      </c>
      <c r="AE1168" s="72">
        <v>0.993421052631579</v>
      </c>
      <c r="AF1168" s="72">
        <v>0.997321428571429</v>
      </c>
      <c r="AG1168" s="72">
        <v>0.991783405172414</v>
      </c>
      <c r="AH1168" s="74">
        <v>0.92</v>
      </c>
      <c r="AI1168" s="72">
        <v>0.899966543994647</v>
      </c>
      <c r="AJ1168" s="72">
        <v>0.968582887700535</v>
      </c>
      <c r="AK1168" s="72">
        <v>0.972082071981164</v>
      </c>
      <c r="AL1168" s="72">
        <v>0.95677202128815</v>
      </c>
      <c r="AM1168" s="71">
        <v>0.99</v>
      </c>
      <c r="AN1168" s="76">
        <v>1</v>
      </c>
      <c r="AO1168" s="76">
        <v>1</v>
      </c>
      <c r="AP1168" s="76">
        <v>1</v>
      </c>
      <c r="AQ1168" s="76">
        <v>0.999203187250996</v>
      </c>
      <c r="AR1168" s="96">
        <v>0.0721861525408278</v>
      </c>
      <c r="AS1168" s="80">
        <v>0.0769230769230769</v>
      </c>
      <c r="AT1168" s="80">
        <v>0</v>
      </c>
      <c r="AU1168" s="80">
        <v>0</v>
      </c>
      <c r="AV1168" s="80">
        <v>0.0196078431372549</v>
      </c>
      <c r="AW1168" s="36"/>
      <c r="AX1168" s="34"/>
    </row>
    <row r="1169" ht="14.5" spans="1:50">
      <c r="A1169" s="32"/>
      <c r="B1169" s="36"/>
      <c r="C1169" s="91" t="s">
        <v>1105</v>
      </c>
      <c r="D1169" s="69" t="s">
        <v>25</v>
      </c>
      <c r="E1169" s="129" t="s">
        <v>1218</v>
      </c>
      <c r="F1169" s="129" t="s">
        <v>1218</v>
      </c>
      <c r="G1169" s="129" t="s">
        <v>1218</v>
      </c>
      <c r="H1169" s="129" t="s">
        <v>1218</v>
      </c>
      <c r="I1169" s="71">
        <v>0.9</v>
      </c>
      <c r="J1169" s="72">
        <v>0.923076923076923</v>
      </c>
      <c r="K1169" s="72">
        <v>0.905660377358491</v>
      </c>
      <c r="L1169" s="73">
        <v>0.924528301886792</v>
      </c>
      <c r="M1169" s="72">
        <v>0.939461883408072</v>
      </c>
      <c r="N1169" s="74">
        <v>0.9</v>
      </c>
      <c r="O1169" s="72">
        <v>0.984861976847729</v>
      </c>
      <c r="P1169" s="72">
        <v>0.990747087045922</v>
      </c>
      <c r="Q1169" s="72">
        <v>0.98589701541489</v>
      </c>
      <c r="R1169" s="72">
        <v>0.97814002660028</v>
      </c>
      <c r="S1169" s="74">
        <v>0.9</v>
      </c>
      <c r="T1169" s="72">
        <v>0.957850994360344</v>
      </c>
      <c r="U1169" s="72">
        <v>0.955791638108293</v>
      </c>
      <c r="V1169" s="72">
        <v>0.946539849130863</v>
      </c>
      <c r="W1169" s="72">
        <v>0.940763223408246</v>
      </c>
      <c r="X1169" s="74">
        <v>0.92</v>
      </c>
      <c r="Y1169" s="74">
        <v>0.949653579676674</v>
      </c>
      <c r="Z1169" s="74">
        <v>0.964206805125939</v>
      </c>
      <c r="AA1169" s="74">
        <v>0.962638376383764</v>
      </c>
      <c r="AB1169" s="74">
        <v>0.95976232669655</v>
      </c>
      <c r="AC1169" s="74">
        <v>0.92</v>
      </c>
      <c r="AD1169" s="72">
        <v>0.987921246527358</v>
      </c>
      <c r="AE1169" s="72">
        <v>0.993663688058489</v>
      </c>
      <c r="AF1169" s="72">
        <v>0.995064629847239</v>
      </c>
      <c r="AG1169" s="72">
        <v>0.994522477405219</v>
      </c>
      <c r="AH1169" s="74">
        <v>0.92</v>
      </c>
      <c r="AI1169" s="72">
        <v>0.967304913294798</v>
      </c>
      <c r="AJ1169" s="72">
        <v>0.974151234567901</v>
      </c>
      <c r="AK1169" s="72">
        <v>0.978152548869299</v>
      </c>
      <c r="AL1169" s="72">
        <v>0.973804076753437</v>
      </c>
      <c r="AM1169" s="71">
        <v>0.99</v>
      </c>
      <c r="AN1169" s="76">
        <v>1</v>
      </c>
      <c r="AO1169" s="76">
        <v>1</v>
      </c>
      <c r="AP1169" s="76">
        <v>1</v>
      </c>
      <c r="AQ1169" s="76">
        <v>1</v>
      </c>
      <c r="AR1169" s="96">
        <v>0.0721861525408278</v>
      </c>
      <c r="AS1169" s="80">
        <v>0</v>
      </c>
      <c r="AT1169" s="80">
        <v>0.0625</v>
      </c>
      <c r="AU1169" s="80">
        <v>0</v>
      </c>
      <c r="AV1169" s="80">
        <v>0.0470588235294118</v>
      </c>
      <c r="AW1169" s="36"/>
      <c r="AX1169" s="34"/>
    </row>
    <row r="1170" ht="14.5" spans="1:50">
      <c r="A1170" s="32"/>
      <c r="B1170" s="36"/>
      <c r="C1170" s="91" t="s">
        <v>1105</v>
      </c>
      <c r="D1170" s="69" t="s">
        <v>25</v>
      </c>
      <c r="E1170" s="129" t="s">
        <v>1219</v>
      </c>
      <c r="F1170" s="129" t="s">
        <v>1219</v>
      </c>
      <c r="G1170" s="129" t="s">
        <v>1219</v>
      </c>
      <c r="H1170" s="129" t="s">
        <v>1219</v>
      </c>
      <c r="I1170" s="71">
        <v>0.9</v>
      </c>
      <c r="J1170" s="72">
        <v>1</v>
      </c>
      <c r="K1170" s="72">
        <v>1</v>
      </c>
      <c r="L1170" s="73">
        <v>0.916666666666667</v>
      </c>
      <c r="M1170" s="72">
        <v>0.962145110410095</v>
      </c>
      <c r="N1170" s="74">
        <v>0.9</v>
      </c>
      <c r="O1170" s="72">
        <v>0.969615728328865</v>
      </c>
      <c r="P1170" s="72">
        <v>0.982558139534884</v>
      </c>
      <c r="Q1170" s="72">
        <v>0.983543078412391</v>
      </c>
      <c r="R1170" s="72">
        <v>0.931475864905156</v>
      </c>
      <c r="S1170" s="74">
        <v>0.9</v>
      </c>
      <c r="T1170" s="72">
        <v>0.882931188561215</v>
      </c>
      <c r="U1170" s="72">
        <v>0.928488372093023</v>
      </c>
      <c r="V1170" s="72">
        <v>0.908518877057115</v>
      </c>
      <c r="W1170" s="72">
        <v>0.919755307664628</v>
      </c>
      <c r="X1170" s="74">
        <v>0.92</v>
      </c>
      <c r="Y1170" s="74">
        <v>0.939942112879884</v>
      </c>
      <c r="Z1170" s="74">
        <v>0.946704067321178</v>
      </c>
      <c r="AA1170" s="74">
        <v>0.966398831263696</v>
      </c>
      <c r="AB1170" s="74">
        <v>0.9490354846392</v>
      </c>
      <c r="AC1170" s="74">
        <v>0.92</v>
      </c>
      <c r="AD1170" s="72">
        <v>0.980206300529691</v>
      </c>
      <c r="AE1170" s="72">
        <v>0.989902447372925</v>
      </c>
      <c r="AF1170" s="72">
        <v>0.987861189127434</v>
      </c>
      <c r="AG1170" s="72">
        <v>0.952483420606185</v>
      </c>
      <c r="AH1170" s="74">
        <v>0.92</v>
      </c>
      <c r="AI1170" s="72">
        <v>0.949779249448124</v>
      </c>
      <c r="AJ1170" s="72">
        <v>0.9631277813096</v>
      </c>
      <c r="AK1170" s="72">
        <v>0.976432935699738</v>
      </c>
      <c r="AL1170" s="72">
        <v>0.96687874251497</v>
      </c>
      <c r="AM1170" s="71">
        <v>0.99</v>
      </c>
      <c r="AN1170" s="76">
        <v>1</v>
      </c>
      <c r="AO1170" s="76">
        <v>1</v>
      </c>
      <c r="AP1170" s="76">
        <v>1</v>
      </c>
      <c r="AQ1170" s="76">
        <v>1</v>
      </c>
      <c r="AR1170" s="96">
        <v>0.0721861525408278</v>
      </c>
      <c r="AS1170" s="80">
        <v>0</v>
      </c>
      <c r="AT1170" s="80">
        <v>0.0666666666666667</v>
      </c>
      <c r="AU1170" s="80">
        <v>0</v>
      </c>
      <c r="AV1170" s="80">
        <v>0.0263157894736842</v>
      </c>
      <c r="AW1170" s="36"/>
      <c r="AX1170" s="34"/>
    </row>
    <row r="1171" ht="14.5" spans="1:50">
      <c r="A1171" s="32"/>
      <c r="B1171" s="36"/>
      <c r="C1171" s="91" t="s">
        <v>1105</v>
      </c>
      <c r="D1171" s="69" t="s">
        <v>25</v>
      </c>
      <c r="E1171" s="129" t="s">
        <v>1220</v>
      </c>
      <c r="F1171" s="129" t="s">
        <v>1220</v>
      </c>
      <c r="G1171" s="129" t="s">
        <v>1220</v>
      </c>
      <c r="H1171" s="129" t="s">
        <v>1220</v>
      </c>
      <c r="I1171" s="71">
        <v>0.9</v>
      </c>
      <c r="J1171" s="72">
        <v>0.883720930232558</v>
      </c>
      <c r="K1171" s="72">
        <v>0.936170212765957</v>
      </c>
      <c r="L1171" s="73">
        <v>0.96</v>
      </c>
      <c r="M1171" s="72">
        <v>0.931818181818182</v>
      </c>
      <c r="N1171" s="74">
        <v>0.9</v>
      </c>
      <c r="O1171" s="72">
        <v>0.964167219641672</v>
      </c>
      <c r="P1171" s="72">
        <v>0.975011358473421</v>
      </c>
      <c r="Q1171" s="72">
        <v>0.9675505931612</v>
      </c>
      <c r="R1171" s="72">
        <v>0.966549499787555</v>
      </c>
      <c r="S1171" s="74">
        <v>0.9</v>
      </c>
      <c r="T1171" s="72">
        <v>0.916390179163902</v>
      </c>
      <c r="U1171" s="72">
        <v>0.953203089504771</v>
      </c>
      <c r="V1171" s="72">
        <v>0.941381716678297</v>
      </c>
      <c r="W1171" s="72">
        <v>0.943644018695199</v>
      </c>
      <c r="X1171" s="74">
        <v>0.92</v>
      </c>
      <c r="Y1171" s="74">
        <v>0.923650975889782</v>
      </c>
      <c r="Z1171" s="74">
        <v>0.951241534988713</v>
      </c>
      <c r="AA1171" s="74">
        <v>0.942668136714443</v>
      </c>
      <c r="AB1171" s="74">
        <v>0.950028785261946</v>
      </c>
      <c r="AC1171" s="74">
        <v>0.92</v>
      </c>
      <c r="AD1171" s="72">
        <v>0.995096436744034</v>
      </c>
      <c r="AE1171" s="72">
        <v>0.989904264577894</v>
      </c>
      <c r="AF1171" s="72">
        <v>0.992889908256881</v>
      </c>
      <c r="AG1171" s="72">
        <v>0.923442202652993</v>
      </c>
      <c r="AH1171" s="74">
        <v>0.92</v>
      </c>
      <c r="AI1171" s="72">
        <v>0.942400672692874</v>
      </c>
      <c r="AJ1171" s="72">
        <v>0.964221014492754</v>
      </c>
      <c r="AK1171" s="72">
        <v>0.965819269386883</v>
      </c>
      <c r="AL1171" s="72">
        <v>0.96858747659663</v>
      </c>
      <c r="AM1171" s="71">
        <v>0.99</v>
      </c>
      <c r="AN1171" s="76">
        <v>1</v>
      </c>
      <c r="AO1171" s="76">
        <v>1</v>
      </c>
      <c r="AP1171" s="76">
        <v>1</v>
      </c>
      <c r="AQ1171" s="76">
        <v>1</v>
      </c>
      <c r="AR1171" s="96">
        <v>0.0721861525408278</v>
      </c>
      <c r="AS1171" s="80">
        <v>0</v>
      </c>
      <c r="AT1171" s="80">
        <v>0.0434782608695652</v>
      </c>
      <c r="AU1171" s="80">
        <v>0.0769230769230769</v>
      </c>
      <c r="AV1171" s="80">
        <v>0.0366492146596859</v>
      </c>
      <c r="AW1171" s="36"/>
      <c r="AX1171" s="34"/>
    </row>
    <row r="1172" ht="14.5" spans="1:50">
      <c r="A1172" s="32"/>
      <c r="B1172" s="36"/>
      <c r="C1172" s="91" t="s">
        <v>1105</v>
      </c>
      <c r="D1172" s="69" t="s">
        <v>25</v>
      </c>
      <c r="E1172" s="129" t="s">
        <v>1221</v>
      </c>
      <c r="F1172" s="129" t="s">
        <v>1221</v>
      </c>
      <c r="G1172" s="129" t="s">
        <v>1221</v>
      </c>
      <c r="H1172" s="129" t="s">
        <v>1221</v>
      </c>
      <c r="I1172" s="71">
        <v>0.9</v>
      </c>
      <c r="J1172" s="72">
        <v>0</v>
      </c>
      <c r="K1172" s="72">
        <v>0</v>
      </c>
      <c r="L1172" s="73">
        <v>0</v>
      </c>
      <c r="M1172" s="72">
        <v>0</v>
      </c>
      <c r="N1172" s="74">
        <v>0.9</v>
      </c>
      <c r="O1172" s="72">
        <v>0</v>
      </c>
      <c r="P1172" s="72">
        <v>0</v>
      </c>
      <c r="Q1172" s="72">
        <v>0</v>
      </c>
      <c r="R1172" s="72">
        <v>0</v>
      </c>
      <c r="S1172" s="74">
        <v>0.9</v>
      </c>
      <c r="T1172" s="72">
        <v>0</v>
      </c>
      <c r="U1172" s="72">
        <v>1</v>
      </c>
      <c r="V1172" s="72">
        <v>1</v>
      </c>
      <c r="W1172" s="72">
        <v>1</v>
      </c>
      <c r="X1172" s="74">
        <v>0.92</v>
      </c>
      <c r="Y1172" s="74">
        <v>1</v>
      </c>
      <c r="Z1172" s="74">
        <v>0</v>
      </c>
      <c r="AA1172" s="74">
        <v>1</v>
      </c>
      <c r="AB1172" s="74">
        <v>1</v>
      </c>
      <c r="AC1172" s="74">
        <v>0.92</v>
      </c>
      <c r="AD1172" s="72">
        <v>0.999214454045562</v>
      </c>
      <c r="AE1172" s="72">
        <v>0.998363785110445</v>
      </c>
      <c r="AF1172" s="72">
        <v>0.993625725430501</v>
      </c>
      <c r="AG1172" s="72">
        <v>0.97767567361173</v>
      </c>
      <c r="AH1172" s="74">
        <v>0.92</v>
      </c>
      <c r="AI1172" s="72">
        <v>1</v>
      </c>
      <c r="AJ1172" s="72">
        <v>1</v>
      </c>
      <c r="AK1172" s="72">
        <v>1</v>
      </c>
      <c r="AL1172" s="72">
        <v>1</v>
      </c>
      <c r="AM1172" s="71">
        <v>0.99</v>
      </c>
      <c r="AN1172" s="76">
        <v>1</v>
      </c>
      <c r="AO1172" s="76">
        <v>1</v>
      </c>
      <c r="AP1172" s="76">
        <v>1</v>
      </c>
      <c r="AQ1172" s="76">
        <v>1</v>
      </c>
      <c r="AR1172" s="96">
        <v>0.0721861525408278</v>
      </c>
      <c r="AS1172" s="80">
        <v>0</v>
      </c>
      <c r="AT1172" s="80">
        <v>0</v>
      </c>
      <c r="AU1172" s="80">
        <v>0</v>
      </c>
      <c r="AV1172" s="80">
        <v>0</v>
      </c>
      <c r="AW1172" s="36"/>
      <c r="AX1172" s="34"/>
    </row>
    <row r="1173" ht="14.5" spans="1:50">
      <c r="A1173" s="32"/>
      <c r="B1173" s="36"/>
      <c r="C1173" s="91" t="s">
        <v>1105</v>
      </c>
      <c r="D1173" s="69" t="s">
        <v>25</v>
      </c>
      <c r="E1173" s="129" t="s">
        <v>1222</v>
      </c>
      <c r="F1173" s="129" t="s">
        <v>1222</v>
      </c>
      <c r="G1173" s="129" t="s">
        <v>1222</v>
      </c>
      <c r="H1173" s="129" t="s">
        <v>1222</v>
      </c>
      <c r="I1173" s="71">
        <v>0.9</v>
      </c>
      <c r="J1173" s="72">
        <v>0.955555555555556</v>
      </c>
      <c r="K1173" s="72">
        <v>0.938775510204082</v>
      </c>
      <c r="L1173" s="73">
        <v>0.833333333333333</v>
      </c>
      <c r="M1173" s="72">
        <v>0.927230046948357</v>
      </c>
      <c r="N1173" s="74">
        <v>0.9</v>
      </c>
      <c r="O1173" s="72">
        <v>0.955045278137128</v>
      </c>
      <c r="P1173" s="72">
        <v>0.965592334494774</v>
      </c>
      <c r="Q1173" s="72">
        <v>0.971239797901283</v>
      </c>
      <c r="R1173" s="72">
        <v>0.96034666012591</v>
      </c>
      <c r="S1173" s="74">
        <v>0.9</v>
      </c>
      <c r="T1173" s="72">
        <v>0.88745148771022</v>
      </c>
      <c r="U1173" s="72">
        <v>0.925522648083624</v>
      </c>
      <c r="V1173" s="72">
        <v>0.902059852312476</v>
      </c>
      <c r="W1173" s="72">
        <v>0.905199901888644</v>
      </c>
      <c r="X1173" s="74">
        <v>0.92</v>
      </c>
      <c r="Y1173" s="74">
        <v>0.940280316879951</v>
      </c>
      <c r="Z1173" s="74">
        <v>0.959885386819484</v>
      </c>
      <c r="AA1173" s="74">
        <v>0.968295904887715</v>
      </c>
      <c r="AB1173" s="74">
        <v>0.954099673093602</v>
      </c>
      <c r="AC1173" s="74">
        <v>0.92</v>
      </c>
      <c r="AD1173" s="72">
        <v>0.998811787072243</v>
      </c>
      <c r="AE1173" s="72">
        <v>0.997757847533632</v>
      </c>
      <c r="AF1173" s="72">
        <v>0.997289238275956</v>
      </c>
      <c r="AG1173" s="72">
        <v>0.998032868525896</v>
      </c>
      <c r="AH1173" s="74">
        <v>0.92</v>
      </c>
      <c r="AI1173" s="72">
        <v>0.962196409714889</v>
      </c>
      <c r="AJ1173" s="72">
        <v>0.972290945076695</v>
      </c>
      <c r="AK1173" s="72">
        <v>0.977000244678248</v>
      </c>
      <c r="AL1173" s="72">
        <v>0.973009275685539</v>
      </c>
      <c r="AM1173" s="71">
        <v>0.99</v>
      </c>
      <c r="AN1173" s="76">
        <v>1</v>
      </c>
      <c r="AO1173" s="76">
        <v>1</v>
      </c>
      <c r="AP1173" s="76">
        <v>1</v>
      </c>
      <c r="AQ1173" s="76">
        <v>1</v>
      </c>
      <c r="AR1173" s="96">
        <v>0.0721861525408278</v>
      </c>
      <c r="AS1173" s="80">
        <v>0</v>
      </c>
      <c r="AT1173" s="80">
        <v>0</v>
      </c>
      <c r="AU1173" s="80">
        <v>0</v>
      </c>
      <c r="AV1173" s="80">
        <v>0.0327868852459016</v>
      </c>
      <c r="AW1173" s="36"/>
      <c r="AX1173" s="34"/>
    </row>
    <row r="1174" ht="14.5" spans="1:50">
      <c r="A1174" s="32"/>
      <c r="B1174" s="36"/>
      <c r="C1174" s="91" t="s">
        <v>1105</v>
      </c>
      <c r="D1174" s="69" t="s">
        <v>25</v>
      </c>
      <c r="E1174" s="129" t="s">
        <v>1223</v>
      </c>
      <c r="F1174" s="129" t="s">
        <v>1223</v>
      </c>
      <c r="G1174" s="129" t="s">
        <v>1223</v>
      </c>
      <c r="H1174" s="129" t="s">
        <v>1223</v>
      </c>
      <c r="I1174" s="71">
        <v>0.9</v>
      </c>
      <c r="J1174" s="72">
        <v>0.921052631578947</v>
      </c>
      <c r="K1174" s="72">
        <v>0.977777777777778</v>
      </c>
      <c r="L1174" s="73">
        <v>0.979166666666667</v>
      </c>
      <c r="M1174" s="72">
        <v>0.958128078817734</v>
      </c>
      <c r="N1174" s="74">
        <v>0.9</v>
      </c>
      <c r="O1174" s="72">
        <v>0.977621483375959</v>
      </c>
      <c r="P1174" s="72">
        <v>0.973296133917896</v>
      </c>
      <c r="Q1174" s="72">
        <v>0.963098404255319</v>
      </c>
      <c r="R1174" s="72">
        <v>0.970983696647738</v>
      </c>
      <c r="S1174" s="74">
        <v>0.9</v>
      </c>
      <c r="T1174" s="72">
        <v>0.941815856777494</v>
      </c>
      <c r="U1174" s="72">
        <v>0.953766440813073</v>
      </c>
      <c r="V1174" s="72">
        <v>0.938497340425532</v>
      </c>
      <c r="W1174" s="72">
        <v>0.946949990840813</v>
      </c>
      <c r="X1174" s="74">
        <v>0.92</v>
      </c>
      <c r="Y1174" s="74">
        <v>0.938522558254834</v>
      </c>
      <c r="Z1174" s="74">
        <v>0.960555804571941</v>
      </c>
      <c r="AA1174" s="74">
        <v>0.95361380798274</v>
      </c>
      <c r="AB1174" s="74">
        <v>0.955325112107623</v>
      </c>
      <c r="AC1174" s="74">
        <v>0.92</v>
      </c>
      <c r="AD1174" s="72">
        <v>0.998900696225724</v>
      </c>
      <c r="AE1174" s="72">
        <v>0.995424088903416</v>
      </c>
      <c r="AF1174" s="72">
        <v>0.998312078019505</v>
      </c>
      <c r="AG1174" s="72">
        <v>0.992435954063604</v>
      </c>
      <c r="AH1174" s="74">
        <v>0.92</v>
      </c>
      <c r="AI1174" s="72">
        <v>0.962113852729745</v>
      </c>
      <c r="AJ1174" s="72">
        <v>0.975949367088608</v>
      </c>
      <c r="AK1174" s="72">
        <v>0.975735142915896</v>
      </c>
      <c r="AL1174" s="72">
        <v>0.974523704031901</v>
      </c>
      <c r="AM1174" s="71">
        <v>0.99</v>
      </c>
      <c r="AN1174" s="76">
        <v>1</v>
      </c>
      <c r="AO1174" s="76">
        <v>1</v>
      </c>
      <c r="AP1174" s="76">
        <v>1</v>
      </c>
      <c r="AQ1174" s="76">
        <v>1</v>
      </c>
      <c r="AR1174" s="96">
        <v>0.0721861525408278</v>
      </c>
      <c r="AS1174" s="80">
        <v>0</v>
      </c>
      <c r="AT1174" s="80">
        <v>0.0588235294117647</v>
      </c>
      <c r="AU1174" s="80">
        <v>0</v>
      </c>
      <c r="AV1174" s="80">
        <v>0.0579710144927536</v>
      </c>
      <c r="AW1174" s="36"/>
      <c r="AX1174" s="34"/>
    </row>
    <row r="1175" ht="14.5" spans="1:50">
      <c r="A1175" s="32"/>
      <c r="B1175" s="36"/>
      <c r="C1175" s="91" t="s">
        <v>1105</v>
      </c>
      <c r="D1175" s="69" t="s">
        <v>25</v>
      </c>
      <c r="E1175" s="129" t="s">
        <v>1224</v>
      </c>
      <c r="F1175" s="129" t="s">
        <v>1224</v>
      </c>
      <c r="G1175" s="129" t="s">
        <v>1224</v>
      </c>
      <c r="H1175" s="129" t="s">
        <v>1224</v>
      </c>
      <c r="I1175" s="71">
        <v>0.9</v>
      </c>
      <c r="J1175" s="72">
        <v>0.833333333333333</v>
      </c>
      <c r="K1175" s="72">
        <v>0.791666666666667</v>
      </c>
      <c r="L1175" s="73">
        <v>0.875</v>
      </c>
      <c r="M1175" s="72">
        <v>0.911627906976744</v>
      </c>
      <c r="N1175" s="74">
        <v>0.9</v>
      </c>
      <c r="O1175" s="72">
        <v>0.982675649663138</v>
      </c>
      <c r="P1175" s="72">
        <v>0.938562808557323</v>
      </c>
      <c r="Q1175" s="72">
        <v>0.989920424403183</v>
      </c>
      <c r="R1175" s="72">
        <v>0.983411667127454</v>
      </c>
      <c r="S1175" s="74">
        <v>0.9</v>
      </c>
      <c r="T1175" s="72">
        <v>0.938402309913378</v>
      </c>
      <c r="U1175" s="72">
        <v>0.956116291826659</v>
      </c>
      <c r="V1175" s="72">
        <v>0.953315649867374</v>
      </c>
      <c r="W1175" s="72">
        <v>0.941222007188278</v>
      </c>
      <c r="X1175" s="74">
        <v>0.92</v>
      </c>
      <c r="Y1175" s="74">
        <v>0.933977455716586</v>
      </c>
      <c r="Z1175" s="74">
        <v>0.972184531886024</v>
      </c>
      <c r="AA1175" s="74">
        <v>0.967661691542289</v>
      </c>
      <c r="AB1175" s="74">
        <v>0.965899255669032</v>
      </c>
      <c r="AC1175" s="74">
        <v>0.92</v>
      </c>
      <c r="AD1175" s="72">
        <v>0.998788813036776</v>
      </c>
      <c r="AE1175" s="72">
        <v>0.995680812007343</v>
      </c>
      <c r="AF1175" s="72">
        <v>0.99497956800934</v>
      </c>
      <c r="AG1175" s="72">
        <v>0.994999300601483</v>
      </c>
      <c r="AH1175" s="74">
        <v>0.92</v>
      </c>
      <c r="AI1175" s="72">
        <v>0.959036144578313</v>
      </c>
      <c r="AJ1175" s="72">
        <v>0.979375189566272</v>
      </c>
      <c r="AK1175" s="72">
        <v>0.981247979308115</v>
      </c>
      <c r="AL1175" s="72">
        <v>0.976992881962015</v>
      </c>
      <c r="AM1175" s="71">
        <v>0.99</v>
      </c>
      <c r="AN1175" s="76">
        <v>1</v>
      </c>
      <c r="AO1175" s="76">
        <v>1</v>
      </c>
      <c r="AP1175" s="76">
        <v>1</v>
      </c>
      <c r="AQ1175" s="76">
        <v>1</v>
      </c>
      <c r="AR1175" s="96">
        <v>0.0721861525408278</v>
      </c>
      <c r="AS1175" s="80">
        <v>0.0666666666666667</v>
      </c>
      <c r="AT1175" s="80">
        <v>0.0588235294117647</v>
      </c>
      <c r="AU1175" s="80">
        <v>0.0666666666666667</v>
      </c>
      <c r="AV1175" s="80">
        <v>0.0714285714285714</v>
      </c>
      <c r="AW1175" s="36"/>
      <c r="AX1175" s="34"/>
    </row>
    <row r="1176" ht="14.5" spans="1:50">
      <c r="A1176" s="32"/>
      <c r="B1176" s="36"/>
      <c r="C1176" s="91" t="s">
        <v>1105</v>
      </c>
      <c r="D1176" s="69" t="s">
        <v>25</v>
      </c>
      <c r="E1176" s="129" t="s">
        <v>1225</v>
      </c>
      <c r="F1176" s="129" t="s">
        <v>1225</v>
      </c>
      <c r="G1176" s="129" t="s">
        <v>1225</v>
      </c>
      <c r="H1176" s="129" t="s">
        <v>1225</v>
      </c>
      <c r="I1176" s="71">
        <v>0.9</v>
      </c>
      <c r="J1176" s="72">
        <v>0.951219512195122</v>
      </c>
      <c r="K1176" s="72">
        <v>0.926829268292683</v>
      </c>
      <c r="L1176" s="73">
        <v>0.888888888888889</v>
      </c>
      <c r="M1176" s="72">
        <v>0.927680798004987</v>
      </c>
      <c r="N1176" s="74">
        <v>0.9</v>
      </c>
      <c r="O1176" s="72">
        <v>0.901611535199321</v>
      </c>
      <c r="P1176" s="72">
        <v>0.937435897435897</v>
      </c>
      <c r="Q1176" s="72">
        <v>0.964644925327644</v>
      </c>
      <c r="R1176" s="72">
        <v>0.95281212475254</v>
      </c>
      <c r="S1176" s="74">
        <v>0.9</v>
      </c>
      <c r="T1176" s="72">
        <v>0.862029968900198</v>
      </c>
      <c r="U1176" s="72">
        <v>0.911794871794872</v>
      </c>
      <c r="V1176" s="72">
        <v>0.924108503505029</v>
      </c>
      <c r="W1176" s="72">
        <v>0.911498393535196</v>
      </c>
      <c r="X1176" s="74">
        <v>0.92</v>
      </c>
      <c r="Y1176" s="74">
        <v>0.915689810640216</v>
      </c>
      <c r="Z1176" s="74">
        <v>0.947874899759423</v>
      </c>
      <c r="AA1176" s="74">
        <v>0.954132410212029</v>
      </c>
      <c r="AB1176" s="74">
        <v>0.95223621363439</v>
      </c>
      <c r="AC1176" s="74">
        <v>0.92</v>
      </c>
      <c r="AD1176" s="72">
        <v>0.991680532445923</v>
      </c>
      <c r="AE1176" s="72">
        <v>0.997953107554894</v>
      </c>
      <c r="AF1176" s="72">
        <v>0.997485006771136</v>
      </c>
      <c r="AG1176" s="72">
        <v>0.995659630327539</v>
      </c>
      <c r="AH1176" s="74">
        <v>0.92</v>
      </c>
      <c r="AI1176" s="72">
        <v>0.926498696785404</v>
      </c>
      <c r="AJ1176" s="72">
        <v>0.959955711385865</v>
      </c>
      <c r="AK1176" s="72">
        <v>0.967459324155194</v>
      </c>
      <c r="AL1176" s="72">
        <v>0.964749248229702</v>
      </c>
      <c r="AM1176" s="71">
        <v>0.99</v>
      </c>
      <c r="AN1176" s="76">
        <v>1</v>
      </c>
      <c r="AO1176" s="76">
        <v>1</v>
      </c>
      <c r="AP1176" s="76">
        <v>1</v>
      </c>
      <c r="AQ1176" s="76">
        <v>1</v>
      </c>
      <c r="AR1176" s="96">
        <v>0.0721861525408278</v>
      </c>
      <c r="AS1176" s="80">
        <v>0.05</v>
      </c>
      <c r="AT1176" s="80">
        <v>0</v>
      </c>
      <c r="AU1176" s="80">
        <v>0.0810810810810811</v>
      </c>
      <c r="AV1176" s="80">
        <v>0.0350194552529183</v>
      </c>
      <c r="AW1176" s="36"/>
      <c r="AX1176" s="34"/>
    </row>
    <row r="1177" ht="14.5" spans="1:50">
      <c r="A1177" s="32"/>
      <c r="B1177" s="36"/>
      <c r="C1177" s="91" t="s">
        <v>1105</v>
      </c>
      <c r="D1177" s="69" t="s">
        <v>25</v>
      </c>
      <c r="E1177" s="129" t="s">
        <v>1226</v>
      </c>
      <c r="F1177" s="129" t="s">
        <v>1226</v>
      </c>
      <c r="G1177" s="129" t="s">
        <v>1226</v>
      </c>
      <c r="H1177" s="129" t="s">
        <v>1226</v>
      </c>
      <c r="I1177" s="71">
        <v>0.9</v>
      </c>
      <c r="J1177" s="72">
        <v>0.933333333333333</v>
      </c>
      <c r="K1177" s="72">
        <v>0.96</v>
      </c>
      <c r="L1177" s="73">
        <v>0.962264150943396</v>
      </c>
      <c r="M1177" s="72">
        <v>0.913333333333333</v>
      </c>
      <c r="N1177" s="74">
        <v>0.9</v>
      </c>
      <c r="O1177" s="72">
        <v>0.948683860675352</v>
      </c>
      <c r="P1177" s="72">
        <v>0.914572864321608</v>
      </c>
      <c r="Q1177" s="72">
        <v>0.935822637106184</v>
      </c>
      <c r="R1177" s="72">
        <v>0.913005573372357</v>
      </c>
      <c r="S1177" s="74">
        <v>0.9</v>
      </c>
      <c r="T1177" s="72">
        <v>0.859877692103164</v>
      </c>
      <c r="U1177" s="72">
        <v>0.930904522613065</v>
      </c>
      <c r="V1177" s="72">
        <v>0.947199533255543</v>
      </c>
      <c r="W1177" s="72">
        <v>0.91269421178815</v>
      </c>
      <c r="X1177" s="74">
        <v>0.92</v>
      </c>
      <c r="Y1177" s="74">
        <v>0.857319587628866</v>
      </c>
      <c r="Z1177" s="74">
        <v>0.956290849673203</v>
      </c>
      <c r="AA1177" s="74">
        <v>0.962875939849624</v>
      </c>
      <c r="AB1177" s="74">
        <v>0.936766685901135</v>
      </c>
      <c r="AC1177" s="74">
        <v>0.92</v>
      </c>
      <c r="AD1177" s="72">
        <v>0.991879350348028</v>
      </c>
      <c r="AE1177" s="72">
        <v>0.996273779172387</v>
      </c>
      <c r="AF1177" s="72">
        <v>0.990837363196742</v>
      </c>
      <c r="AG1177" s="72">
        <v>0.990077878436982</v>
      </c>
      <c r="AH1177" s="74">
        <v>0.92</v>
      </c>
      <c r="AI1177" s="72">
        <v>0.910780669144981</v>
      </c>
      <c r="AJ1177" s="72">
        <v>0.969465648854962</v>
      </c>
      <c r="AK1177" s="72">
        <v>0.978604818410644</v>
      </c>
      <c r="AL1177" s="72">
        <v>0.960375647178867</v>
      </c>
      <c r="AM1177" s="71">
        <v>0.99</v>
      </c>
      <c r="AN1177" s="76">
        <v>1</v>
      </c>
      <c r="AO1177" s="76">
        <v>1</v>
      </c>
      <c r="AP1177" s="76">
        <v>1</v>
      </c>
      <c r="AQ1177" s="76">
        <v>1</v>
      </c>
      <c r="AR1177" s="96">
        <v>0.0721861525408278</v>
      </c>
      <c r="AS1177" s="80">
        <v>0</v>
      </c>
      <c r="AT1177" s="80">
        <v>0</v>
      </c>
      <c r="AU1177" s="80">
        <v>0</v>
      </c>
      <c r="AV1177" s="80">
        <v>0.0193548387096774</v>
      </c>
      <c r="AW1177" s="36"/>
      <c r="AX1177" s="34"/>
    </row>
    <row r="1178" ht="14.5" spans="1:50">
      <c r="A1178" s="32"/>
      <c r="B1178" s="36"/>
      <c r="C1178" s="91" t="s">
        <v>1105</v>
      </c>
      <c r="D1178" s="69" t="s">
        <v>25</v>
      </c>
      <c r="E1178" s="129" t="s">
        <v>1227</v>
      </c>
      <c r="F1178" s="129" t="s">
        <v>1227</v>
      </c>
      <c r="G1178" s="129" t="s">
        <v>1227</v>
      </c>
      <c r="H1178" s="129" t="s">
        <v>1227</v>
      </c>
      <c r="I1178" s="71">
        <v>0.9</v>
      </c>
      <c r="J1178" s="72">
        <v>0.955555555555556</v>
      </c>
      <c r="K1178" s="72">
        <v>0.94</v>
      </c>
      <c r="L1178" s="73">
        <v>0.96078431372549</v>
      </c>
      <c r="M1178" s="72">
        <v>0.944572748267898</v>
      </c>
      <c r="N1178" s="74">
        <v>0.9</v>
      </c>
      <c r="O1178" s="72">
        <v>0.943748089269337</v>
      </c>
      <c r="P1178" s="72">
        <v>0.969422043010753</v>
      </c>
      <c r="Q1178" s="72">
        <v>0.944596651445966</v>
      </c>
      <c r="R1178" s="72">
        <v>0.958426527496716</v>
      </c>
      <c r="S1178" s="74">
        <v>0.9</v>
      </c>
      <c r="T1178" s="72">
        <v>0.893916233567716</v>
      </c>
      <c r="U1178" s="72">
        <v>0.938508064516129</v>
      </c>
      <c r="V1178" s="72">
        <v>0.933333333333333</v>
      </c>
      <c r="W1178" s="72">
        <v>0.924024567756595</v>
      </c>
      <c r="X1178" s="74">
        <v>0.92</v>
      </c>
      <c r="Y1178" s="74">
        <v>0.948717948717949</v>
      </c>
      <c r="Z1178" s="74">
        <v>0.920704845814978</v>
      </c>
      <c r="AA1178" s="74">
        <v>0.911494252873563</v>
      </c>
      <c r="AB1178" s="74">
        <v>0.917006802721088</v>
      </c>
      <c r="AC1178" s="74">
        <v>0.92</v>
      </c>
      <c r="AD1178" s="72">
        <v>0.996386993175432</v>
      </c>
      <c r="AE1178" s="72">
        <v>0.997354497354497</v>
      </c>
      <c r="AF1178" s="72">
        <v>0.995989489697137</v>
      </c>
      <c r="AG1178" s="72">
        <v>0.996928047074434</v>
      </c>
      <c r="AH1178" s="74">
        <v>0.92</v>
      </c>
      <c r="AI1178" s="72">
        <v>0.940181268882175</v>
      </c>
      <c r="AJ1178" s="72">
        <v>0.957282552753474</v>
      </c>
      <c r="AK1178" s="72">
        <v>0.957410972088547</v>
      </c>
      <c r="AL1178" s="72">
        <v>0.955567200816394</v>
      </c>
      <c r="AM1178" s="71">
        <v>0.99</v>
      </c>
      <c r="AN1178" s="76">
        <v>1</v>
      </c>
      <c r="AO1178" s="76">
        <v>1</v>
      </c>
      <c r="AP1178" s="76">
        <v>1</v>
      </c>
      <c r="AQ1178" s="76">
        <v>1</v>
      </c>
      <c r="AR1178" s="96">
        <v>0.0721861525408278</v>
      </c>
      <c r="AS1178" s="80">
        <v>0.0333333333333333</v>
      </c>
      <c r="AT1178" s="80">
        <v>0.0487804878048781</v>
      </c>
      <c r="AU1178" s="80">
        <v>0</v>
      </c>
      <c r="AV1178" s="80">
        <v>0.0298507462686567</v>
      </c>
      <c r="AW1178" s="36"/>
      <c r="AX1178" s="34"/>
    </row>
    <row r="1179" ht="14.5" spans="1:50">
      <c r="A1179" s="32"/>
      <c r="B1179" s="36"/>
      <c r="C1179" s="91" t="s">
        <v>1105</v>
      </c>
      <c r="D1179" s="69" t="s">
        <v>25</v>
      </c>
      <c r="E1179" s="129" t="s">
        <v>1228</v>
      </c>
      <c r="F1179" s="129" t="s">
        <v>1228</v>
      </c>
      <c r="G1179" s="129" t="s">
        <v>1228</v>
      </c>
      <c r="H1179" s="129" t="s">
        <v>1228</v>
      </c>
      <c r="I1179" s="71">
        <v>0.9</v>
      </c>
      <c r="J1179" s="72">
        <v>0.96</v>
      </c>
      <c r="K1179" s="72">
        <v>0.905660377358491</v>
      </c>
      <c r="L1179" s="73">
        <v>0.947368421052632</v>
      </c>
      <c r="M1179" s="72">
        <v>0.935281837160752</v>
      </c>
      <c r="N1179" s="74">
        <v>0.9</v>
      </c>
      <c r="O1179" s="72">
        <v>0.96322869955157</v>
      </c>
      <c r="P1179" s="72">
        <v>0.974212993971869</v>
      </c>
      <c r="Q1179" s="72">
        <v>0.965234595816846</v>
      </c>
      <c r="R1179" s="72">
        <v>0.968145120426984</v>
      </c>
      <c r="S1179" s="74">
        <v>0.9</v>
      </c>
      <c r="T1179" s="72">
        <v>0.929745889387145</v>
      </c>
      <c r="U1179" s="72">
        <v>0.950770261219022</v>
      </c>
      <c r="V1179" s="72">
        <v>0.927925381571509</v>
      </c>
      <c r="W1179" s="72">
        <v>0.93027733675641</v>
      </c>
      <c r="X1179" s="74">
        <v>0.92</v>
      </c>
      <c r="Y1179" s="74">
        <v>0.952741020793951</v>
      </c>
      <c r="Z1179" s="74">
        <v>0.956101843722564</v>
      </c>
      <c r="AA1179" s="74">
        <v>0.973282442748092</v>
      </c>
      <c r="AB1179" s="74">
        <v>0.95898739774486</v>
      </c>
      <c r="AC1179" s="74">
        <v>0.92</v>
      </c>
      <c r="AD1179" s="72">
        <v>0.997597308986064</v>
      </c>
      <c r="AE1179" s="72">
        <v>0.997497497497497</v>
      </c>
      <c r="AF1179" s="72">
        <v>0.99667458432304</v>
      </c>
      <c r="AG1179" s="72">
        <v>0.996995192307692</v>
      </c>
      <c r="AH1179" s="74">
        <v>0.92</v>
      </c>
      <c r="AI1179" s="72">
        <v>0.963661140131728</v>
      </c>
      <c r="AJ1179" s="72">
        <v>0.974060606060606</v>
      </c>
      <c r="AK1179" s="72">
        <v>0.976641998149861</v>
      </c>
      <c r="AL1179" s="72">
        <v>0.973040103492885</v>
      </c>
      <c r="AM1179" s="71">
        <v>0.99</v>
      </c>
      <c r="AN1179" s="76">
        <v>1</v>
      </c>
      <c r="AO1179" s="76">
        <v>1</v>
      </c>
      <c r="AP1179" s="76">
        <v>1</v>
      </c>
      <c r="AQ1179" s="76">
        <v>1</v>
      </c>
      <c r="AR1179" s="96">
        <v>0.0721861525408278</v>
      </c>
      <c r="AS1179" s="80">
        <v>0.0434782608695652</v>
      </c>
      <c r="AT1179" s="80">
        <v>0.0526315789473684</v>
      </c>
      <c r="AU1179" s="80">
        <v>0</v>
      </c>
      <c r="AV1179" s="80">
        <v>0.0261437908496732</v>
      </c>
      <c r="AW1179" s="36"/>
      <c r="AX1179" s="34"/>
    </row>
    <row r="1180" ht="14.5" spans="1:50">
      <c r="A1180" s="32"/>
      <c r="B1180" s="36"/>
      <c r="C1180" s="91" t="s">
        <v>1105</v>
      </c>
      <c r="D1180" s="69" t="s">
        <v>25</v>
      </c>
      <c r="E1180" s="129" t="s">
        <v>1229</v>
      </c>
      <c r="F1180" s="129" t="s">
        <v>1229</v>
      </c>
      <c r="G1180" s="129" t="s">
        <v>1229</v>
      </c>
      <c r="H1180" s="129" t="s">
        <v>1229</v>
      </c>
      <c r="I1180" s="71">
        <v>0.9</v>
      </c>
      <c r="J1180" s="72">
        <v>0.923076923076923</v>
      </c>
      <c r="K1180" s="72">
        <v>0.894736842105263</v>
      </c>
      <c r="L1180" s="73">
        <v>0.926829268292683</v>
      </c>
      <c r="M1180" s="72">
        <v>0.91800878477306</v>
      </c>
      <c r="N1180" s="74">
        <v>0.9</v>
      </c>
      <c r="O1180" s="72">
        <v>0.972172081829122</v>
      </c>
      <c r="P1180" s="72">
        <v>0.953757225433526</v>
      </c>
      <c r="Q1180" s="72">
        <v>0.95940347970174</v>
      </c>
      <c r="R1180" s="72">
        <v>0.967666373027949</v>
      </c>
      <c r="S1180" s="74">
        <v>0.9</v>
      </c>
      <c r="T1180" s="72">
        <v>0.91320697954272</v>
      </c>
      <c r="U1180" s="72">
        <v>0.952601156069364</v>
      </c>
      <c r="V1180" s="72">
        <v>0.943164871582436</v>
      </c>
      <c r="W1180" s="72">
        <v>0.938656202450549</v>
      </c>
      <c r="X1180" s="74">
        <v>0.92</v>
      </c>
      <c r="Y1180" s="74">
        <v>0.96969696969697</v>
      </c>
      <c r="Z1180" s="74">
        <v>0.949671393981321</v>
      </c>
      <c r="AA1180" s="74">
        <v>0.910591471801926</v>
      </c>
      <c r="AB1180" s="74">
        <v>0.903711672942442</v>
      </c>
      <c r="AC1180" s="74">
        <v>0.92</v>
      </c>
      <c r="AD1180" s="72">
        <v>0.986520116134384</v>
      </c>
      <c r="AE1180" s="72">
        <v>0.996520009942829</v>
      </c>
      <c r="AF1180" s="72">
        <v>0.733058371999771</v>
      </c>
      <c r="AG1180" s="72">
        <v>0.94372874734758</v>
      </c>
      <c r="AH1180" s="74">
        <v>0.92</v>
      </c>
      <c r="AI1180" s="72">
        <v>0.970657972732662</v>
      </c>
      <c r="AJ1180" s="72">
        <v>0.957667731629393</v>
      </c>
      <c r="AK1180" s="72">
        <v>0.969959946595461</v>
      </c>
      <c r="AL1180" s="72">
        <v>0.962941888796487</v>
      </c>
      <c r="AM1180" s="71">
        <v>0.99</v>
      </c>
      <c r="AN1180" s="76">
        <v>1</v>
      </c>
      <c r="AO1180" s="76">
        <v>1</v>
      </c>
      <c r="AP1180" s="76">
        <v>1</v>
      </c>
      <c r="AQ1180" s="76">
        <v>1</v>
      </c>
      <c r="AR1180" s="96">
        <v>0.0721861525408278</v>
      </c>
      <c r="AS1180" s="80">
        <v>0</v>
      </c>
      <c r="AT1180" s="80">
        <v>0</v>
      </c>
      <c r="AU1180" s="80">
        <v>0.0526315789473684</v>
      </c>
      <c r="AV1180" s="80">
        <v>0.0273037542662116</v>
      </c>
      <c r="AW1180" s="36"/>
      <c r="AX1180" s="34"/>
    </row>
    <row r="1181" ht="14.5" spans="1:50">
      <c r="A1181" s="32"/>
      <c r="B1181" s="36"/>
      <c r="C1181" s="91" t="s">
        <v>1105</v>
      </c>
      <c r="D1181" s="69" t="s">
        <v>25</v>
      </c>
      <c r="E1181" s="129" t="s">
        <v>1230</v>
      </c>
      <c r="F1181" s="129" t="s">
        <v>1230</v>
      </c>
      <c r="G1181" s="129" t="s">
        <v>1230</v>
      </c>
      <c r="H1181" s="129" t="s">
        <v>1230</v>
      </c>
      <c r="I1181" s="71">
        <v>0.9</v>
      </c>
      <c r="J1181" s="72">
        <v>1</v>
      </c>
      <c r="K1181" s="72">
        <v>0.931034482758621</v>
      </c>
      <c r="L1181" s="73">
        <v>0.892857142857143</v>
      </c>
      <c r="M1181" s="72">
        <v>0.930894308943089</v>
      </c>
      <c r="N1181" s="74">
        <v>0.9</v>
      </c>
      <c r="O1181" s="72">
        <v>0.948159668221877</v>
      </c>
      <c r="P1181" s="72">
        <v>0.972322503008424</v>
      </c>
      <c r="Q1181" s="72">
        <v>0.963395225464191</v>
      </c>
      <c r="R1181" s="72">
        <v>0.950979782270607</v>
      </c>
      <c r="S1181" s="74">
        <v>0.9</v>
      </c>
      <c r="T1181" s="72">
        <v>0.92846034214619</v>
      </c>
      <c r="U1181" s="72">
        <v>0.934416365824308</v>
      </c>
      <c r="V1181" s="72">
        <v>0.948541114058355</v>
      </c>
      <c r="W1181" s="72">
        <v>0.926531881804044</v>
      </c>
      <c r="X1181" s="74">
        <v>0.92</v>
      </c>
      <c r="Y1181" s="74">
        <v>1</v>
      </c>
      <c r="Z1181" s="74">
        <v>0.96780303030303</v>
      </c>
      <c r="AA1181" s="74">
        <v>0.953684210526316</v>
      </c>
      <c r="AB1181" s="74">
        <v>0.959832635983264</v>
      </c>
      <c r="AC1181" s="74">
        <v>0.92</v>
      </c>
      <c r="AD1181" s="72">
        <v>0.993811881188119</v>
      </c>
      <c r="AE1181" s="72">
        <v>0.993473193473194</v>
      </c>
      <c r="AF1181" s="72">
        <v>0.995946728430805</v>
      </c>
      <c r="AG1181" s="72">
        <v>0.99361833952912</v>
      </c>
      <c r="AH1181" s="74">
        <v>0.92</v>
      </c>
      <c r="AI1181" s="72">
        <v>0.968123393316195</v>
      </c>
      <c r="AJ1181" s="72">
        <v>0.974897307165678</v>
      </c>
      <c r="AK1181" s="72">
        <v>0.977966101694915</v>
      </c>
      <c r="AL1181" s="72">
        <v>0.976220155336082</v>
      </c>
      <c r="AM1181" s="71">
        <v>0.99</v>
      </c>
      <c r="AN1181" s="76">
        <v>1</v>
      </c>
      <c r="AO1181" s="76">
        <v>1</v>
      </c>
      <c r="AP1181" s="76">
        <v>1</v>
      </c>
      <c r="AQ1181" s="76">
        <v>1</v>
      </c>
      <c r="AR1181" s="96">
        <v>0.0721861525408278</v>
      </c>
      <c r="AS1181" s="80">
        <v>0.25</v>
      </c>
      <c r="AT1181" s="80">
        <v>0.285714285714286</v>
      </c>
      <c r="AU1181" s="80">
        <v>0</v>
      </c>
      <c r="AV1181" s="80">
        <v>0.12</v>
      </c>
      <c r="AW1181" s="36"/>
      <c r="AX1181" s="34"/>
    </row>
    <row r="1182" ht="14.5" spans="1:50">
      <c r="A1182" s="32"/>
      <c r="B1182" s="36"/>
      <c r="C1182" s="91" t="s">
        <v>1105</v>
      </c>
      <c r="D1182" s="69" t="s">
        <v>25</v>
      </c>
      <c r="E1182" s="129" t="s">
        <v>1231</v>
      </c>
      <c r="F1182" s="129" t="s">
        <v>1231</v>
      </c>
      <c r="G1182" s="129" t="s">
        <v>1231</v>
      </c>
      <c r="H1182" s="129" t="s">
        <v>1231</v>
      </c>
      <c r="I1182" s="71">
        <v>0.9</v>
      </c>
      <c r="J1182" s="72">
        <v>0.938775510204082</v>
      </c>
      <c r="K1182" s="72">
        <v>0.961538461538462</v>
      </c>
      <c r="L1182" s="73">
        <v>0.925925925925926</v>
      </c>
      <c r="M1182" s="72">
        <v>0.95364238410596</v>
      </c>
      <c r="N1182" s="74">
        <v>0.9</v>
      </c>
      <c r="O1182" s="72">
        <v>0.942095340694856</v>
      </c>
      <c r="P1182" s="72">
        <v>0.953039562560309</v>
      </c>
      <c r="Q1182" s="72">
        <v>0.981389938935737</v>
      </c>
      <c r="R1182" s="72">
        <v>0.973898858075041</v>
      </c>
      <c r="S1182" s="74">
        <v>0.9</v>
      </c>
      <c r="T1182" s="72">
        <v>0.899003501211958</v>
      </c>
      <c r="U1182" s="72">
        <v>0.931810871662914</v>
      </c>
      <c r="V1182" s="72">
        <v>0.936027915091596</v>
      </c>
      <c r="W1182" s="72">
        <v>0.92463295269168</v>
      </c>
      <c r="X1182" s="74">
        <v>0.92</v>
      </c>
      <c r="Y1182" s="74">
        <v>0.894837476099426</v>
      </c>
      <c r="Z1182" s="74">
        <v>0.952952952952953</v>
      </c>
      <c r="AA1182" s="74">
        <v>0.959893048128342</v>
      </c>
      <c r="AB1182" s="74">
        <v>0.946204620462046</v>
      </c>
      <c r="AC1182" s="74">
        <v>0.92</v>
      </c>
      <c r="AD1182" s="72">
        <v>0.999406880189798</v>
      </c>
      <c r="AE1182" s="72">
        <v>0.998467041389883</v>
      </c>
      <c r="AF1182" s="72">
        <v>0.997084548104956</v>
      </c>
      <c r="AG1182" s="72">
        <v>0.998746002884193</v>
      </c>
      <c r="AH1182" s="74">
        <v>0.92</v>
      </c>
      <c r="AI1182" s="72">
        <v>0.92918680395041</v>
      </c>
      <c r="AJ1182" s="72">
        <v>0.971762414800389</v>
      </c>
      <c r="AK1182" s="72">
        <v>0.978743730594698</v>
      </c>
      <c r="AL1182" s="72">
        <v>0.968923781485116</v>
      </c>
      <c r="AM1182" s="71">
        <v>0.99</v>
      </c>
      <c r="AN1182" s="76">
        <v>1</v>
      </c>
      <c r="AO1182" s="76">
        <v>1</v>
      </c>
      <c r="AP1182" s="76">
        <v>1</v>
      </c>
      <c r="AQ1182" s="76">
        <v>1</v>
      </c>
      <c r="AR1182" s="96">
        <v>0.0721861525408278</v>
      </c>
      <c r="AS1182" s="80">
        <v>0.0434782608695652</v>
      </c>
      <c r="AT1182" s="80">
        <v>0</v>
      </c>
      <c r="AU1182" s="80">
        <v>0.0434782608695652</v>
      </c>
      <c r="AV1182" s="80">
        <v>0.0409356725146199</v>
      </c>
      <c r="AW1182" s="36"/>
      <c r="AX1182" s="34"/>
    </row>
    <row r="1183" ht="14.5" spans="1:50">
      <c r="A1183" s="32"/>
      <c r="B1183" s="36"/>
      <c r="C1183" s="91" t="s">
        <v>1105</v>
      </c>
      <c r="D1183" s="69" t="s">
        <v>25</v>
      </c>
      <c r="E1183" s="129" t="s">
        <v>1232</v>
      </c>
      <c r="F1183" s="129" t="s">
        <v>1232</v>
      </c>
      <c r="G1183" s="129" t="s">
        <v>1232</v>
      </c>
      <c r="H1183" s="129" t="s">
        <v>1232</v>
      </c>
      <c r="I1183" s="71">
        <v>0.9</v>
      </c>
      <c r="J1183" s="72">
        <v>0.947368421052632</v>
      </c>
      <c r="K1183" s="72">
        <v>1</v>
      </c>
      <c r="L1183" s="73">
        <v>1</v>
      </c>
      <c r="M1183" s="72">
        <v>0.980926430517711</v>
      </c>
      <c r="N1183" s="74">
        <v>0.9</v>
      </c>
      <c r="O1183" s="72">
        <v>0.921875</v>
      </c>
      <c r="P1183" s="72">
        <v>0.958451369216242</v>
      </c>
      <c r="Q1183" s="72">
        <v>0.953728661275831</v>
      </c>
      <c r="R1183" s="72">
        <v>0.962738838328489</v>
      </c>
      <c r="S1183" s="74">
        <v>0.9</v>
      </c>
      <c r="T1183" s="72">
        <v>0.870703125</v>
      </c>
      <c r="U1183" s="72">
        <v>0.920207743153919</v>
      </c>
      <c r="V1183" s="72">
        <v>0.913746630727763</v>
      </c>
      <c r="W1183" s="72">
        <v>0.916424453232954</v>
      </c>
      <c r="X1183" s="74">
        <v>0.92</v>
      </c>
      <c r="Y1183" s="74">
        <v>0.945520581113801</v>
      </c>
      <c r="Z1183" s="74">
        <v>0.895483870967742</v>
      </c>
      <c r="AA1183" s="74">
        <v>0.943703703703704</v>
      </c>
      <c r="AB1183" s="74">
        <v>0.932737335036186</v>
      </c>
      <c r="AC1183" s="74">
        <v>0.92</v>
      </c>
      <c r="AD1183" s="72">
        <v>0.999048525214082</v>
      </c>
      <c r="AE1183" s="72">
        <v>0.999048525214082</v>
      </c>
      <c r="AF1183" s="72">
        <v>0.996031746031746</v>
      </c>
      <c r="AG1183" s="72">
        <v>0.99724074499885</v>
      </c>
      <c r="AH1183" s="74">
        <v>0.92</v>
      </c>
      <c r="AI1183" s="72">
        <v>0.946249261665682</v>
      </c>
      <c r="AJ1183" s="72">
        <v>0.948496370549602</v>
      </c>
      <c r="AK1183" s="72">
        <v>0.959669079627715</v>
      </c>
      <c r="AL1183" s="72">
        <v>0.96069058999786</v>
      </c>
      <c r="AM1183" s="71">
        <v>0.99</v>
      </c>
      <c r="AN1183" s="76">
        <v>1</v>
      </c>
      <c r="AO1183" s="76">
        <v>1</v>
      </c>
      <c r="AP1183" s="76">
        <v>1</v>
      </c>
      <c r="AQ1183" s="76">
        <v>1</v>
      </c>
      <c r="AR1183" s="96">
        <v>0.0721861525408278</v>
      </c>
      <c r="AS1183" s="80">
        <v>0</v>
      </c>
      <c r="AT1183" s="80">
        <v>0.0526315789473684</v>
      </c>
      <c r="AU1183" s="80">
        <v>0.0833333333333333</v>
      </c>
      <c r="AV1183" s="80">
        <v>0.0461538461538462</v>
      </c>
      <c r="AW1183" s="36"/>
      <c r="AX1183" s="34"/>
    </row>
    <row r="1184" ht="14.5" spans="1:50">
      <c r="A1184" s="32"/>
      <c r="B1184" s="36"/>
      <c r="C1184" s="91" t="s">
        <v>1105</v>
      </c>
      <c r="D1184" s="69" t="s">
        <v>25</v>
      </c>
      <c r="E1184" s="129" t="s">
        <v>1233</v>
      </c>
      <c r="F1184" s="129" t="s">
        <v>1233</v>
      </c>
      <c r="G1184" s="129" t="s">
        <v>1233</v>
      </c>
      <c r="H1184" s="129" t="s">
        <v>1233</v>
      </c>
      <c r="I1184" s="71">
        <v>0.9</v>
      </c>
      <c r="J1184" s="72">
        <v>0.975609756097561</v>
      </c>
      <c r="K1184" s="72">
        <v>0.952380952380952</v>
      </c>
      <c r="L1184" s="73">
        <v>1</v>
      </c>
      <c r="M1184" s="72">
        <v>0.974093264248705</v>
      </c>
      <c r="N1184" s="74">
        <v>0.9</v>
      </c>
      <c r="O1184" s="72">
        <v>0.92254676731211</v>
      </c>
      <c r="P1184" s="72">
        <v>0.928909952606635</v>
      </c>
      <c r="Q1184" s="72">
        <v>0.943442372363192</v>
      </c>
      <c r="R1184" s="72">
        <v>0.941252349537464</v>
      </c>
      <c r="S1184" s="74">
        <v>0.9</v>
      </c>
      <c r="T1184" s="72">
        <v>0.877584509353462</v>
      </c>
      <c r="U1184" s="72">
        <v>0.905942398833394</v>
      </c>
      <c r="V1184" s="72">
        <v>0.91409354937328</v>
      </c>
      <c r="W1184" s="72">
        <v>0.909188073563557</v>
      </c>
      <c r="X1184" s="74">
        <v>0.92</v>
      </c>
      <c r="Y1184" s="74">
        <v>0.860169491525424</v>
      </c>
      <c r="Z1184" s="74">
        <v>0.926345609065156</v>
      </c>
      <c r="AA1184" s="74">
        <v>0.936454849498328</v>
      </c>
      <c r="AB1184" s="74">
        <v>0.928419877163596</v>
      </c>
      <c r="AC1184" s="74">
        <v>0.92</v>
      </c>
      <c r="AD1184" s="72">
        <v>0.994883820081006</v>
      </c>
      <c r="AE1184" s="72">
        <v>0.991369772073468</v>
      </c>
      <c r="AF1184" s="72">
        <v>0.997669601242879</v>
      </c>
      <c r="AG1184" s="72">
        <v>0.995630615150474</v>
      </c>
      <c r="AH1184" s="74">
        <v>0.92</v>
      </c>
      <c r="AI1184" s="72">
        <v>0.918065647707342</v>
      </c>
      <c r="AJ1184" s="72">
        <v>0.953720746778859</v>
      </c>
      <c r="AK1184" s="72">
        <v>0.971216118973375</v>
      </c>
      <c r="AL1184" s="72">
        <v>0.95860349127182</v>
      </c>
      <c r="AM1184" s="71">
        <v>0.99</v>
      </c>
      <c r="AN1184" s="76">
        <v>1</v>
      </c>
      <c r="AO1184" s="76">
        <v>1</v>
      </c>
      <c r="AP1184" s="76">
        <v>1</v>
      </c>
      <c r="AQ1184" s="76">
        <v>1</v>
      </c>
      <c r="AR1184" s="96">
        <v>0.0721861525408278</v>
      </c>
      <c r="AS1184" s="80">
        <v>0</v>
      </c>
      <c r="AT1184" s="80">
        <v>0</v>
      </c>
      <c r="AU1184" s="80">
        <v>0.0454545454545455</v>
      </c>
      <c r="AV1184" s="80">
        <v>0.0457516339869281</v>
      </c>
      <c r="AW1184" s="36"/>
      <c r="AX1184" s="34"/>
    </row>
    <row r="1185" ht="14.5" spans="1:50">
      <c r="A1185" s="32"/>
      <c r="B1185" s="36"/>
      <c r="C1185" s="91" t="s">
        <v>1105</v>
      </c>
      <c r="D1185" s="69" t="s">
        <v>25</v>
      </c>
      <c r="E1185" s="129" t="s">
        <v>1234</v>
      </c>
      <c r="F1185" s="129" t="s">
        <v>1234</v>
      </c>
      <c r="G1185" s="129" t="s">
        <v>1234</v>
      </c>
      <c r="H1185" s="129" t="s">
        <v>1234</v>
      </c>
      <c r="I1185" s="71">
        <v>0.9</v>
      </c>
      <c r="J1185" s="72">
        <v>0.862745098039216</v>
      </c>
      <c r="K1185" s="72">
        <v>0.925925925925926</v>
      </c>
      <c r="L1185" s="73">
        <v>0.929824561403509</v>
      </c>
      <c r="M1185" s="72">
        <v>0.918976545842217</v>
      </c>
      <c r="N1185" s="74">
        <v>0.9</v>
      </c>
      <c r="O1185" s="72">
        <v>0.987277353689567</v>
      </c>
      <c r="P1185" s="72">
        <v>0.976545842217484</v>
      </c>
      <c r="Q1185" s="72">
        <v>0.981091940439612</v>
      </c>
      <c r="R1185" s="72">
        <v>0.986572806674488</v>
      </c>
      <c r="S1185" s="74">
        <v>0.9</v>
      </c>
      <c r="T1185" s="72">
        <v>0.944482997918112</v>
      </c>
      <c r="U1185" s="72">
        <v>0.969882729211087</v>
      </c>
      <c r="V1185" s="72">
        <v>0.972583313637438</v>
      </c>
      <c r="W1185" s="72">
        <v>0.958623386781384</v>
      </c>
      <c r="X1185" s="74">
        <v>0.92</v>
      </c>
      <c r="Y1185" s="74">
        <v>0</v>
      </c>
      <c r="Z1185" s="74">
        <v>0</v>
      </c>
      <c r="AA1185" s="74">
        <v>0</v>
      </c>
      <c r="AB1185" s="74">
        <v>0</v>
      </c>
      <c r="AC1185" s="74">
        <v>0.92</v>
      </c>
      <c r="AD1185" s="72">
        <v>1</v>
      </c>
      <c r="AE1185" s="72">
        <v>1</v>
      </c>
      <c r="AF1185" s="72">
        <v>0.998558385391639</v>
      </c>
      <c r="AG1185" s="72">
        <v>0.999110891578167</v>
      </c>
      <c r="AH1185" s="74">
        <v>0.92</v>
      </c>
      <c r="AI1185" s="72">
        <v>0.975479990747166</v>
      </c>
      <c r="AJ1185" s="72">
        <v>0.983750665956313</v>
      </c>
      <c r="AK1185" s="72">
        <v>0.987709761285748</v>
      </c>
      <c r="AL1185" s="72">
        <v>0.982271814792606</v>
      </c>
      <c r="AM1185" s="71">
        <v>0.99</v>
      </c>
      <c r="AN1185" s="76">
        <v>1</v>
      </c>
      <c r="AO1185" s="76">
        <v>1</v>
      </c>
      <c r="AP1185" s="76">
        <v>1</v>
      </c>
      <c r="AQ1185" s="76">
        <v>1</v>
      </c>
      <c r="AR1185" s="96">
        <v>0.0721861525408278</v>
      </c>
      <c r="AS1185" s="80">
        <v>0.0333333333333333</v>
      </c>
      <c r="AT1185" s="80">
        <v>0.0769230769230769</v>
      </c>
      <c r="AU1185" s="80">
        <v>0</v>
      </c>
      <c r="AV1185" s="80">
        <v>0.0197368421052632</v>
      </c>
      <c r="AW1185" s="36"/>
      <c r="AX1185" s="34"/>
    </row>
    <row r="1186" ht="14.5" spans="1:50">
      <c r="A1186" s="32"/>
      <c r="B1186" s="36"/>
      <c r="C1186" s="91" t="s">
        <v>1105</v>
      </c>
      <c r="D1186" s="69" t="s">
        <v>25</v>
      </c>
      <c r="E1186" s="129" t="s">
        <v>1235</v>
      </c>
      <c r="F1186" s="129" t="s">
        <v>1235</v>
      </c>
      <c r="G1186" s="129" t="s">
        <v>1235</v>
      </c>
      <c r="H1186" s="129" t="s">
        <v>1235</v>
      </c>
      <c r="I1186" s="71">
        <v>0.9</v>
      </c>
      <c r="J1186" s="72">
        <v>0.96</v>
      </c>
      <c r="K1186" s="72">
        <v>0.946666666666667</v>
      </c>
      <c r="L1186" s="73">
        <v>0.935064935064935</v>
      </c>
      <c r="M1186" s="72">
        <v>0.914074074074074</v>
      </c>
      <c r="N1186" s="74">
        <v>0.9</v>
      </c>
      <c r="O1186" s="72">
        <v>0.956986100950988</v>
      </c>
      <c r="P1186" s="72">
        <v>0.938203219664186</v>
      </c>
      <c r="Q1186" s="72">
        <v>0.959199036434809</v>
      </c>
      <c r="R1186" s="72">
        <v>0.948644891093527</v>
      </c>
      <c r="S1186" s="74">
        <v>0.9</v>
      </c>
      <c r="T1186" s="72">
        <v>0.908851499634236</v>
      </c>
      <c r="U1186" s="72">
        <v>0.938030119439155</v>
      </c>
      <c r="V1186" s="72">
        <v>0.925474254742547</v>
      </c>
      <c r="W1186" s="72">
        <v>0.91611884451005</v>
      </c>
      <c r="X1186" s="74">
        <v>0.92</v>
      </c>
      <c r="Y1186" s="74">
        <v>0</v>
      </c>
      <c r="Z1186" s="74">
        <v>0</v>
      </c>
      <c r="AA1186" s="74">
        <v>0</v>
      </c>
      <c r="AB1186" s="74">
        <v>0</v>
      </c>
      <c r="AC1186" s="74">
        <v>0.92</v>
      </c>
      <c r="AD1186" s="72">
        <v>0.997032640949555</v>
      </c>
      <c r="AE1186" s="72">
        <v>0.996363636363636</v>
      </c>
      <c r="AF1186" s="72">
        <v>0.97752808988764</v>
      </c>
      <c r="AG1186" s="72">
        <v>0.989416292495189</v>
      </c>
      <c r="AH1186" s="74">
        <v>0.92</v>
      </c>
      <c r="AI1186" s="72">
        <v>0.943981278338453</v>
      </c>
      <c r="AJ1186" s="72">
        <v>0.958837772397094</v>
      </c>
      <c r="AK1186" s="72">
        <v>0.966726889491117</v>
      </c>
      <c r="AL1186" s="72">
        <v>0.95676872382783</v>
      </c>
      <c r="AM1186" s="71">
        <v>0.99</v>
      </c>
      <c r="AN1186" s="76">
        <v>1</v>
      </c>
      <c r="AO1186" s="76">
        <v>1</v>
      </c>
      <c r="AP1186" s="76">
        <v>1</v>
      </c>
      <c r="AQ1186" s="76">
        <v>1</v>
      </c>
      <c r="AR1186" s="96">
        <v>0.0721861525408278</v>
      </c>
      <c r="AS1186" s="80">
        <v>0.0909090909090909</v>
      </c>
      <c r="AT1186" s="80">
        <v>0</v>
      </c>
      <c r="AU1186" s="80">
        <v>0.037037037037037</v>
      </c>
      <c r="AV1186" s="80">
        <v>0.0429447852760736</v>
      </c>
      <c r="AW1186" s="36"/>
      <c r="AX1186" s="34"/>
    </row>
    <row r="1187" ht="14.5" spans="1:50">
      <c r="A1187" s="32"/>
      <c r="B1187" s="36"/>
      <c r="C1187" s="91" t="s">
        <v>1105</v>
      </c>
      <c r="D1187" s="69" t="s">
        <v>25</v>
      </c>
      <c r="E1187" s="129" t="s">
        <v>1236</v>
      </c>
      <c r="F1187" s="129" t="s">
        <v>1236</v>
      </c>
      <c r="G1187" s="129" t="s">
        <v>1236</v>
      </c>
      <c r="H1187" s="129" t="s">
        <v>1236</v>
      </c>
      <c r="I1187" s="71">
        <v>0.9</v>
      </c>
      <c r="J1187" s="72">
        <v>0.911764705882353</v>
      </c>
      <c r="K1187" s="72">
        <v>0.914285714285714</v>
      </c>
      <c r="L1187" s="73">
        <v>0.945945945945946</v>
      </c>
      <c r="M1187" s="72">
        <v>0.938110749185668</v>
      </c>
      <c r="N1187" s="74">
        <v>0.9</v>
      </c>
      <c r="O1187" s="72">
        <v>0.987354409317804</v>
      </c>
      <c r="P1187" s="72">
        <v>0.991703056768559</v>
      </c>
      <c r="Q1187" s="72">
        <v>0.992525692930551</v>
      </c>
      <c r="R1187" s="72">
        <v>0.987425518800082</v>
      </c>
      <c r="S1187" s="74">
        <v>0.9</v>
      </c>
      <c r="T1187" s="72">
        <v>0.945424292845258</v>
      </c>
      <c r="U1187" s="72">
        <v>0.984279475982533</v>
      </c>
      <c r="V1187" s="72">
        <v>0.978511367175335</v>
      </c>
      <c r="W1187" s="72">
        <v>0.969467844668173</v>
      </c>
      <c r="X1187" s="74">
        <v>0.92</v>
      </c>
      <c r="Y1187" s="74">
        <v>0</v>
      </c>
      <c r="Z1187" s="74">
        <v>0</v>
      </c>
      <c r="AA1187" s="74">
        <v>0</v>
      </c>
      <c r="AB1187" s="74">
        <v>0</v>
      </c>
      <c r="AC1187" s="74">
        <v>0.92</v>
      </c>
      <c r="AD1187" s="72">
        <v>0.994871794871795</v>
      </c>
      <c r="AE1187" s="72">
        <v>1</v>
      </c>
      <c r="AF1187" s="72">
        <v>0.998918918918919</v>
      </c>
      <c r="AG1187" s="72">
        <v>0.998179335457442</v>
      </c>
      <c r="AH1187" s="74">
        <v>0.92</v>
      </c>
      <c r="AI1187" s="72">
        <v>0.981697171381032</v>
      </c>
      <c r="AJ1187" s="72">
        <v>0.992150021805495</v>
      </c>
      <c r="AK1187" s="72">
        <v>0.993771410775459</v>
      </c>
      <c r="AL1187" s="72">
        <v>0.989440381296738</v>
      </c>
      <c r="AM1187" s="71">
        <v>0.99</v>
      </c>
      <c r="AN1187" s="76">
        <v>1</v>
      </c>
      <c r="AO1187" s="76">
        <v>1</v>
      </c>
      <c r="AP1187" s="76">
        <v>1</v>
      </c>
      <c r="AQ1187" s="76">
        <v>1</v>
      </c>
      <c r="AR1187" s="96">
        <v>0.0721861525408278</v>
      </c>
      <c r="AS1187" s="80">
        <v>0</v>
      </c>
      <c r="AT1187" s="80">
        <v>0</v>
      </c>
      <c r="AU1187" s="80">
        <v>0</v>
      </c>
      <c r="AV1187" s="80">
        <v>0.0853658536585366</v>
      </c>
      <c r="AW1187" s="36"/>
      <c r="AX1187" s="34"/>
    </row>
    <row r="1188" ht="14.5" spans="1:50">
      <c r="A1188" s="32"/>
      <c r="B1188" s="36"/>
      <c r="C1188" s="91" t="s">
        <v>1105</v>
      </c>
      <c r="D1188" s="69" t="s">
        <v>25</v>
      </c>
      <c r="E1188" s="129" t="s">
        <v>1237</v>
      </c>
      <c r="F1188" s="129" t="s">
        <v>1237</v>
      </c>
      <c r="G1188" s="129" t="s">
        <v>1237</v>
      </c>
      <c r="H1188" s="129" t="s">
        <v>1237</v>
      </c>
      <c r="I1188" s="71">
        <v>0.9</v>
      </c>
      <c r="J1188" s="72">
        <v>0.942028985507246</v>
      </c>
      <c r="K1188" s="72">
        <v>0.888888888888889</v>
      </c>
      <c r="L1188" s="73">
        <v>0.897435897435897</v>
      </c>
      <c r="M1188" s="72">
        <v>0.91705069124424</v>
      </c>
      <c r="N1188" s="74">
        <v>0.9</v>
      </c>
      <c r="O1188" s="72">
        <v>0.966283970353146</v>
      </c>
      <c r="P1188" s="72">
        <v>0.982958801498127</v>
      </c>
      <c r="Q1188" s="72">
        <v>0.951929260450161</v>
      </c>
      <c r="R1188" s="72">
        <v>0.943588337132964</v>
      </c>
      <c r="S1188" s="74">
        <v>0.9</v>
      </c>
      <c r="T1188" s="72">
        <v>0.920796395872693</v>
      </c>
      <c r="U1188" s="72">
        <v>0.943071161048689</v>
      </c>
      <c r="V1188" s="72">
        <v>0.946945337620579</v>
      </c>
      <c r="W1188" s="72">
        <v>0.925195838118583</v>
      </c>
      <c r="X1188" s="74">
        <v>0.92</v>
      </c>
      <c r="Y1188" s="74">
        <v>0</v>
      </c>
      <c r="Z1188" s="74">
        <v>0</v>
      </c>
      <c r="AA1188" s="74">
        <v>0</v>
      </c>
      <c r="AB1188" s="74">
        <v>0</v>
      </c>
      <c r="AC1188" s="74">
        <v>0.92</v>
      </c>
      <c r="AD1188" s="72">
        <v>0.994219653179191</v>
      </c>
      <c r="AE1188" s="72">
        <v>0.984615384615385</v>
      </c>
      <c r="AF1188" s="72">
        <v>0.975783475783476</v>
      </c>
      <c r="AG1188" s="72">
        <v>0.986737857388908</v>
      </c>
      <c r="AH1188" s="74">
        <v>0.92</v>
      </c>
      <c r="AI1188" s="72">
        <v>0.955681487939552</v>
      </c>
      <c r="AJ1188" s="72">
        <v>0.964419475655431</v>
      </c>
      <c r="AK1188" s="72">
        <v>0.974119916412152</v>
      </c>
      <c r="AL1188" s="72">
        <v>0.968444147340635</v>
      </c>
      <c r="AM1188" s="71">
        <v>0.99</v>
      </c>
      <c r="AN1188" s="76">
        <v>1</v>
      </c>
      <c r="AO1188" s="76">
        <v>1</v>
      </c>
      <c r="AP1188" s="76">
        <v>1</v>
      </c>
      <c r="AQ1188" s="76">
        <v>1</v>
      </c>
      <c r="AR1188" s="96">
        <v>0.0721861525408278</v>
      </c>
      <c r="AS1188" s="80">
        <v>0.181818181818182</v>
      </c>
      <c r="AT1188" s="80">
        <v>0.125</v>
      </c>
      <c r="AU1188" s="80">
        <v>0.0555555555555556</v>
      </c>
      <c r="AV1188" s="80">
        <v>0.0580645161290323</v>
      </c>
      <c r="AW1188" s="36"/>
      <c r="AX1188" s="34"/>
    </row>
    <row r="1189" ht="14.5" spans="1:50">
      <c r="A1189" s="32"/>
      <c r="B1189" s="36"/>
      <c r="C1189" s="91" t="s">
        <v>1105</v>
      </c>
      <c r="D1189" s="69" t="s">
        <v>25</v>
      </c>
      <c r="E1189" s="129" t="s">
        <v>1238</v>
      </c>
      <c r="F1189" s="129" t="s">
        <v>1238</v>
      </c>
      <c r="G1189" s="129" t="s">
        <v>1238</v>
      </c>
      <c r="H1189" s="129" t="s">
        <v>1238</v>
      </c>
      <c r="I1189" s="71">
        <v>0.9</v>
      </c>
      <c r="J1189" s="72">
        <v>0.923076923076923</v>
      </c>
      <c r="K1189" s="72">
        <v>0.964285714285714</v>
      </c>
      <c r="L1189" s="73">
        <v>0.964285714285714</v>
      </c>
      <c r="M1189" s="72">
        <v>0.967479674796748</v>
      </c>
      <c r="N1189" s="74">
        <v>0.9</v>
      </c>
      <c r="O1189" s="72">
        <v>0.97569275644142</v>
      </c>
      <c r="P1189" s="72">
        <v>0.977246207701284</v>
      </c>
      <c r="Q1189" s="72">
        <v>0.958093242535359</v>
      </c>
      <c r="R1189" s="72">
        <v>0.981614935028088</v>
      </c>
      <c r="S1189" s="74">
        <v>0.9</v>
      </c>
      <c r="T1189" s="72">
        <v>0.950899368011668</v>
      </c>
      <c r="U1189" s="72">
        <v>0.959743290548425</v>
      </c>
      <c r="V1189" s="72">
        <v>0.942378208486118</v>
      </c>
      <c r="W1189" s="72">
        <v>0.960392668671622</v>
      </c>
      <c r="X1189" s="74">
        <v>0.92</v>
      </c>
      <c r="Y1189" s="74">
        <v>0.960587326120556</v>
      </c>
      <c r="Z1189" s="74">
        <v>0.978560490045942</v>
      </c>
      <c r="AA1189" s="74">
        <v>0.971277399848828</v>
      </c>
      <c r="AB1189" s="74">
        <v>0.975499565595135</v>
      </c>
      <c r="AC1189" s="74">
        <v>0.92</v>
      </c>
      <c r="AD1189" s="72">
        <v>0.99737108190091</v>
      </c>
      <c r="AE1189" s="72">
        <v>0.996920605168028</v>
      </c>
      <c r="AF1189" s="72">
        <v>0.997826642802352</v>
      </c>
      <c r="AG1189" s="72">
        <v>0.993019514583479</v>
      </c>
      <c r="AH1189" s="74">
        <v>0.92</v>
      </c>
      <c r="AI1189" s="72">
        <v>0.967780429594272</v>
      </c>
      <c r="AJ1189" s="72">
        <v>0.983774834437086</v>
      </c>
      <c r="AK1189" s="72">
        <v>0.984529702970297</v>
      </c>
      <c r="AL1189" s="72">
        <v>0.984143327841845</v>
      </c>
      <c r="AM1189" s="71">
        <v>0.99</v>
      </c>
      <c r="AN1189" s="76">
        <v>1</v>
      </c>
      <c r="AO1189" s="76">
        <v>1</v>
      </c>
      <c r="AP1189" s="76">
        <v>1</v>
      </c>
      <c r="AQ1189" s="76">
        <v>1</v>
      </c>
      <c r="AR1189" s="96">
        <v>0.0721861525408278</v>
      </c>
      <c r="AS1189" s="80">
        <v>0</v>
      </c>
      <c r="AT1189" s="80">
        <v>0</v>
      </c>
      <c r="AU1189" s="80">
        <v>0.1875</v>
      </c>
      <c r="AV1189" s="80">
        <v>0.053030303030303</v>
      </c>
      <c r="AW1189" s="36"/>
      <c r="AX1189" s="34"/>
    </row>
    <row r="1190" ht="14.5" spans="1:50">
      <c r="A1190" s="32"/>
      <c r="B1190" s="36"/>
      <c r="C1190" s="91" t="s">
        <v>1105</v>
      </c>
      <c r="D1190" s="69" t="s">
        <v>25</v>
      </c>
      <c r="E1190" s="129" t="s">
        <v>1239</v>
      </c>
      <c r="F1190" s="129" t="s">
        <v>1239</v>
      </c>
      <c r="G1190" s="129" t="s">
        <v>1239</v>
      </c>
      <c r="H1190" s="129" t="s">
        <v>1239</v>
      </c>
      <c r="I1190" s="71">
        <v>0.9</v>
      </c>
      <c r="J1190" s="72">
        <v>1</v>
      </c>
      <c r="K1190" s="72">
        <v>0.973333333333333</v>
      </c>
      <c r="L1190" s="73">
        <v>0.96</v>
      </c>
      <c r="M1190" s="72">
        <v>0.961948249619482</v>
      </c>
      <c r="N1190" s="74">
        <v>0.9</v>
      </c>
      <c r="O1190" s="72">
        <v>0.983225806451613</v>
      </c>
      <c r="P1190" s="72">
        <v>0.989230769230769</v>
      </c>
      <c r="Q1190" s="72">
        <v>0.977735490009515</v>
      </c>
      <c r="R1190" s="72">
        <v>0.985070105591137</v>
      </c>
      <c r="S1190" s="74">
        <v>0.9</v>
      </c>
      <c r="T1190" s="72">
        <v>0.938801843317972</v>
      </c>
      <c r="U1190" s="72">
        <v>0.961758241758242</v>
      </c>
      <c r="V1190" s="72">
        <v>0.94500475737393</v>
      </c>
      <c r="W1190" s="72">
        <v>0.94900034620045</v>
      </c>
      <c r="X1190" s="74">
        <v>0.92</v>
      </c>
      <c r="Y1190" s="74">
        <v>0.897573363431151</v>
      </c>
      <c r="Z1190" s="74">
        <v>0.94724025974026</v>
      </c>
      <c r="AA1190" s="74">
        <v>0.938845553822153</v>
      </c>
      <c r="AB1190" s="74">
        <v>0.9411502877309</v>
      </c>
      <c r="AC1190" s="74">
        <v>0.92</v>
      </c>
      <c r="AD1190" s="72">
        <v>0.98685208596713</v>
      </c>
      <c r="AE1190" s="72">
        <v>0.994136371251466</v>
      </c>
      <c r="AF1190" s="72">
        <v>0.991999536204997</v>
      </c>
      <c r="AG1190" s="72">
        <v>0.992090053229522</v>
      </c>
      <c r="AH1190" s="74">
        <v>0.92</v>
      </c>
      <c r="AI1190" s="72">
        <v>0.94247491638796</v>
      </c>
      <c r="AJ1190" s="72">
        <v>0.96677579725961</v>
      </c>
      <c r="AK1190" s="72">
        <v>0.966083668163555</v>
      </c>
      <c r="AL1190" s="72">
        <v>0.966372273862554</v>
      </c>
      <c r="AM1190" s="71">
        <v>0.99</v>
      </c>
      <c r="AN1190" s="76">
        <v>1</v>
      </c>
      <c r="AO1190" s="76">
        <v>1</v>
      </c>
      <c r="AP1190" s="76">
        <v>1</v>
      </c>
      <c r="AQ1190" s="76">
        <v>1</v>
      </c>
      <c r="AR1190" s="96">
        <v>0.0721861525408278</v>
      </c>
      <c r="AS1190" s="80">
        <v>0.0526315789473684</v>
      </c>
      <c r="AT1190" s="80">
        <v>0.0303030303030303</v>
      </c>
      <c r="AU1190" s="80">
        <v>0.0333333333333333</v>
      </c>
      <c r="AV1190" s="80">
        <v>0.0419847328244275</v>
      </c>
      <c r="AW1190" s="36"/>
      <c r="AX1190" s="34"/>
    </row>
    <row r="1191" ht="14.5" spans="1:50">
      <c r="A1191" s="32"/>
      <c r="B1191" s="36"/>
      <c r="C1191" s="91" t="s">
        <v>1105</v>
      </c>
      <c r="D1191" s="69" t="s">
        <v>25</v>
      </c>
      <c r="E1191" s="129" t="s">
        <v>1240</v>
      </c>
      <c r="F1191" s="129" t="s">
        <v>1240</v>
      </c>
      <c r="G1191" s="129" t="s">
        <v>1240</v>
      </c>
      <c r="H1191" s="129" t="s">
        <v>1240</v>
      </c>
      <c r="I1191" s="71">
        <v>0.9</v>
      </c>
      <c r="J1191" s="72">
        <v>0.953488372093023</v>
      </c>
      <c r="K1191" s="72">
        <v>1</v>
      </c>
      <c r="L1191" s="73">
        <v>0.976190476190476</v>
      </c>
      <c r="M1191" s="72">
        <v>0.979695431472081</v>
      </c>
      <c r="N1191" s="74">
        <v>0.9</v>
      </c>
      <c r="O1191" s="72">
        <v>0.983693436608235</v>
      </c>
      <c r="P1191" s="72">
        <v>0.974107142857143</v>
      </c>
      <c r="Q1191" s="72">
        <v>0.994406196213425</v>
      </c>
      <c r="R1191" s="72">
        <v>0.986172131526615</v>
      </c>
      <c r="S1191" s="74">
        <v>0.9</v>
      </c>
      <c r="T1191" s="72">
        <v>0.941296371789645</v>
      </c>
      <c r="U1191" s="72">
        <v>0.94375</v>
      </c>
      <c r="V1191" s="72">
        <v>0.959982788296041</v>
      </c>
      <c r="W1191" s="72">
        <v>0.957683947648337</v>
      </c>
      <c r="X1191" s="74">
        <v>0.92</v>
      </c>
      <c r="Y1191" s="74">
        <v>0.946035242290749</v>
      </c>
      <c r="Z1191" s="74">
        <v>0.964117647058824</v>
      </c>
      <c r="AA1191" s="74">
        <v>0.962609970674487</v>
      </c>
      <c r="AB1191" s="74">
        <v>0.962895745109901</v>
      </c>
      <c r="AC1191" s="74">
        <v>0.92</v>
      </c>
      <c r="AD1191" s="72">
        <v>0.99546925566343</v>
      </c>
      <c r="AE1191" s="72">
        <v>0.994050838290968</v>
      </c>
      <c r="AF1191" s="72">
        <v>0.98860103626943</v>
      </c>
      <c r="AG1191" s="72">
        <v>0.931396786155748</v>
      </c>
      <c r="AH1191" s="74">
        <v>0.92</v>
      </c>
      <c r="AI1191" s="72">
        <v>0.959943780744905</v>
      </c>
      <c r="AJ1191" s="72">
        <v>0.973103273280893</v>
      </c>
      <c r="AK1191" s="72">
        <v>0.981295744104093</v>
      </c>
      <c r="AL1191" s="72">
        <v>0.976797063335525</v>
      </c>
      <c r="AM1191" s="71">
        <v>0.99</v>
      </c>
      <c r="AN1191" s="76">
        <v>1</v>
      </c>
      <c r="AO1191" s="76">
        <v>1</v>
      </c>
      <c r="AP1191" s="76">
        <v>1</v>
      </c>
      <c r="AQ1191" s="76">
        <v>1</v>
      </c>
      <c r="AR1191" s="96">
        <v>0.0721861525408278</v>
      </c>
      <c r="AS1191" s="80">
        <v>0</v>
      </c>
      <c r="AT1191" s="80">
        <v>0.105263157894737</v>
      </c>
      <c r="AU1191" s="80">
        <v>0</v>
      </c>
      <c r="AV1191" s="80">
        <v>0.0225563909774436</v>
      </c>
      <c r="AW1191" s="36"/>
      <c r="AX1191" s="34"/>
    </row>
    <row r="1192" ht="14.5" spans="1:50">
      <c r="A1192" s="32"/>
      <c r="B1192" s="36"/>
      <c r="C1192" s="91" t="s">
        <v>1105</v>
      </c>
      <c r="D1192" s="69" t="s">
        <v>25</v>
      </c>
      <c r="E1192" s="129" t="s">
        <v>1241</v>
      </c>
      <c r="F1192" s="129" t="s">
        <v>1241</v>
      </c>
      <c r="G1192" s="129" t="s">
        <v>1241</v>
      </c>
      <c r="H1192" s="129" t="s">
        <v>1241</v>
      </c>
      <c r="I1192" s="71">
        <v>0.9</v>
      </c>
      <c r="J1192" s="72">
        <v>1</v>
      </c>
      <c r="K1192" s="72">
        <v>1</v>
      </c>
      <c r="L1192" s="73">
        <v>1</v>
      </c>
      <c r="M1192" s="72">
        <v>0.991680532445923</v>
      </c>
      <c r="N1192" s="74">
        <v>0.9</v>
      </c>
      <c r="O1192" s="72">
        <v>0.977712076415738</v>
      </c>
      <c r="P1192" s="72">
        <v>0.987368986831497</v>
      </c>
      <c r="Q1192" s="72">
        <v>0.98372641509434</v>
      </c>
      <c r="R1192" s="72">
        <v>0.983274553809982</v>
      </c>
      <c r="S1192" s="74">
        <v>0.9</v>
      </c>
      <c r="T1192" s="72">
        <v>0.938594496247441</v>
      </c>
      <c r="U1192" s="72">
        <v>0.95108841709218</v>
      </c>
      <c r="V1192" s="72">
        <v>0.957783018867924</v>
      </c>
      <c r="W1192" s="72">
        <v>0.948220583520359</v>
      </c>
      <c r="X1192" s="74">
        <v>0.92</v>
      </c>
      <c r="Y1192" s="74">
        <v>0.93489932885906</v>
      </c>
      <c r="Z1192" s="74">
        <v>0.966243315508021</v>
      </c>
      <c r="AA1192" s="74">
        <v>0.968386627906977</v>
      </c>
      <c r="AB1192" s="74">
        <v>0.961513687600644</v>
      </c>
      <c r="AC1192" s="74">
        <v>0.92</v>
      </c>
      <c r="AD1192" s="72">
        <v>0.993325036768865</v>
      </c>
      <c r="AE1192" s="72">
        <v>0.893482196741098</v>
      </c>
      <c r="AF1192" s="72">
        <v>0.984815805366232</v>
      </c>
      <c r="AG1192" s="72">
        <v>0.97454820508627</v>
      </c>
      <c r="AH1192" s="74">
        <v>0.92</v>
      </c>
      <c r="AI1192" s="72">
        <v>0.955007453584497</v>
      </c>
      <c r="AJ1192" s="72">
        <v>0.973331346841478</v>
      </c>
      <c r="AK1192" s="72">
        <v>0.98026598026598</v>
      </c>
      <c r="AL1192" s="72">
        <v>0.973567998972267</v>
      </c>
      <c r="AM1192" s="71">
        <v>0.99</v>
      </c>
      <c r="AN1192" s="76">
        <v>1</v>
      </c>
      <c r="AO1192" s="76">
        <v>1</v>
      </c>
      <c r="AP1192" s="76">
        <v>1</v>
      </c>
      <c r="AQ1192" s="76">
        <v>1</v>
      </c>
      <c r="AR1192" s="96">
        <v>0.0721861525408278</v>
      </c>
      <c r="AS1192" s="80">
        <v>0</v>
      </c>
      <c r="AT1192" s="80">
        <v>0</v>
      </c>
      <c r="AU1192" s="80">
        <v>0.0967741935483871</v>
      </c>
      <c r="AV1192" s="80">
        <v>0.0230263157894737</v>
      </c>
      <c r="AW1192" s="36"/>
      <c r="AX1192" s="34"/>
    </row>
    <row r="1193" ht="14.5" spans="1:50">
      <c r="A1193" s="32"/>
      <c r="B1193" s="36"/>
      <c r="C1193" s="91" t="s">
        <v>1105</v>
      </c>
      <c r="D1193" s="69" t="s">
        <v>25</v>
      </c>
      <c r="E1193" s="129" t="s">
        <v>1242</v>
      </c>
      <c r="F1193" s="129" t="s">
        <v>1242</v>
      </c>
      <c r="G1193" s="129" t="s">
        <v>1242</v>
      </c>
      <c r="H1193" s="129" t="s">
        <v>1242</v>
      </c>
      <c r="I1193" s="71">
        <v>0.9</v>
      </c>
      <c r="J1193" s="72">
        <v>0.782608695652174</v>
      </c>
      <c r="K1193" s="72">
        <v>0.96</v>
      </c>
      <c r="L1193" s="73">
        <v>0.88</v>
      </c>
      <c r="M1193" s="72">
        <v>0.869565217391304</v>
      </c>
      <c r="N1193" s="74">
        <v>0.9</v>
      </c>
      <c r="O1193" s="72">
        <v>0.822669104204753</v>
      </c>
      <c r="P1193" s="72">
        <v>0.997202797202797</v>
      </c>
      <c r="Q1193" s="72">
        <v>0.994230769230769</v>
      </c>
      <c r="R1193" s="72">
        <v>0.967686677567547</v>
      </c>
      <c r="S1193" s="74">
        <v>0.9</v>
      </c>
      <c r="T1193" s="72">
        <v>0.855575868372943</v>
      </c>
      <c r="U1193" s="72">
        <v>0.960839160839161</v>
      </c>
      <c r="V1193" s="72">
        <v>0.959615384615385</v>
      </c>
      <c r="W1193" s="72">
        <v>0.946585688702017</v>
      </c>
      <c r="X1193" s="74">
        <v>0.92</v>
      </c>
      <c r="Y1193" s="74">
        <v>0.944215820759031</v>
      </c>
      <c r="Z1193" s="74">
        <v>0.960882647943831</v>
      </c>
      <c r="AA1193" s="74">
        <v>0.960596379126731</v>
      </c>
      <c r="AB1193" s="74">
        <v>0.960031502264225</v>
      </c>
      <c r="AC1193" s="74">
        <v>0.92</v>
      </c>
      <c r="AD1193" s="72">
        <v>1</v>
      </c>
      <c r="AE1193" s="72">
        <v>0.999022482893451</v>
      </c>
      <c r="AF1193" s="72">
        <v>0.995960502692998</v>
      </c>
      <c r="AG1193" s="72">
        <v>0.954558003423334</v>
      </c>
      <c r="AH1193" s="74">
        <v>0.92</v>
      </c>
      <c r="AI1193" s="72">
        <v>0.94659839063643</v>
      </c>
      <c r="AJ1193" s="72">
        <v>0.974454058508447</v>
      </c>
      <c r="AK1193" s="72">
        <v>0.978391356542617</v>
      </c>
      <c r="AL1193" s="72">
        <v>0.97491413416808</v>
      </c>
      <c r="AM1193" s="71">
        <v>0.99</v>
      </c>
      <c r="AN1193" s="76">
        <v>1</v>
      </c>
      <c r="AO1193" s="76">
        <v>1</v>
      </c>
      <c r="AP1193" s="76">
        <v>1</v>
      </c>
      <c r="AQ1193" s="76">
        <v>1</v>
      </c>
      <c r="AR1193" s="96">
        <v>0.0721861525408278</v>
      </c>
      <c r="AS1193" s="80">
        <v>0</v>
      </c>
      <c r="AT1193" s="80">
        <v>0.1</v>
      </c>
      <c r="AU1193" s="80">
        <v>0.0833333333333333</v>
      </c>
      <c r="AV1193" s="80">
        <v>0.13953488372093</v>
      </c>
      <c r="AW1193" s="36"/>
      <c r="AX1193" s="34"/>
    </row>
    <row r="1194" ht="14.5" spans="1:50">
      <c r="A1194" s="32"/>
      <c r="B1194" s="36"/>
      <c r="C1194" s="91" t="s">
        <v>1105</v>
      </c>
      <c r="D1194" s="69" t="s">
        <v>25</v>
      </c>
      <c r="E1194" s="129" t="s">
        <v>1243</v>
      </c>
      <c r="F1194" s="129" t="s">
        <v>1243</v>
      </c>
      <c r="G1194" s="129" t="s">
        <v>1243</v>
      </c>
      <c r="H1194" s="129" t="s">
        <v>1243</v>
      </c>
      <c r="I1194" s="71">
        <v>0.9</v>
      </c>
      <c r="J1194" s="72">
        <v>0.933333333333333</v>
      </c>
      <c r="K1194" s="72">
        <v>0.934782608695652</v>
      </c>
      <c r="L1194" s="73">
        <v>0.897959183673469</v>
      </c>
      <c r="M1194" s="72">
        <v>0.915690866510539</v>
      </c>
      <c r="N1194" s="74">
        <v>0.9</v>
      </c>
      <c r="O1194" s="72">
        <v>0.941232528589581</v>
      </c>
      <c r="P1194" s="72">
        <v>0.927063339731286</v>
      </c>
      <c r="Q1194" s="72">
        <v>0.871201157742402</v>
      </c>
      <c r="R1194" s="72">
        <v>0.917654413002188</v>
      </c>
      <c r="S1194" s="74">
        <v>0.9</v>
      </c>
      <c r="T1194" s="72">
        <v>0.952986022871665</v>
      </c>
      <c r="U1194" s="72">
        <v>0.90978886756238</v>
      </c>
      <c r="V1194" s="72">
        <v>0.927847839569981</v>
      </c>
      <c r="W1194" s="72">
        <v>0.92467482509076</v>
      </c>
      <c r="X1194" s="74">
        <v>0.92</v>
      </c>
      <c r="Y1194" s="74">
        <v>0</v>
      </c>
      <c r="Z1194" s="74">
        <v>0</v>
      </c>
      <c r="AA1194" s="74">
        <v>0</v>
      </c>
      <c r="AB1194" s="74">
        <v>0.133333333333333</v>
      </c>
      <c r="AC1194" s="74">
        <v>0.92</v>
      </c>
      <c r="AD1194" s="72">
        <v>0.998767171539274</v>
      </c>
      <c r="AE1194" s="72">
        <v>0.998079973286585</v>
      </c>
      <c r="AF1194" s="72">
        <v>0.993889479277364</v>
      </c>
      <c r="AG1194" s="72">
        <v>0.979592932133886</v>
      </c>
      <c r="AH1194" s="74">
        <v>0.92</v>
      </c>
      <c r="AI1194" s="72">
        <v>0.967057332910991</v>
      </c>
      <c r="AJ1194" s="72">
        <v>0.968051118210863</v>
      </c>
      <c r="AK1194" s="72">
        <v>0.969208514155817</v>
      </c>
      <c r="AL1194" s="72">
        <v>0.971501345636294</v>
      </c>
      <c r="AM1194" s="71">
        <v>0.99</v>
      </c>
      <c r="AN1194" s="76">
        <v>1</v>
      </c>
      <c r="AO1194" s="76">
        <v>1</v>
      </c>
      <c r="AP1194" s="76">
        <v>1</v>
      </c>
      <c r="AQ1194" s="76">
        <v>1</v>
      </c>
      <c r="AR1194" s="96">
        <v>0.0721861525408278</v>
      </c>
      <c r="AS1194" s="80">
        <v>0</v>
      </c>
      <c r="AT1194" s="80">
        <v>0</v>
      </c>
      <c r="AU1194" s="80">
        <v>0</v>
      </c>
      <c r="AV1194" s="80">
        <v>0.0491803278688525</v>
      </c>
      <c r="AW1194" s="36"/>
      <c r="AX1194" s="34"/>
    </row>
    <row r="1195" ht="14.5" spans="1:50">
      <c r="A1195" s="32"/>
      <c r="B1195" s="36"/>
      <c r="C1195" s="91" t="s">
        <v>1105</v>
      </c>
      <c r="D1195" s="69" t="s">
        <v>25</v>
      </c>
      <c r="E1195" s="129" t="s">
        <v>1244</v>
      </c>
      <c r="F1195" s="129" t="s">
        <v>1244</v>
      </c>
      <c r="G1195" s="129" t="s">
        <v>1244</v>
      </c>
      <c r="H1195" s="129" t="s">
        <v>1244</v>
      </c>
      <c r="I1195" s="71">
        <v>0.9</v>
      </c>
      <c r="J1195" s="72">
        <v>0.953125</v>
      </c>
      <c r="K1195" s="72">
        <v>0.942857142857143</v>
      </c>
      <c r="L1195" s="73">
        <v>0.971428571428571</v>
      </c>
      <c r="M1195" s="72">
        <v>0.972972972972973</v>
      </c>
      <c r="N1195" s="74">
        <v>0.9</v>
      </c>
      <c r="O1195" s="72">
        <v>0.942295223687054</v>
      </c>
      <c r="P1195" s="72">
        <v>0.944430662366658</v>
      </c>
      <c r="Q1195" s="72">
        <v>0.958053302433372</v>
      </c>
      <c r="R1195" s="72">
        <v>0.959998980865755</v>
      </c>
      <c r="S1195" s="74">
        <v>0.9</v>
      </c>
      <c r="T1195" s="72">
        <v>0.934947049924357</v>
      </c>
      <c r="U1195" s="72">
        <v>0.948647978169189</v>
      </c>
      <c r="V1195" s="72">
        <v>0.937427578215527</v>
      </c>
      <c r="W1195" s="72">
        <v>0.942418915131596</v>
      </c>
      <c r="X1195" s="74">
        <v>0.92</v>
      </c>
      <c r="Y1195" s="74">
        <v>0.901474289823804</v>
      </c>
      <c r="Z1195" s="74">
        <v>0.926876202694035</v>
      </c>
      <c r="AA1195" s="74">
        <v>0.95945386843194</v>
      </c>
      <c r="AB1195" s="74">
        <v>0.934013684332599</v>
      </c>
      <c r="AC1195" s="74">
        <v>0.92</v>
      </c>
      <c r="AD1195" s="72">
        <v>0.955053226442371</v>
      </c>
      <c r="AE1195" s="72">
        <v>0.996343692870201</v>
      </c>
      <c r="AF1195" s="72">
        <v>0.997702429854487</v>
      </c>
      <c r="AG1195" s="72">
        <v>0.990191942628137</v>
      </c>
      <c r="AH1195" s="74">
        <v>0.92</v>
      </c>
      <c r="AI1195" s="72">
        <v>0.943852071804562</v>
      </c>
      <c r="AJ1195" s="72">
        <v>0.953839697859841</v>
      </c>
      <c r="AK1195" s="72">
        <v>0.974450386215092</v>
      </c>
      <c r="AL1195" s="72">
        <v>0.962256618143849</v>
      </c>
      <c r="AM1195" s="71">
        <v>0.99</v>
      </c>
      <c r="AN1195" s="76">
        <v>1</v>
      </c>
      <c r="AO1195" s="76">
        <v>1</v>
      </c>
      <c r="AP1195" s="76">
        <v>1</v>
      </c>
      <c r="AQ1195" s="76">
        <v>1</v>
      </c>
      <c r="AR1195" s="96">
        <v>0.0721861525408278</v>
      </c>
      <c r="AS1195" s="80">
        <v>0.0285714285714286</v>
      </c>
      <c r="AT1195" s="80">
        <v>0.107142857142857</v>
      </c>
      <c r="AU1195" s="80">
        <v>0.037037037037037</v>
      </c>
      <c r="AV1195" s="80">
        <v>0.0487804878048781</v>
      </c>
      <c r="AW1195" s="36"/>
      <c r="AX1195" s="34"/>
    </row>
    <row r="1196" ht="14.5" spans="1:50">
      <c r="A1196" s="32"/>
      <c r="B1196" s="36"/>
      <c r="C1196" s="91" t="s">
        <v>1105</v>
      </c>
      <c r="D1196" s="69" t="s">
        <v>25</v>
      </c>
      <c r="E1196" s="129" t="s">
        <v>1245</v>
      </c>
      <c r="F1196" s="129" t="s">
        <v>1245</v>
      </c>
      <c r="G1196" s="129" t="s">
        <v>1245</v>
      </c>
      <c r="H1196" s="129" t="s">
        <v>1245</v>
      </c>
      <c r="I1196" s="71">
        <v>0.9</v>
      </c>
      <c r="J1196" s="72">
        <v>0.972972972972973</v>
      </c>
      <c r="K1196" s="72">
        <v>1</v>
      </c>
      <c r="L1196" s="73">
        <v>0.95</v>
      </c>
      <c r="M1196" s="72">
        <v>0.977272727272727</v>
      </c>
      <c r="N1196" s="74">
        <v>0.9</v>
      </c>
      <c r="O1196" s="72">
        <v>0.851637107776262</v>
      </c>
      <c r="P1196" s="72">
        <v>0.957430918595967</v>
      </c>
      <c r="Q1196" s="72">
        <v>0.963611397185033</v>
      </c>
      <c r="R1196" s="72">
        <v>0.914397946484132</v>
      </c>
      <c r="S1196" s="74">
        <v>0.9</v>
      </c>
      <c r="T1196" s="72">
        <v>0.921555252387449</v>
      </c>
      <c r="U1196" s="72">
        <v>0.962285287528006</v>
      </c>
      <c r="V1196" s="72">
        <v>0.949193271541366</v>
      </c>
      <c r="W1196" s="72">
        <v>0.927660236465464</v>
      </c>
      <c r="X1196" s="74">
        <v>0.92</v>
      </c>
      <c r="Y1196" s="74">
        <v>0.919756838905775</v>
      </c>
      <c r="Z1196" s="74">
        <v>0.955377574370709</v>
      </c>
      <c r="AA1196" s="74">
        <v>0.961277173913043</v>
      </c>
      <c r="AB1196" s="74">
        <v>0.951254480286738</v>
      </c>
      <c r="AC1196" s="74">
        <v>0.92</v>
      </c>
      <c r="AD1196" s="72">
        <v>0.994391824526421</v>
      </c>
      <c r="AE1196" s="72">
        <v>0.993478352337274</v>
      </c>
      <c r="AF1196" s="72">
        <v>0.992668738544904</v>
      </c>
      <c r="AG1196" s="72">
        <v>0.991289823126969</v>
      </c>
      <c r="AH1196" s="74">
        <v>0.92</v>
      </c>
      <c r="AI1196" s="72">
        <v>0.953462967008958</v>
      </c>
      <c r="AJ1196" s="72">
        <v>0.976287262872629</v>
      </c>
      <c r="AK1196" s="72">
        <v>0.97787913340935</v>
      </c>
      <c r="AL1196" s="72">
        <v>0.966661796220534</v>
      </c>
      <c r="AM1196" s="71">
        <v>0.99</v>
      </c>
      <c r="AN1196" s="76">
        <v>1</v>
      </c>
      <c r="AO1196" s="76">
        <v>1</v>
      </c>
      <c r="AP1196" s="76">
        <v>1</v>
      </c>
      <c r="AQ1196" s="76">
        <v>1</v>
      </c>
      <c r="AR1196" s="96">
        <v>0.0721861525408278</v>
      </c>
      <c r="AS1196" s="80">
        <v>0.0909090909090909</v>
      </c>
      <c r="AT1196" s="80">
        <v>0</v>
      </c>
      <c r="AU1196" s="80">
        <v>0.0625</v>
      </c>
      <c r="AV1196" s="80">
        <v>0.0392156862745098</v>
      </c>
      <c r="AW1196" s="36"/>
      <c r="AX1196" s="34"/>
    </row>
    <row r="1197" ht="14.5" spans="1:50">
      <c r="A1197" s="32"/>
      <c r="B1197" s="36"/>
      <c r="C1197" s="91" t="s">
        <v>1105</v>
      </c>
      <c r="D1197" s="69" t="s">
        <v>25</v>
      </c>
      <c r="E1197" s="129" t="s">
        <v>1246</v>
      </c>
      <c r="F1197" s="129" t="s">
        <v>1246</v>
      </c>
      <c r="G1197" s="129" t="s">
        <v>1246</v>
      </c>
      <c r="H1197" s="129" t="s">
        <v>1246</v>
      </c>
      <c r="I1197" s="71">
        <v>0.9</v>
      </c>
      <c r="J1197" s="72">
        <v>0.981132075471698</v>
      </c>
      <c r="K1197" s="72">
        <v>1</v>
      </c>
      <c r="L1197" s="73">
        <v>1</v>
      </c>
      <c r="M1197" s="72">
        <v>0.993576017130621</v>
      </c>
      <c r="N1197" s="74">
        <v>0.9</v>
      </c>
      <c r="O1197" s="72">
        <v>0.972493887530562</v>
      </c>
      <c r="P1197" s="72">
        <v>0.990370999716794</v>
      </c>
      <c r="Q1197" s="72">
        <v>0.98519615099926</v>
      </c>
      <c r="R1197" s="72">
        <v>0.983602228618204</v>
      </c>
      <c r="S1197" s="74">
        <v>0.9</v>
      </c>
      <c r="T1197" s="72">
        <v>0.938416870415648</v>
      </c>
      <c r="U1197" s="72">
        <v>0.936561880487114</v>
      </c>
      <c r="V1197" s="72">
        <v>0.926474216629657</v>
      </c>
      <c r="W1197" s="72">
        <v>0.923503472313908</v>
      </c>
      <c r="X1197" s="74">
        <v>0.92</v>
      </c>
      <c r="Y1197" s="74">
        <v>0.933306867804684</v>
      </c>
      <c r="Z1197" s="74">
        <v>1</v>
      </c>
      <c r="AA1197" s="74">
        <v>0.965599617773531</v>
      </c>
      <c r="AB1197" s="74">
        <v>0.955949962578852</v>
      </c>
      <c r="AC1197" s="74">
        <v>0.92</v>
      </c>
      <c r="AD1197" s="72">
        <v>0.99888080581981</v>
      </c>
      <c r="AE1197" s="72">
        <v>0.998864281658149</v>
      </c>
      <c r="AF1197" s="72">
        <v>0.998776758409786</v>
      </c>
      <c r="AG1197" s="72">
        <v>0.998605130693189</v>
      </c>
      <c r="AH1197" s="74">
        <v>0.92</v>
      </c>
      <c r="AI1197" s="72">
        <v>0.960940086064217</v>
      </c>
      <c r="AJ1197" s="72">
        <v>0.984700973574409</v>
      </c>
      <c r="AK1197" s="72">
        <v>0.979827558158451</v>
      </c>
      <c r="AL1197" s="72">
        <v>0.974019547197823</v>
      </c>
      <c r="AM1197" s="71">
        <v>0.99</v>
      </c>
      <c r="AN1197" s="76">
        <v>1</v>
      </c>
      <c r="AO1197" s="76">
        <v>1</v>
      </c>
      <c r="AP1197" s="76">
        <v>1</v>
      </c>
      <c r="AQ1197" s="76">
        <v>1</v>
      </c>
      <c r="AR1197" s="96">
        <v>0.0721861525408278</v>
      </c>
      <c r="AS1197" s="80">
        <v>0</v>
      </c>
      <c r="AT1197" s="80">
        <v>0.04</v>
      </c>
      <c r="AU1197" s="80">
        <v>0</v>
      </c>
      <c r="AV1197" s="80">
        <v>0.00956937799043062</v>
      </c>
      <c r="AW1197" s="36"/>
      <c r="AX1197" s="34"/>
    </row>
    <row r="1198" ht="14.5" spans="1:50">
      <c r="A1198" s="32"/>
      <c r="B1198" s="36"/>
      <c r="C1198" s="91" t="s">
        <v>1105</v>
      </c>
      <c r="D1198" s="69" t="s">
        <v>25</v>
      </c>
      <c r="E1198" s="129" t="s">
        <v>1247</v>
      </c>
      <c r="F1198" s="129" t="s">
        <v>1247</v>
      </c>
      <c r="G1198" s="129" t="s">
        <v>1247</v>
      </c>
      <c r="H1198" s="129" t="s">
        <v>1247</v>
      </c>
      <c r="I1198" s="71">
        <v>0.9</v>
      </c>
      <c r="J1198" s="72">
        <v>0.970149253731343</v>
      </c>
      <c r="K1198" s="72">
        <v>0.985294117647059</v>
      </c>
      <c r="L1198" s="73">
        <v>0.986666666666667</v>
      </c>
      <c r="M1198" s="72">
        <v>0.97007874015748</v>
      </c>
      <c r="N1198" s="74">
        <v>0.9</v>
      </c>
      <c r="O1198" s="72">
        <v>0.933903252710592</v>
      </c>
      <c r="P1198" s="72">
        <v>0.982725982016091</v>
      </c>
      <c r="Q1198" s="72">
        <v>0.981239092495637</v>
      </c>
      <c r="R1198" s="72">
        <v>0.95519838309954</v>
      </c>
      <c r="S1198" s="74">
        <v>0.9</v>
      </c>
      <c r="T1198" s="72">
        <v>0.936405337781485</v>
      </c>
      <c r="U1198" s="72">
        <v>0.951017510648367</v>
      </c>
      <c r="V1198" s="72">
        <v>0.962914485165794</v>
      </c>
      <c r="W1198" s="72">
        <v>0.948653786001299</v>
      </c>
      <c r="X1198" s="74">
        <v>0.92</v>
      </c>
      <c r="Y1198" s="74">
        <v>0.951709552344025</v>
      </c>
      <c r="Z1198" s="74">
        <v>0.974291364535267</v>
      </c>
      <c r="AA1198" s="74">
        <v>0.97752808988764</v>
      </c>
      <c r="AB1198" s="74">
        <v>0.968337730870712</v>
      </c>
      <c r="AC1198" s="74">
        <v>0.92</v>
      </c>
      <c r="AD1198" s="72">
        <v>0.992476489028213</v>
      </c>
      <c r="AE1198" s="72">
        <v>0.995293110825845</v>
      </c>
      <c r="AF1198" s="72">
        <v>0.997961956521739</v>
      </c>
      <c r="AG1198" s="72">
        <v>0.996529891635212</v>
      </c>
      <c r="AH1198" s="74">
        <v>0.92</v>
      </c>
      <c r="AI1198" s="72">
        <v>0.971046770601336</v>
      </c>
      <c r="AJ1198" s="72">
        <v>0.982231404958678</v>
      </c>
      <c r="AK1198" s="72">
        <v>0.98898231371412</v>
      </c>
      <c r="AL1198" s="72">
        <v>0.981480925202764</v>
      </c>
      <c r="AM1198" s="71">
        <v>0.99</v>
      </c>
      <c r="AN1198" s="76">
        <v>1</v>
      </c>
      <c r="AO1198" s="76">
        <v>1</v>
      </c>
      <c r="AP1198" s="76">
        <v>1</v>
      </c>
      <c r="AQ1198" s="76">
        <v>1</v>
      </c>
      <c r="AR1198" s="96">
        <v>0.0721861525408278</v>
      </c>
      <c r="AS1198" s="80">
        <v>0.0833333333333333</v>
      </c>
      <c r="AT1198" s="80">
        <v>0.0384615384615385</v>
      </c>
      <c r="AU1198" s="80">
        <v>0.0434782608695652</v>
      </c>
      <c r="AV1198" s="80">
        <v>0.072463768115942</v>
      </c>
      <c r="AW1198" s="36"/>
      <c r="AX1198" s="34"/>
    </row>
    <row r="1199" ht="14.5" spans="1:50">
      <c r="A1199" s="32"/>
      <c r="B1199" s="36"/>
      <c r="C1199" s="91" t="s">
        <v>1105</v>
      </c>
      <c r="D1199" s="69" t="s">
        <v>25</v>
      </c>
      <c r="E1199" s="129" t="s">
        <v>1248</v>
      </c>
      <c r="F1199" s="129" t="s">
        <v>1248</v>
      </c>
      <c r="G1199" s="129" t="s">
        <v>1248</v>
      </c>
      <c r="H1199" s="129" t="s">
        <v>1248</v>
      </c>
      <c r="I1199" s="71">
        <v>0.9</v>
      </c>
      <c r="J1199" s="72">
        <v>0.935483870967742</v>
      </c>
      <c r="K1199" s="72">
        <v>0.939393939393939</v>
      </c>
      <c r="L1199" s="73">
        <v>0.916666666666667</v>
      </c>
      <c r="M1199" s="72">
        <v>0.950819672131147</v>
      </c>
      <c r="N1199" s="74">
        <v>0.9</v>
      </c>
      <c r="O1199" s="72">
        <v>0.947115384615385</v>
      </c>
      <c r="P1199" s="72">
        <v>0.944800394282898</v>
      </c>
      <c r="Q1199" s="72">
        <v>0.96472184531886</v>
      </c>
      <c r="R1199" s="72">
        <v>0.962351056373285</v>
      </c>
      <c r="S1199" s="74">
        <v>0.9</v>
      </c>
      <c r="T1199" s="72">
        <v>0.941105769230769</v>
      </c>
      <c r="U1199" s="72">
        <v>0.938393297190734</v>
      </c>
      <c r="V1199" s="72">
        <v>0.946178199909543</v>
      </c>
      <c r="W1199" s="72">
        <v>0.944327625913688</v>
      </c>
      <c r="X1199" s="74">
        <v>0.92</v>
      </c>
      <c r="Y1199" s="74">
        <v>0.908507223113965</v>
      </c>
      <c r="Z1199" s="74">
        <v>0.936794582392777</v>
      </c>
      <c r="AA1199" s="74">
        <v>0.960276338514681</v>
      </c>
      <c r="AB1199" s="74">
        <v>0.9470051762386</v>
      </c>
      <c r="AC1199" s="74">
        <v>0.92</v>
      </c>
      <c r="AD1199" s="72">
        <v>0.997989949748744</v>
      </c>
      <c r="AE1199" s="72">
        <v>0.990466101694915</v>
      </c>
      <c r="AF1199" s="72">
        <v>0.997523526498266</v>
      </c>
      <c r="AG1199" s="72">
        <v>0.996154026546597</v>
      </c>
      <c r="AH1199" s="74">
        <v>0.92</v>
      </c>
      <c r="AI1199" s="72">
        <v>0.949225013361839</v>
      </c>
      <c r="AJ1199" s="72">
        <v>0.963966646813579</v>
      </c>
      <c r="AK1199" s="72">
        <v>0.978331849213416</v>
      </c>
      <c r="AL1199" s="72">
        <v>0.971099704464147</v>
      </c>
      <c r="AM1199" s="71">
        <v>0.99</v>
      </c>
      <c r="AN1199" s="76">
        <v>1</v>
      </c>
      <c r="AO1199" s="76">
        <v>1</v>
      </c>
      <c r="AP1199" s="76">
        <v>1</v>
      </c>
      <c r="AQ1199" s="76">
        <v>1</v>
      </c>
      <c r="AR1199" s="96">
        <v>0.0721861525408278</v>
      </c>
      <c r="AS1199" s="80">
        <v>0</v>
      </c>
      <c r="AT1199" s="80">
        <v>0</v>
      </c>
      <c r="AU1199" s="80">
        <v>0</v>
      </c>
      <c r="AV1199" s="80">
        <v>0.0285714285714286</v>
      </c>
      <c r="AW1199" s="36"/>
      <c r="AX1199" s="34"/>
    </row>
    <row r="1200" ht="14.5" spans="1:50">
      <c r="A1200" s="32"/>
      <c r="B1200" s="36"/>
      <c r="C1200" s="91" t="s">
        <v>1105</v>
      </c>
      <c r="D1200" s="69" t="s">
        <v>25</v>
      </c>
      <c r="E1200" s="129" t="s">
        <v>1249</v>
      </c>
      <c r="F1200" s="129" t="s">
        <v>1249</v>
      </c>
      <c r="G1200" s="129" t="s">
        <v>1249</v>
      </c>
      <c r="H1200" s="129" t="s">
        <v>1249</v>
      </c>
      <c r="I1200" s="71">
        <v>0.9</v>
      </c>
      <c r="J1200" s="72">
        <v>1</v>
      </c>
      <c r="K1200" s="72">
        <v>1</v>
      </c>
      <c r="L1200" s="73">
        <v>1</v>
      </c>
      <c r="M1200" s="72">
        <v>1</v>
      </c>
      <c r="N1200" s="74">
        <v>0.9</v>
      </c>
      <c r="O1200" s="72">
        <v>0.990789198241574</v>
      </c>
      <c r="P1200" s="72">
        <v>0.959555908009516</v>
      </c>
      <c r="Q1200" s="72">
        <v>0.979885057471264</v>
      </c>
      <c r="R1200" s="72">
        <v>0.958633290699799</v>
      </c>
      <c r="S1200" s="74">
        <v>0.9</v>
      </c>
      <c r="T1200" s="72">
        <v>0.96776219384551</v>
      </c>
      <c r="U1200" s="72">
        <v>0.947660586835845</v>
      </c>
      <c r="V1200" s="72">
        <v>0.945043103448276</v>
      </c>
      <c r="W1200" s="72">
        <v>0.949278275169012</v>
      </c>
      <c r="X1200" s="74">
        <v>0.92</v>
      </c>
      <c r="Y1200" s="74">
        <v>0.951008645533141</v>
      </c>
      <c r="Z1200" s="74">
        <v>0.981818181818182</v>
      </c>
      <c r="AA1200" s="74">
        <v>0.959183673469388</v>
      </c>
      <c r="AB1200" s="74">
        <v>0.953266144083613</v>
      </c>
      <c r="AC1200" s="74">
        <v>0.92</v>
      </c>
      <c r="AD1200" s="72">
        <v>0.988890677829657</v>
      </c>
      <c r="AE1200" s="72">
        <v>0.996272777471011</v>
      </c>
      <c r="AF1200" s="72">
        <v>0.998888182973316</v>
      </c>
      <c r="AG1200" s="72">
        <v>0.99499896475385</v>
      </c>
      <c r="AH1200" s="74">
        <v>0.92</v>
      </c>
      <c r="AI1200" s="72">
        <v>0.978654791154791</v>
      </c>
      <c r="AJ1200" s="72">
        <v>0.981380915438324</v>
      </c>
      <c r="AK1200" s="72">
        <v>0.974907063197026</v>
      </c>
      <c r="AL1200" s="72">
        <v>0.975004905808477</v>
      </c>
      <c r="AM1200" s="71">
        <v>0.99</v>
      </c>
      <c r="AN1200" s="76">
        <v>1</v>
      </c>
      <c r="AO1200" s="76">
        <v>1</v>
      </c>
      <c r="AP1200" s="76">
        <v>1</v>
      </c>
      <c r="AQ1200" s="76">
        <v>1</v>
      </c>
      <c r="AR1200" s="96">
        <v>0.0721861525408278</v>
      </c>
      <c r="AS1200" s="80">
        <v>0.133333333333333</v>
      </c>
      <c r="AT1200" s="80">
        <v>0.15</v>
      </c>
      <c r="AU1200" s="80">
        <v>0</v>
      </c>
      <c r="AV1200" s="80">
        <v>0.101351351351351</v>
      </c>
      <c r="AW1200" s="36"/>
      <c r="AX1200" s="34"/>
    </row>
    <row r="1201" ht="14.5" spans="1:50">
      <c r="A1201" s="32"/>
      <c r="B1201" s="36"/>
      <c r="C1201" s="91" t="s">
        <v>1105</v>
      </c>
      <c r="D1201" s="69" t="s">
        <v>25</v>
      </c>
      <c r="E1201" s="129" t="s">
        <v>1250</v>
      </c>
      <c r="F1201" s="129" t="s">
        <v>1250</v>
      </c>
      <c r="G1201" s="129" t="s">
        <v>1250</v>
      </c>
      <c r="H1201" s="129" t="s">
        <v>1250</v>
      </c>
      <c r="I1201" s="71">
        <v>0.9</v>
      </c>
      <c r="J1201" s="72">
        <v>0.950819672131147</v>
      </c>
      <c r="K1201" s="72">
        <v>0.942857142857143</v>
      </c>
      <c r="L1201" s="73">
        <v>0.923076923076923</v>
      </c>
      <c r="M1201" s="72">
        <v>0.944794952681388</v>
      </c>
      <c r="N1201" s="74">
        <v>0.9</v>
      </c>
      <c r="O1201" s="72">
        <v>0.934187192118227</v>
      </c>
      <c r="P1201" s="72">
        <v>0.965986394557823</v>
      </c>
      <c r="Q1201" s="72">
        <v>0.970848628805873</v>
      </c>
      <c r="R1201" s="72">
        <v>0.960551521888229</v>
      </c>
      <c r="S1201" s="74">
        <v>0.9</v>
      </c>
      <c r="T1201" s="72">
        <v>0.926108374384236</v>
      </c>
      <c r="U1201" s="72">
        <v>0.936281179138322</v>
      </c>
      <c r="V1201" s="72">
        <v>0.94428849060678</v>
      </c>
      <c r="W1201" s="72">
        <v>0.935032991982593</v>
      </c>
      <c r="X1201" s="74">
        <v>0.92</v>
      </c>
      <c r="Y1201" s="74">
        <v>0.937132352941176</v>
      </c>
      <c r="Z1201" s="74">
        <v>0.948965517241379</v>
      </c>
      <c r="AA1201" s="74">
        <v>0.957899124635265</v>
      </c>
      <c r="AB1201" s="74">
        <v>0.950736171906088</v>
      </c>
      <c r="AC1201" s="74">
        <v>0.92</v>
      </c>
      <c r="AD1201" s="72">
        <v>0.99893730074389</v>
      </c>
      <c r="AE1201" s="72">
        <v>0.997808819501506</v>
      </c>
      <c r="AF1201" s="72">
        <v>0.995307756003312</v>
      </c>
      <c r="AG1201" s="72">
        <v>0.99448420317682</v>
      </c>
      <c r="AH1201" s="74">
        <v>0.92</v>
      </c>
      <c r="AI1201" s="72">
        <v>0.962796664528544</v>
      </c>
      <c r="AJ1201" s="72">
        <v>0.970592258241007</v>
      </c>
      <c r="AK1201" s="72">
        <v>0.979522184300341</v>
      </c>
      <c r="AL1201" s="72">
        <v>0.97281343161829</v>
      </c>
      <c r="AM1201" s="71">
        <v>0.99</v>
      </c>
      <c r="AN1201" s="76">
        <v>1</v>
      </c>
      <c r="AO1201" s="76">
        <v>1</v>
      </c>
      <c r="AP1201" s="76">
        <v>1</v>
      </c>
      <c r="AQ1201" s="76">
        <v>1</v>
      </c>
      <c r="AR1201" s="96">
        <v>0.0721861525408278</v>
      </c>
      <c r="AS1201" s="80">
        <v>0</v>
      </c>
      <c r="AT1201" s="80">
        <v>0.0526315789473684</v>
      </c>
      <c r="AU1201" s="80">
        <v>0</v>
      </c>
      <c r="AV1201" s="80">
        <v>0.0512820512820513</v>
      </c>
      <c r="AW1201" s="36"/>
      <c r="AX1201" s="34"/>
    </row>
    <row r="1202" ht="14.5" spans="1:50">
      <c r="A1202" s="32"/>
      <c r="B1202" s="36"/>
      <c r="C1202" s="91" t="s">
        <v>1105</v>
      </c>
      <c r="D1202" s="69" t="s">
        <v>25</v>
      </c>
      <c r="E1202" s="129" t="s">
        <v>1251</v>
      </c>
      <c r="F1202" s="129" t="s">
        <v>1251</v>
      </c>
      <c r="G1202" s="129" t="s">
        <v>1251</v>
      </c>
      <c r="H1202" s="129" t="s">
        <v>1251</v>
      </c>
      <c r="I1202" s="71">
        <v>0.9</v>
      </c>
      <c r="J1202" s="72">
        <v>1</v>
      </c>
      <c r="K1202" s="72">
        <v>0.983050847457627</v>
      </c>
      <c r="L1202" s="73">
        <v>1</v>
      </c>
      <c r="M1202" s="72">
        <v>0.994274809160305</v>
      </c>
      <c r="N1202" s="74">
        <v>0.9</v>
      </c>
      <c r="O1202" s="72">
        <v>0.984221417485773</v>
      </c>
      <c r="P1202" s="72">
        <v>0.987478656801366</v>
      </c>
      <c r="Q1202" s="72">
        <v>0.988254575252663</v>
      </c>
      <c r="R1202" s="72">
        <v>0.987618850152543</v>
      </c>
      <c r="S1202" s="74">
        <v>0.9</v>
      </c>
      <c r="T1202" s="72">
        <v>0.935333678220383</v>
      </c>
      <c r="U1202" s="72">
        <v>0.950483779169038</v>
      </c>
      <c r="V1202" s="72">
        <v>0.950559956296094</v>
      </c>
      <c r="W1202" s="72">
        <v>0.94312964663369</v>
      </c>
      <c r="X1202" s="74">
        <v>0.92</v>
      </c>
      <c r="Y1202" s="74">
        <v>0.948971193415638</v>
      </c>
      <c r="Z1202" s="74">
        <v>0.971051511281396</v>
      </c>
      <c r="AA1202" s="74">
        <v>0.976722957553628</v>
      </c>
      <c r="AB1202" s="74">
        <v>0.965512293121592</v>
      </c>
      <c r="AC1202" s="74">
        <v>0.92</v>
      </c>
      <c r="AD1202" s="72">
        <v>0.996888370283936</v>
      </c>
      <c r="AE1202" s="72">
        <v>0.998034076015727</v>
      </c>
      <c r="AF1202" s="72">
        <v>0.982938388625592</v>
      </c>
      <c r="AG1202" s="72">
        <v>0.960334029227557</v>
      </c>
      <c r="AH1202" s="74">
        <v>0.92</v>
      </c>
      <c r="AI1202" s="72">
        <v>0.964104193138501</v>
      </c>
      <c r="AJ1202" s="72">
        <v>0.980552712384852</v>
      </c>
      <c r="AK1202" s="72">
        <v>0.985645933014354</v>
      </c>
      <c r="AL1202" s="72">
        <v>0.979494027475442</v>
      </c>
      <c r="AM1202" s="71">
        <v>0.99</v>
      </c>
      <c r="AN1202" s="76">
        <v>1</v>
      </c>
      <c r="AO1202" s="76">
        <v>1</v>
      </c>
      <c r="AP1202" s="76">
        <v>1</v>
      </c>
      <c r="AQ1202" s="76">
        <v>1</v>
      </c>
      <c r="AR1202" s="96">
        <v>0.0721861525408278</v>
      </c>
      <c r="AS1202" s="80">
        <v>0</v>
      </c>
      <c r="AT1202" s="80">
        <v>0.05</v>
      </c>
      <c r="AU1202" s="80">
        <v>0.0952380952380952</v>
      </c>
      <c r="AV1202" s="80">
        <v>0.0402298850574713</v>
      </c>
      <c r="AW1202" s="36"/>
      <c r="AX1202" s="34"/>
    </row>
    <row r="1203" ht="14.5" spans="1:50">
      <c r="A1203" s="32"/>
      <c r="B1203" s="36"/>
      <c r="C1203" s="91" t="s">
        <v>1105</v>
      </c>
      <c r="D1203" s="69" t="s">
        <v>25</v>
      </c>
      <c r="E1203" s="129" t="s">
        <v>1252</v>
      </c>
      <c r="F1203" s="129" t="s">
        <v>1252</v>
      </c>
      <c r="G1203" s="129" t="s">
        <v>1252</v>
      </c>
      <c r="H1203" s="129" t="s">
        <v>1252</v>
      </c>
      <c r="I1203" s="71">
        <v>0.9</v>
      </c>
      <c r="J1203" s="72">
        <v>0.968253968253968</v>
      </c>
      <c r="K1203" s="72">
        <v>1</v>
      </c>
      <c r="L1203" s="73">
        <v>0.985074626865672</v>
      </c>
      <c r="M1203" s="72">
        <v>0.985342019543974</v>
      </c>
      <c r="N1203" s="74">
        <v>0.9</v>
      </c>
      <c r="O1203" s="72">
        <v>0.981312569521691</v>
      </c>
      <c r="P1203" s="72">
        <v>0.985179786200194</v>
      </c>
      <c r="Q1203" s="72">
        <v>0.985850099491488</v>
      </c>
      <c r="R1203" s="72">
        <v>0.98169352898725</v>
      </c>
      <c r="S1203" s="74">
        <v>0.9</v>
      </c>
      <c r="T1203" s="72">
        <v>0.949944382647386</v>
      </c>
      <c r="U1203" s="72">
        <v>0.95821185617104</v>
      </c>
      <c r="V1203" s="72">
        <v>0.964846340924165</v>
      </c>
      <c r="W1203" s="72">
        <v>0.952297329805148</v>
      </c>
      <c r="X1203" s="74">
        <v>0.92</v>
      </c>
      <c r="Y1203" s="74">
        <v>0.946634942216179</v>
      </c>
      <c r="Z1203" s="74">
        <v>0.96474891918856</v>
      </c>
      <c r="AA1203" s="74">
        <v>0.976876556385628</v>
      </c>
      <c r="AB1203" s="74">
        <v>0.965707543579204</v>
      </c>
      <c r="AC1203" s="74">
        <v>0.92</v>
      </c>
      <c r="AD1203" s="72">
        <v>0.992406985573273</v>
      </c>
      <c r="AE1203" s="72">
        <v>0.987516869095816</v>
      </c>
      <c r="AF1203" s="72">
        <v>0.978939911122561</v>
      </c>
      <c r="AG1203" s="72">
        <v>0.95305898680407</v>
      </c>
      <c r="AH1203" s="74">
        <v>0.92</v>
      </c>
      <c r="AI1203" s="72">
        <v>0.966124479096653</v>
      </c>
      <c r="AJ1203" s="72">
        <v>0.978245614035088</v>
      </c>
      <c r="AK1203" s="72">
        <v>0.986234155649448</v>
      </c>
      <c r="AL1203" s="72">
        <v>0.979736799445894</v>
      </c>
      <c r="AM1203" s="71">
        <v>0.99</v>
      </c>
      <c r="AN1203" s="76">
        <v>1</v>
      </c>
      <c r="AO1203" s="76">
        <v>1</v>
      </c>
      <c r="AP1203" s="76">
        <v>1</v>
      </c>
      <c r="AQ1203" s="76">
        <v>1</v>
      </c>
      <c r="AR1203" s="96">
        <v>0.0721861525408278</v>
      </c>
      <c r="AS1203" s="80">
        <v>0</v>
      </c>
      <c r="AT1203" s="80">
        <v>0.0263157894736842</v>
      </c>
      <c r="AU1203" s="80">
        <v>0</v>
      </c>
      <c r="AV1203" s="80">
        <v>0.0348432055749129</v>
      </c>
      <c r="AW1203" s="36"/>
      <c r="AX1203" s="34"/>
    </row>
    <row r="1204" ht="14.5" spans="1:50">
      <c r="A1204" s="32"/>
      <c r="B1204" s="36"/>
      <c r="C1204" s="91" t="s">
        <v>1105</v>
      </c>
      <c r="D1204" s="69" t="s">
        <v>25</v>
      </c>
      <c r="E1204" s="129" t="s">
        <v>1253</v>
      </c>
      <c r="F1204" s="129" t="s">
        <v>1253</v>
      </c>
      <c r="G1204" s="129" t="s">
        <v>1253</v>
      </c>
      <c r="H1204" s="129" t="s">
        <v>1253</v>
      </c>
      <c r="I1204" s="71">
        <v>0.9</v>
      </c>
      <c r="J1204" s="72">
        <v>0.961538461538462</v>
      </c>
      <c r="K1204" s="72">
        <v>0.962962962962963</v>
      </c>
      <c r="L1204" s="73">
        <v>1</v>
      </c>
      <c r="M1204" s="72">
        <v>0.980237154150198</v>
      </c>
      <c r="N1204" s="74">
        <v>0.9</v>
      </c>
      <c r="O1204" s="72">
        <v>0.983126550868486</v>
      </c>
      <c r="P1204" s="72">
        <v>0.992776057791538</v>
      </c>
      <c r="Q1204" s="72">
        <v>0.986842105263158</v>
      </c>
      <c r="R1204" s="72">
        <v>0.989477163792629</v>
      </c>
      <c r="S1204" s="74">
        <v>0.9</v>
      </c>
      <c r="T1204" s="72">
        <v>0.953349875930521</v>
      </c>
      <c r="U1204" s="72">
        <v>0.963880288957688</v>
      </c>
      <c r="V1204" s="72">
        <v>0.966861598440546</v>
      </c>
      <c r="W1204" s="72">
        <v>0.964850421464382</v>
      </c>
      <c r="X1204" s="74">
        <v>0.92</v>
      </c>
      <c r="Y1204" s="74">
        <v>0.931060606060606</v>
      </c>
      <c r="Z1204" s="74">
        <v>0.980997624703088</v>
      </c>
      <c r="AA1204" s="74">
        <v>0.984939759036145</v>
      </c>
      <c r="AB1204" s="74">
        <v>0.97481589235385</v>
      </c>
      <c r="AC1204" s="74">
        <v>0.92</v>
      </c>
      <c r="AD1204" s="72">
        <v>0.996700541111258</v>
      </c>
      <c r="AE1204" s="72">
        <v>0.992554700162075</v>
      </c>
      <c r="AF1204" s="72">
        <v>0.991807443160168</v>
      </c>
      <c r="AG1204" s="72">
        <v>0.941859277231516</v>
      </c>
      <c r="AH1204" s="74">
        <v>0.92</v>
      </c>
      <c r="AI1204" s="72">
        <v>0.96071964017991</v>
      </c>
      <c r="AJ1204" s="72">
        <v>0.986883198001249</v>
      </c>
      <c r="AK1204" s="72">
        <v>0.990532544378698</v>
      </c>
      <c r="AL1204" s="72">
        <v>0.985558452250274</v>
      </c>
      <c r="AM1204" s="71">
        <v>0.99</v>
      </c>
      <c r="AN1204" s="76">
        <v>1</v>
      </c>
      <c r="AO1204" s="76">
        <v>1</v>
      </c>
      <c r="AP1204" s="76">
        <v>1</v>
      </c>
      <c r="AQ1204" s="76">
        <v>0.994778067885117</v>
      </c>
      <c r="AR1204" s="96">
        <v>0.0721861525408278</v>
      </c>
      <c r="AS1204" s="80">
        <v>0</v>
      </c>
      <c r="AT1204" s="80">
        <v>0.0714285714285714</v>
      </c>
      <c r="AU1204" s="80">
        <v>0.125</v>
      </c>
      <c r="AV1204" s="80">
        <v>0.05</v>
      </c>
      <c r="AW1204" s="36"/>
      <c r="AX1204" s="34"/>
    </row>
    <row r="1205" ht="14.5" spans="1:50">
      <c r="A1205" s="32"/>
      <c r="B1205" s="36"/>
      <c r="C1205" s="91" t="s">
        <v>1105</v>
      </c>
      <c r="D1205" s="69" t="s">
        <v>25</v>
      </c>
      <c r="E1205" s="129" t="s">
        <v>1254</v>
      </c>
      <c r="F1205" s="129" t="s">
        <v>1254</v>
      </c>
      <c r="G1205" s="129" t="s">
        <v>1254</v>
      </c>
      <c r="H1205" s="129" t="s">
        <v>1254</v>
      </c>
      <c r="I1205" s="71">
        <v>0.9</v>
      </c>
      <c r="J1205" s="72">
        <v>1</v>
      </c>
      <c r="K1205" s="72">
        <v>1</v>
      </c>
      <c r="L1205" s="73">
        <v>0.972972972972973</v>
      </c>
      <c r="M1205" s="72">
        <v>0.977987421383648</v>
      </c>
      <c r="N1205" s="74">
        <v>0.9</v>
      </c>
      <c r="O1205" s="72">
        <v>0.981795088907705</v>
      </c>
      <c r="P1205" s="72">
        <v>0.99068170671898</v>
      </c>
      <c r="Q1205" s="72">
        <v>0.992954645530603</v>
      </c>
      <c r="R1205" s="72">
        <v>0.990490976130409</v>
      </c>
      <c r="S1205" s="74">
        <v>0.9</v>
      </c>
      <c r="T1205" s="72">
        <v>0.942421676545301</v>
      </c>
      <c r="U1205" s="72">
        <v>0.955370279548798</v>
      </c>
      <c r="V1205" s="72">
        <v>0.958168207837957</v>
      </c>
      <c r="W1205" s="72">
        <v>0.951824180089268</v>
      </c>
      <c r="X1205" s="74">
        <v>0.92</v>
      </c>
      <c r="Y1205" s="74">
        <v>0.958924570575056</v>
      </c>
      <c r="Z1205" s="74">
        <v>0.951687624090007</v>
      </c>
      <c r="AA1205" s="74">
        <v>0.968111201962388</v>
      </c>
      <c r="AB1205" s="74">
        <v>0.967568448500652</v>
      </c>
      <c r="AC1205" s="74">
        <v>0.92</v>
      </c>
      <c r="AD1205" s="72">
        <v>0.997558523624874</v>
      </c>
      <c r="AE1205" s="72">
        <v>0.996908013398609</v>
      </c>
      <c r="AF1205" s="72">
        <v>0.996670171749036</v>
      </c>
      <c r="AG1205" s="72">
        <v>0.997246427911819</v>
      </c>
      <c r="AH1205" s="74">
        <v>0.92</v>
      </c>
      <c r="AI1205" s="72">
        <v>0.974601459065118</v>
      </c>
      <c r="AJ1205" s="72">
        <v>0.974091805125317</v>
      </c>
      <c r="AK1205" s="72">
        <v>0.984258729250143</v>
      </c>
      <c r="AL1205" s="72">
        <v>0.982123312659613</v>
      </c>
      <c r="AM1205" s="71">
        <v>0.99</v>
      </c>
      <c r="AN1205" s="76">
        <v>1</v>
      </c>
      <c r="AO1205" s="76">
        <v>1</v>
      </c>
      <c r="AP1205" s="76">
        <v>1</v>
      </c>
      <c r="AQ1205" s="76">
        <v>1</v>
      </c>
      <c r="AR1205" s="96">
        <v>0.0721861525408278</v>
      </c>
      <c r="AS1205" s="80">
        <v>0</v>
      </c>
      <c r="AT1205" s="80">
        <v>0</v>
      </c>
      <c r="AU1205" s="80">
        <v>0.142857142857143</v>
      </c>
      <c r="AV1205" s="80">
        <v>0.0410958904109589</v>
      </c>
      <c r="AW1205" s="36"/>
      <c r="AX1205" s="34"/>
    </row>
    <row r="1206" ht="14.5" spans="1:50">
      <c r="A1206" s="32"/>
      <c r="B1206" s="36"/>
      <c r="C1206" s="91" t="s">
        <v>1105</v>
      </c>
      <c r="D1206" s="69" t="s">
        <v>25</v>
      </c>
      <c r="E1206" s="129" t="s">
        <v>1255</v>
      </c>
      <c r="F1206" s="129" t="s">
        <v>1255</v>
      </c>
      <c r="G1206" s="129" t="s">
        <v>1255</v>
      </c>
      <c r="H1206" s="129" t="s">
        <v>1255</v>
      </c>
      <c r="I1206" s="71">
        <v>0.9</v>
      </c>
      <c r="J1206" s="72">
        <v>0.96969696969697</v>
      </c>
      <c r="K1206" s="72">
        <v>0.947368421052632</v>
      </c>
      <c r="L1206" s="73">
        <v>1</v>
      </c>
      <c r="M1206" s="72">
        <v>0.988338192419825</v>
      </c>
      <c r="N1206" s="74">
        <v>0.9</v>
      </c>
      <c r="O1206" s="72">
        <v>0.986100386100386</v>
      </c>
      <c r="P1206" s="72">
        <v>0.989307100085543</v>
      </c>
      <c r="Q1206" s="72">
        <v>0.983950617283951</v>
      </c>
      <c r="R1206" s="72">
        <v>0.986874236874237</v>
      </c>
      <c r="S1206" s="74">
        <v>0.9</v>
      </c>
      <c r="T1206" s="72">
        <v>0.93976833976834</v>
      </c>
      <c r="U1206" s="72">
        <v>0.957228400342173</v>
      </c>
      <c r="V1206" s="72">
        <v>0.962551440329218</v>
      </c>
      <c r="W1206" s="72">
        <v>0.950636664922379</v>
      </c>
      <c r="X1206" s="74">
        <v>0.92</v>
      </c>
      <c r="Y1206" s="74">
        <v>0.951073985680191</v>
      </c>
      <c r="Z1206" s="74">
        <v>0.971781305114638</v>
      </c>
      <c r="AA1206" s="74">
        <v>0.975142045454545</v>
      </c>
      <c r="AB1206" s="74">
        <v>0.971722187737085</v>
      </c>
      <c r="AC1206" s="74">
        <v>0.92</v>
      </c>
      <c r="AD1206" s="72">
        <v>0.997303434572807</v>
      </c>
      <c r="AE1206" s="72">
        <v>0.997025687246507</v>
      </c>
      <c r="AF1206" s="72">
        <v>0.995726963953106</v>
      </c>
      <c r="AG1206" s="72">
        <v>0.963144206419821</v>
      </c>
      <c r="AH1206" s="74">
        <v>0.92</v>
      </c>
      <c r="AI1206" s="72">
        <v>0.970477975632615</v>
      </c>
      <c r="AJ1206" s="72">
        <v>0.982421391433523</v>
      </c>
      <c r="AK1206" s="72">
        <v>0.986451276706618</v>
      </c>
      <c r="AL1206" s="72">
        <v>0.983465113794209</v>
      </c>
      <c r="AM1206" s="71">
        <v>0.99</v>
      </c>
      <c r="AN1206" s="76">
        <v>1</v>
      </c>
      <c r="AO1206" s="76">
        <v>1</v>
      </c>
      <c r="AP1206" s="76">
        <v>1</v>
      </c>
      <c r="AQ1206" s="76">
        <v>1</v>
      </c>
      <c r="AR1206" s="96">
        <v>0.0721861525408278</v>
      </c>
      <c r="AS1206" s="80">
        <v>0</v>
      </c>
      <c r="AT1206" s="80">
        <v>0</v>
      </c>
      <c r="AU1206" s="80">
        <v>0.181818181818182</v>
      </c>
      <c r="AV1206" s="80">
        <v>0.0240963855421687</v>
      </c>
      <c r="AW1206" s="36"/>
      <c r="AX1206" s="34"/>
    </row>
    <row r="1207" ht="14.5" spans="1:50">
      <c r="A1207" s="32"/>
      <c r="B1207" s="36"/>
      <c r="C1207" s="91" t="s">
        <v>1105</v>
      </c>
      <c r="D1207" s="69" t="s">
        <v>25</v>
      </c>
      <c r="E1207" s="129" t="s">
        <v>1256</v>
      </c>
      <c r="F1207" s="129" t="s">
        <v>1256</v>
      </c>
      <c r="G1207" s="129" t="s">
        <v>1256</v>
      </c>
      <c r="H1207" s="129" t="s">
        <v>1256</v>
      </c>
      <c r="I1207" s="71">
        <v>0.9</v>
      </c>
      <c r="J1207" s="72">
        <v>0.869565217391304</v>
      </c>
      <c r="K1207" s="72">
        <v>1</v>
      </c>
      <c r="L1207" s="73">
        <v>0.96</v>
      </c>
      <c r="M1207" s="72">
        <v>0.933920704845815</v>
      </c>
      <c r="N1207" s="74">
        <v>0.9</v>
      </c>
      <c r="O1207" s="72">
        <v>0.988324576765908</v>
      </c>
      <c r="P1207" s="72">
        <v>0.985431235431235</v>
      </c>
      <c r="Q1207" s="72">
        <v>0.995958429561201</v>
      </c>
      <c r="R1207" s="72">
        <v>0.986073700498596</v>
      </c>
      <c r="S1207" s="74">
        <v>0.9</v>
      </c>
      <c r="T1207" s="72">
        <v>0.946293053123176</v>
      </c>
      <c r="U1207" s="72">
        <v>0.944638694638695</v>
      </c>
      <c r="V1207" s="72">
        <v>0.924942263279446</v>
      </c>
      <c r="W1207" s="72">
        <v>0.94624333772709</v>
      </c>
      <c r="X1207" s="74">
        <v>0.92</v>
      </c>
      <c r="Y1207" s="74">
        <v>0.953350296861747</v>
      </c>
      <c r="Z1207" s="74">
        <v>0.958098307816277</v>
      </c>
      <c r="AA1207" s="74">
        <v>0.96150234741784</v>
      </c>
      <c r="AB1207" s="74">
        <v>0.955063497232172</v>
      </c>
      <c r="AC1207" s="74">
        <v>0.92</v>
      </c>
      <c r="AD1207" s="72">
        <v>0.997905958499905</v>
      </c>
      <c r="AE1207" s="72">
        <v>0.998089780324737</v>
      </c>
      <c r="AF1207" s="72">
        <v>0.999315537303217</v>
      </c>
      <c r="AG1207" s="72">
        <v>0.997544453852667</v>
      </c>
      <c r="AH1207" s="74">
        <v>0.92</v>
      </c>
      <c r="AI1207" s="72">
        <v>0.965779467680608</v>
      </c>
      <c r="AJ1207" s="72">
        <v>0.972607372336828</v>
      </c>
      <c r="AK1207" s="72">
        <v>0.970682874508402</v>
      </c>
      <c r="AL1207" s="72">
        <v>0.972658740576829</v>
      </c>
      <c r="AM1207" s="71">
        <v>0.99</v>
      </c>
      <c r="AN1207" s="76">
        <v>1</v>
      </c>
      <c r="AO1207" s="76">
        <v>1</v>
      </c>
      <c r="AP1207" s="76">
        <v>1</v>
      </c>
      <c r="AQ1207" s="76">
        <v>1</v>
      </c>
      <c r="AR1207" s="96">
        <v>0.0721861525408278</v>
      </c>
      <c r="AS1207" s="80">
        <v>0</v>
      </c>
      <c r="AT1207" s="80">
        <v>0</v>
      </c>
      <c r="AU1207" s="80">
        <v>0.125</v>
      </c>
      <c r="AV1207" s="80">
        <v>0.0319148936170213</v>
      </c>
      <c r="AW1207" s="36"/>
      <c r="AX1207" s="34"/>
    </row>
    <row r="1208" ht="14.5" spans="1:50">
      <c r="A1208" s="32"/>
      <c r="B1208" s="36"/>
      <c r="C1208" s="91" t="s">
        <v>1105</v>
      </c>
      <c r="D1208" s="69" t="s">
        <v>25</v>
      </c>
      <c r="E1208" s="129" t="s">
        <v>1257</v>
      </c>
      <c r="F1208" s="129" t="s">
        <v>1257</v>
      </c>
      <c r="G1208" s="129" t="s">
        <v>1257</v>
      </c>
      <c r="H1208" s="129" t="s">
        <v>1257</v>
      </c>
      <c r="I1208" s="71">
        <v>0.9</v>
      </c>
      <c r="J1208" s="72">
        <v>0.86046511627907</v>
      </c>
      <c r="K1208" s="72">
        <v>0.934782608695652</v>
      </c>
      <c r="L1208" s="73">
        <v>0.92156862745098</v>
      </c>
      <c r="M1208" s="72">
        <v>0.927765237020316</v>
      </c>
      <c r="N1208" s="74">
        <v>0.9</v>
      </c>
      <c r="O1208" s="72">
        <v>0.897933625547902</v>
      </c>
      <c r="P1208" s="72">
        <v>0.985729967069155</v>
      </c>
      <c r="Q1208" s="72">
        <v>0.90785736825497</v>
      </c>
      <c r="R1208" s="72">
        <v>0.933046867192965</v>
      </c>
      <c r="S1208" s="74">
        <v>0.9</v>
      </c>
      <c r="T1208" s="72">
        <v>0.885723231058234</v>
      </c>
      <c r="U1208" s="72">
        <v>0.934504207830223</v>
      </c>
      <c r="V1208" s="72">
        <v>0.917324076995898</v>
      </c>
      <c r="W1208" s="72">
        <v>0.924219712867659</v>
      </c>
      <c r="X1208" s="74">
        <v>0.92</v>
      </c>
      <c r="Y1208" s="74">
        <v>0.941570881226054</v>
      </c>
      <c r="Z1208" s="74">
        <v>0.94726368159204</v>
      </c>
      <c r="AA1208" s="74">
        <v>0.963171355498721</v>
      </c>
      <c r="AB1208" s="74">
        <v>0.957408777120316</v>
      </c>
      <c r="AC1208" s="74">
        <v>0.92</v>
      </c>
      <c r="AD1208" s="72">
        <v>0.995997865528282</v>
      </c>
      <c r="AE1208" s="72">
        <v>0.995200239988001</v>
      </c>
      <c r="AF1208" s="72">
        <v>0.996916435399322</v>
      </c>
      <c r="AG1208" s="72">
        <v>0.994764299654706</v>
      </c>
      <c r="AH1208" s="74">
        <v>0.92</v>
      </c>
      <c r="AI1208" s="72">
        <v>0.958159787959106</v>
      </c>
      <c r="AJ1208" s="72">
        <v>0.967320261437909</v>
      </c>
      <c r="AK1208" s="72">
        <v>0.97873585641826</v>
      </c>
      <c r="AL1208" s="72">
        <v>0.975568095824955</v>
      </c>
      <c r="AM1208" s="71">
        <v>0.99</v>
      </c>
      <c r="AN1208" s="76">
        <v>1</v>
      </c>
      <c r="AO1208" s="76">
        <v>1</v>
      </c>
      <c r="AP1208" s="76">
        <v>1</v>
      </c>
      <c r="AQ1208" s="76">
        <v>1</v>
      </c>
      <c r="AR1208" s="96">
        <v>0.0721861525408278</v>
      </c>
      <c r="AS1208" s="80">
        <v>0.142857142857143</v>
      </c>
      <c r="AT1208" s="80">
        <v>0.0909090909090909</v>
      </c>
      <c r="AU1208" s="80">
        <v>0.0526315789473684</v>
      </c>
      <c r="AV1208" s="80">
        <v>0.0630630630630631</v>
      </c>
      <c r="AW1208" s="36"/>
      <c r="AX1208" s="34"/>
    </row>
    <row r="1209" ht="14.5" spans="1:50">
      <c r="A1209" s="32"/>
      <c r="B1209" s="36"/>
      <c r="C1209" s="91" t="s">
        <v>1105</v>
      </c>
      <c r="D1209" s="69" t="s">
        <v>25</v>
      </c>
      <c r="E1209" s="129" t="s">
        <v>1258</v>
      </c>
      <c r="F1209" s="129" t="s">
        <v>1258</v>
      </c>
      <c r="G1209" s="129" t="s">
        <v>1258</v>
      </c>
      <c r="H1209" s="129" t="s">
        <v>1258</v>
      </c>
      <c r="I1209" s="71">
        <v>0.9</v>
      </c>
      <c r="J1209" s="72">
        <v>1</v>
      </c>
      <c r="K1209" s="72">
        <v>1</v>
      </c>
      <c r="L1209" s="73">
        <v>0.973684210526316</v>
      </c>
      <c r="M1209" s="72">
        <v>0.996951219512195</v>
      </c>
      <c r="N1209" s="74">
        <v>0.9</v>
      </c>
      <c r="O1209" s="72">
        <v>0.964035087719298</v>
      </c>
      <c r="P1209" s="72">
        <v>0.995054401582592</v>
      </c>
      <c r="Q1209" s="72">
        <v>0.99466429524233</v>
      </c>
      <c r="R1209" s="72">
        <v>0.98967588226535</v>
      </c>
      <c r="S1209" s="74">
        <v>0.9</v>
      </c>
      <c r="T1209" s="72">
        <v>0.962719298245614</v>
      </c>
      <c r="U1209" s="72">
        <v>0.960929772502473</v>
      </c>
      <c r="V1209" s="72">
        <v>0.959092930191196</v>
      </c>
      <c r="W1209" s="72">
        <v>0.956867027348985</v>
      </c>
      <c r="X1209" s="74">
        <v>0.92</v>
      </c>
      <c r="Y1209" s="74">
        <v>0.958886780518659</v>
      </c>
      <c r="Z1209" s="74">
        <v>0.974763406940063</v>
      </c>
      <c r="AA1209" s="74">
        <v>0.985145172180959</v>
      </c>
      <c r="AB1209" s="74">
        <v>0.976491732566499</v>
      </c>
      <c r="AC1209" s="74">
        <v>0.92</v>
      </c>
      <c r="AD1209" s="72">
        <v>0.998025666337611</v>
      </c>
      <c r="AE1209" s="72">
        <v>1</v>
      </c>
      <c r="AF1209" s="72">
        <v>0.951351351351351</v>
      </c>
      <c r="AG1209" s="72">
        <v>0.989932126696833</v>
      </c>
      <c r="AH1209" s="74">
        <v>0.92</v>
      </c>
      <c r="AI1209" s="72">
        <v>0.974099974099974</v>
      </c>
      <c r="AJ1209" s="72">
        <v>0.984751871361242</v>
      </c>
      <c r="AK1209" s="72">
        <v>0.989544235924933</v>
      </c>
      <c r="AL1209" s="72">
        <v>0.985789365512787</v>
      </c>
      <c r="AM1209" s="71">
        <v>0.99</v>
      </c>
      <c r="AN1209" s="76">
        <v>1</v>
      </c>
      <c r="AO1209" s="76">
        <v>1</v>
      </c>
      <c r="AP1209" s="76">
        <v>1</v>
      </c>
      <c r="AQ1209" s="76">
        <v>1</v>
      </c>
      <c r="AR1209" s="96">
        <v>0.0721861525408278</v>
      </c>
      <c r="AS1209" s="80">
        <v>0</v>
      </c>
      <c r="AT1209" s="80">
        <v>0</v>
      </c>
      <c r="AU1209" s="80">
        <v>0</v>
      </c>
      <c r="AV1209" s="80">
        <v>0.0540540540540541</v>
      </c>
      <c r="AW1209" s="36"/>
      <c r="AX1209" s="34"/>
    </row>
    <row r="1210" ht="14.5" spans="1:50">
      <c r="A1210" s="32"/>
      <c r="B1210" s="36"/>
      <c r="C1210" s="91" t="s">
        <v>1105</v>
      </c>
      <c r="D1210" s="69" t="s">
        <v>25</v>
      </c>
      <c r="E1210" s="129" t="s">
        <v>1259</v>
      </c>
      <c r="F1210" s="129" t="s">
        <v>1259</v>
      </c>
      <c r="G1210" s="129" t="s">
        <v>1259</v>
      </c>
      <c r="H1210" s="129" t="s">
        <v>1259</v>
      </c>
      <c r="I1210" s="71">
        <v>0.9</v>
      </c>
      <c r="J1210" s="72">
        <v>0.96875</v>
      </c>
      <c r="K1210" s="72">
        <v>1</v>
      </c>
      <c r="L1210" s="73">
        <v>1</v>
      </c>
      <c r="M1210" s="72">
        <v>0.986440677966102</v>
      </c>
      <c r="N1210" s="74">
        <v>0.9</v>
      </c>
      <c r="O1210" s="72">
        <v>0.809026128266033</v>
      </c>
      <c r="P1210" s="72">
        <v>0.947513812154696</v>
      </c>
      <c r="Q1210" s="72">
        <v>0.948959365708622</v>
      </c>
      <c r="R1210" s="72">
        <v>0.93788083041251</v>
      </c>
      <c r="S1210" s="74">
        <v>0.9</v>
      </c>
      <c r="T1210" s="72">
        <v>0.840380047505938</v>
      </c>
      <c r="U1210" s="72">
        <v>0.942541436464088</v>
      </c>
      <c r="V1210" s="72">
        <v>0.958374628344896</v>
      </c>
      <c r="W1210" s="72">
        <v>0.938851442437315</v>
      </c>
      <c r="X1210" s="74">
        <v>0.92</v>
      </c>
      <c r="Y1210" s="74">
        <v>0.928979591836735</v>
      </c>
      <c r="Z1210" s="74">
        <v>0.954853273137698</v>
      </c>
      <c r="AA1210" s="74">
        <v>0.962382445141066</v>
      </c>
      <c r="AB1210" s="74">
        <v>0.965989250923749</v>
      </c>
      <c r="AC1210" s="74">
        <v>0.92</v>
      </c>
      <c r="AD1210" s="72">
        <v>0.998193859121011</v>
      </c>
      <c r="AE1210" s="72">
        <v>0.99660598580685</v>
      </c>
      <c r="AF1210" s="72">
        <v>0.99480306345733</v>
      </c>
      <c r="AG1210" s="72">
        <v>0.994500215353013</v>
      </c>
      <c r="AH1210" s="74">
        <v>0.92</v>
      </c>
      <c r="AI1210" s="72">
        <v>0.961861861861862</v>
      </c>
      <c r="AJ1210" s="72">
        <v>0.973558458107678</v>
      </c>
      <c r="AK1210" s="72">
        <v>0.976017000607165</v>
      </c>
      <c r="AL1210" s="72">
        <v>0.980166157685614</v>
      </c>
      <c r="AM1210" s="71">
        <v>0.99</v>
      </c>
      <c r="AN1210" s="76">
        <v>1</v>
      </c>
      <c r="AO1210" s="76">
        <v>1</v>
      </c>
      <c r="AP1210" s="76">
        <v>1</v>
      </c>
      <c r="AQ1210" s="76">
        <v>1</v>
      </c>
      <c r="AR1210" s="96">
        <v>0.0721861525408278</v>
      </c>
      <c r="AS1210" s="80">
        <v>0</v>
      </c>
      <c r="AT1210" s="80">
        <v>0</v>
      </c>
      <c r="AU1210" s="80">
        <v>0</v>
      </c>
      <c r="AV1210" s="80">
        <v>0.032258064516129</v>
      </c>
      <c r="AW1210" s="36"/>
      <c r="AX1210" s="34"/>
    </row>
    <row r="1211" ht="14.5" spans="1:50">
      <c r="A1211" s="32"/>
      <c r="B1211" s="36"/>
      <c r="C1211" s="91" t="s">
        <v>1105</v>
      </c>
      <c r="D1211" s="69" t="s">
        <v>25</v>
      </c>
      <c r="E1211" s="129" t="s">
        <v>1260</v>
      </c>
      <c r="F1211" s="129" t="s">
        <v>1260</v>
      </c>
      <c r="G1211" s="129" t="s">
        <v>1260</v>
      </c>
      <c r="H1211" s="129" t="s">
        <v>1260</v>
      </c>
      <c r="I1211" s="71">
        <v>0.9</v>
      </c>
      <c r="J1211" s="72">
        <v>0.981818181818182</v>
      </c>
      <c r="K1211" s="72">
        <v>0.962264150943396</v>
      </c>
      <c r="L1211" s="73">
        <v>0.981481481481482</v>
      </c>
      <c r="M1211" s="72">
        <v>0.972222222222222</v>
      </c>
      <c r="N1211" s="74">
        <v>0.9</v>
      </c>
      <c r="O1211" s="72">
        <v>0.978853644963829</v>
      </c>
      <c r="P1211" s="72">
        <v>0.973031618102914</v>
      </c>
      <c r="Q1211" s="72">
        <v>0.988215004311584</v>
      </c>
      <c r="R1211" s="72">
        <v>0.975901644704574</v>
      </c>
      <c r="S1211" s="74">
        <v>0.9</v>
      </c>
      <c r="T1211" s="72">
        <v>0.934056761268781</v>
      </c>
      <c r="U1211" s="72">
        <v>0.938003719776813</v>
      </c>
      <c r="V1211" s="72">
        <v>0.951135383730957</v>
      </c>
      <c r="W1211" s="72">
        <v>0.935323545760717</v>
      </c>
      <c r="X1211" s="74">
        <v>0.92</v>
      </c>
      <c r="Y1211" s="74">
        <v>0.948648648648649</v>
      </c>
      <c r="Z1211" s="74">
        <v>0.960554833116602</v>
      </c>
      <c r="AA1211" s="74">
        <v>0.965325342465753</v>
      </c>
      <c r="AB1211" s="74">
        <v>0.942149546037933</v>
      </c>
      <c r="AC1211" s="74">
        <v>0.92</v>
      </c>
      <c r="AD1211" s="72">
        <v>0.993650793650794</v>
      </c>
      <c r="AE1211" s="72">
        <v>0.988095238095238</v>
      </c>
      <c r="AF1211" s="72">
        <v>0.993217054263566</v>
      </c>
      <c r="AG1211" s="72">
        <v>0.991578349735049</v>
      </c>
      <c r="AH1211" s="74">
        <v>0.92</v>
      </c>
      <c r="AI1211" s="72">
        <v>0.965394566623545</v>
      </c>
      <c r="AJ1211" s="72">
        <v>0.977769745165371</v>
      </c>
      <c r="AK1211" s="72">
        <v>0.980223559759243</v>
      </c>
      <c r="AL1211" s="72">
        <v>0.968694910985839</v>
      </c>
      <c r="AM1211" s="71">
        <v>0.99</v>
      </c>
      <c r="AN1211" s="76">
        <v>1</v>
      </c>
      <c r="AO1211" s="76">
        <v>1</v>
      </c>
      <c r="AP1211" s="76">
        <v>1</v>
      </c>
      <c r="AQ1211" s="76">
        <v>1</v>
      </c>
      <c r="AR1211" s="96">
        <v>0.0721861525408278</v>
      </c>
      <c r="AS1211" s="80">
        <v>0.0625</v>
      </c>
      <c r="AT1211" s="80">
        <v>0</v>
      </c>
      <c r="AU1211" s="80">
        <v>0</v>
      </c>
      <c r="AV1211" s="80">
        <v>0.0330578512396694</v>
      </c>
      <c r="AW1211" s="36"/>
      <c r="AX1211" s="34"/>
    </row>
    <row r="1212" ht="14.5" spans="1:50">
      <c r="A1212" s="32"/>
      <c r="B1212" s="36"/>
      <c r="C1212" s="91" t="s">
        <v>1105</v>
      </c>
      <c r="D1212" s="69" t="s">
        <v>25</v>
      </c>
      <c r="E1212" s="129" t="s">
        <v>1261</v>
      </c>
      <c r="F1212" s="129" t="s">
        <v>1261</v>
      </c>
      <c r="G1212" s="129" t="s">
        <v>1261</v>
      </c>
      <c r="H1212" s="129" t="s">
        <v>1261</v>
      </c>
      <c r="I1212" s="71">
        <v>0.9</v>
      </c>
      <c r="J1212" s="72">
        <v>0.925925925925926</v>
      </c>
      <c r="K1212" s="72">
        <v>0.882352941176471</v>
      </c>
      <c r="L1212" s="73">
        <v>1</v>
      </c>
      <c r="M1212" s="72">
        <v>0.900662251655629</v>
      </c>
      <c r="N1212" s="74">
        <v>0.9</v>
      </c>
      <c r="O1212" s="72">
        <v>0.803808424697057</v>
      </c>
      <c r="P1212" s="72">
        <v>0.894461538461538</v>
      </c>
      <c r="Q1212" s="72">
        <v>0.921141454433875</v>
      </c>
      <c r="R1212" s="72">
        <v>0.905481461268206</v>
      </c>
      <c r="S1212" s="74">
        <v>0.9</v>
      </c>
      <c r="T1212" s="72">
        <v>0.71465666474322</v>
      </c>
      <c r="U1212" s="72">
        <v>0.856615384615385</v>
      </c>
      <c r="V1212" s="72">
        <v>0.858545566124578</v>
      </c>
      <c r="W1212" s="72">
        <v>0.832997919295972</v>
      </c>
      <c r="X1212" s="74">
        <v>0.92</v>
      </c>
      <c r="Y1212" s="74">
        <v>0.831739961759082</v>
      </c>
      <c r="Z1212" s="74">
        <v>0.902777777777778</v>
      </c>
      <c r="AA1212" s="74">
        <v>0.954459203036053</v>
      </c>
      <c r="AB1212" s="74">
        <v>0.921447631754503</v>
      </c>
      <c r="AC1212" s="74">
        <v>0.92</v>
      </c>
      <c r="AD1212" s="72">
        <v>0.998434564809017</v>
      </c>
      <c r="AE1212" s="72">
        <v>0.998979145398862</v>
      </c>
      <c r="AF1212" s="72">
        <v>0.99731310257626</v>
      </c>
      <c r="AG1212" s="72">
        <v>0.995733072188025</v>
      </c>
      <c r="AH1212" s="74">
        <v>0.92</v>
      </c>
      <c r="AI1212" s="72">
        <v>0.908999749310604</v>
      </c>
      <c r="AJ1212" s="72">
        <v>0.957919498170413</v>
      </c>
      <c r="AK1212" s="72">
        <v>0.970153195985209</v>
      </c>
      <c r="AL1212" s="72">
        <v>0.955741186464675</v>
      </c>
      <c r="AM1212" s="71">
        <v>0.99</v>
      </c>
      <c r="AN1212" s="76">
        <v>1</v>
      </c>
      <c r="AO1212" s="76">
        <v>1</v>
      </c>
      <c r="AP1212" s="76">
        <v>1</v>
      </c>
      <c r="AQ1212" s="76">
        <v>1</v>
      </c>
      <c r="AR1212" s="96">
        <v>0.0721861525408278</v>
      </c>
      <c r="AS1212" s="80">
        <v>0.0434782608695652</v>
      </c>
      <c r="AT1212" s="80">
        <v>0</v>
      </c>
      <c r="AU1212" s="80">
        <v>0.133333333333333</v>
      </c>
      <c r="AV1212" s="80">
        <v>0.0408163265306122</v>
      </c>
      <c r="AW1212" s="36"/>
      <c r="AX1212" s="34"/>
    </row>
    <row r="1213" ht="14.5" spans="1:50">
      <c r="A1213" s="32"/>
      <c r="B1213" s="36"/>
      <c r="C1213" s="91" t="s">
        <v>1105</v>
      </c>
      <c r="D1213" s="69" t="s">
        <v>25</v>
      </c>
      <c r="E1213" s="129" t="s">
        <v>1262</v>
      </c>
      <c r="F1213" s="129" t="s">
        <v>1262</v>
      </c>
      <c r="G1213" s="129" t="s">
        <v>1262</v>
      </c>
      <c r="H1213" s="129" t="s">
        <v>1262</v>
      </c>
      <c r="I1213" s="71">
        <v>0.9</v>
      </c>
      <c r="J1213" s="72">
        <v>0.777777777777778</v>
      </c>
      <c r="K1213" s="72">
        <v>0.884615384615385</v>
      </c>
      <c r="L1213" s="73">
        <v>0.891304347826087</v>
      </c>
      <c r="M1213" s="72">
        <v>0.86405529953917</v>
      </c>
      <c r="N1213" s="74">
        <v>0.9</v>
      </c>
      <c r="O1213" s="72">
        <v>0.770289179104478</v>
      </c>
      <c r="P1213" s="72">
        <v>0.952997095326116</v>
      </c>
      <c r="Q1213" s="72">
        <v>0.881450119079121</v>
      </c>
      <c r="R1213" s="72">
        <v>0.844108959632425</v>
      </c>
      <c r="S1213" s="74">
        <v>0.9</v>
      </c>
      <c r="T1213" s="72">
        <v>0.529151119402985</v>
      </c>
      <c r="U1213" s="72">
        <v>0.708476366517032</v>
      </c>
      <c r="V1213" s="72">
        <v>0.63006086266208</v>
      </c>
      <c r="W1213" s="72">
        <v>0.620801881632207</v>
      </c>
      <c r="X1213" s="74">
        <v>0.92</v>
      </c>
      <c r="Y1213" s="74">
        <v>0.414878397711016</v>
      </c>
      <c r="Z1213" s="74">
        <v>0.669135802469136</v>
      </c>
      <c r="AA1213" s="74">
        <v>0.608851674641148</v>
      </c>
      <c r="AB1213" s="74">
        <v>0.614813867212486</v>
      </c>
      <c r="AC1213" s="74">
        <v>0.92</v>
      </c>
      <c r="AD1213" s="72">
        <v>1</v>
      </c>
      <c r="AE1213" s="72">
        <v>0.737864077669903</v>
      </c>
      <c r="AF1213" s="72">
        <v>1</v>
      </c>
      <c r="AG1213" s="72">
        <v>0.963435867672664</v>
      </c>
      <c r="AH1213" s="74">
        <v>0.92</v>
      </c>
      <c r="AI1213" s="72">
        <v>0.71185081211149</v>
      </c>
      <c r="AJ1213" s="72">
        <v>0.838842975206612</v>
      </c>
      <c r="AK1213" s="72">
        <v>0.791549295774648</v>
      </c>
      <c r="AL1213" s="72">
        <v>0.81705118961788</v>
      </c>
      <c r="AM1213" s="71">
        <v>0.99</v>
      </c>
      <c r="AN1213" s="76">
        <v>1</v>
      </c>
      <c r="AO1213" s="76">
        <v>1</v>
      </c>
      <c r="AP1213" s="76">
        <v>1</v>
      </c>
      <c r="AQ1213" s="76">
        <v>1</v>
      </c>
      <c r="AR1213" s="96">
        <v>0.0721861525408278</v>
      </c>
      <c r="AS1213" s="80">
        <v>0.0689655172413793</v>
      </c>
      <c r="AT1213" s="80">
        <v>0</v>
      </c>
      <c r="AU1213" s="80">
        <v>0</v>
      </c>
      <c r="AV1213" s="80">
        <v>0.0490196078431373</v>
      </c>
      <c r="AW1213" s="36"/>
      <c r="AX1213" s="34"/>
    </row>
    <row r="1214" ht="14.5" spans="1:50">
      <c r="A1214" s="32"/>
      <c r="B1214" s="36"/>
      <c r="C1214" s="91" t="s">
        <v>1105</v>
      </c>
      <c r="D1214" s="69" t="s">
        <v>25</v>
      </c>
      <c r="E1214" s="129" t="s">
        <v>1263</v>
      </c>
      <c r="F1214" s="129" t="s">
        <v>1263</v>
      </c>
      <c r="G1214" s="129" t="s">
        <v>1263</v>
      </c>
      <c r="H1214" s="129" t="s">
        <v>1263</v>
      </c>
      <c r="I1214" s="71">
        <v>0.9</v>
      </c>
      <c r="J1214" s="72">
        <v>0.864864864864865</v>
      </c>
      <c r="K1214" s="72">
        <v>0.904761904761905</v>
      </c>
      <c r="L1214" s="73">
        <v>0.787234042553192</v>
      </c>
      <c r="M1214" s="72">
        <v>0.868686868686869</v>
      </c>
      <c r="N1214" s="74">
        <v>0.9</v>
      </c>
      <c r="O1214" s="72">
        <v>0.976696012428793</v>
      </c>
      <c r="P1214" s="72">
        <v>0.996234534696073</v>
      </c>
      <c r="Q1214" s="72">
        <v>0.997568224804107</v>
      </c>
      <c r="R1214" s="72">
        <v>0.97999648547329</v>
      </c>
      <c r="S1214" s="74">
        <v>0.9</v>
      </c>
      <c r="T1214" s="72">
        <v>0.809166235111341</v>
      </c>
      <c r="U1214" s="72">
        <v>0.896180742334588</v>
      </c>
      <c r="V1214" s="72">
        <v>0.915428262631721</v>
      </c>
      <c r="W1214" s="72">
        <v>0.885045688847235</v>
      </c>
      <c r="X1214" s="74">
        <v>0.92</v>
      </c>
      <c r="Y1214" s="74">
        <v>0.872448979591837</v>
      </c>
      <c r="Z1214" s="74">
        <v>0.93134328358209</v>
      </c>
      <c r="AA1214" s="74">
        <v>0.931488801054018</v>
      </c>
      <c r="AB1214" s="74">
        <v>0.93354160749787</v>
      </c>
      <c r="AC1214" s="74">
        <v>0.92</v>
      </c>
      <c r="AD1214" s="72">
        <v>1</v>
      </c>
      <c r="AE1214" s="72">
        <v>1</v>
      </c>
      <c r="AF1214" s="72">
        <v>1</v>
      </c>
      <c r="AG1214" s="72">
        <v>0.999158957106812</v>
      </c>
      <c r="AH1214" s="74">
        <v>0.92</v>
      </c>
      <c r="AI1214" s="72">
        <v>0.915280898876405</v>
      </c>
      <c r="AJ1214" s="72">
        <v>0.973564266180492</v>
      </c>
      <c r="AK1214" s="72">
        <v>0.975790181573638</v>
      </c>
      <c r="AL1214" s="72">
        <v>0.964284847160512</v>
      </c>
      <c r="AM1214" s="71">
        <v>0.99</v>
      </c>
      <c r="AN1214" s="76">
        <v>1</v>
      </c>
      <c r="AO1214" s="76">
        <v>1</v>
      </c>
      <c r="AP1214" s="76">
        <v>1</v>
      </c>
      <c r="AQ1214" s="76">
        <v>1</v>
      </c>
      <c r="AR1214" s="96">
        <v>0.0721861525408278</v>
      </c>
      <c r="AS1214" s="80">
        <v>0.03125</v>
      </c>
      <c r="AT1214" s="80">
        <v>0.08</v>
      </c>
      <c r="AU1214" s="80">
        <v>0.04</v>
      </c>
      <c r="AV1214" s="80">
        <v>0.0135746606334842</v>
      </c>
      <c r="AW1214" s="36"/>
      <c r="AX1214" s="34"/>
    </row>
    <row r="1215" ht="14.5" spans="1:50">
      <c r="A1215" s="32"/>
      <c r="B1215" s="36"/>
      <c r="C1215" s="91" t="s">
        <v>1105</v>
      </c>
      <c r="D1215" s="69" t="s">
        <v>25</v>
      </c>
      <c r="E1215" s="129" t="s">
        <v>1264</v>
      </c>
      <c r="F1215" s="129" t="s">
        <v>1264</v>
      </c>
      <c r="G1215" s="129" t="s">
        <v>1264</v>
      </c>
      <c r="H1215" s="129" t="s">
        <v>1264</v>
      </c>
      <c r="I1215" s="71">
        <v>0.9</v>
      </c>
      <c r="J1215" s="72">
        <v>0</v>
      </c>
      <c r="K1215" s="72">
        <v>0</v>
      </c>
      <c r="L1215" s="73">
        <v>0</v>
      </c>
      <c r="M1215" s="72">
        <v>0</v>
      </c>
      <c r="N1215" s="74">
        <v>0.9</v>
      </c>
      <c r="O1215" s="72">
        <v>0</v>
      </c>
      <c r="P1215" s="72">
        <v>0</v>
      </c>
      <c r="Q1215" s="72">
        <v>0</v>
      </c>
      <c r="R1215" s="72">
        <v>0</v>
      </c>
      <c r="S1215" s="74">
        <v>0.9</v>
      </c>
      <c r="T1215" s="72">
        <v>0.25</v>
      </c>
      <c r="U1215" s="72">
        <v>0</v>
      </c>
      <c r="V1215" s="72">
        <v>1</v>
      </c>
      <c r="W1215" s="72">
        <v>0.285714285714286</v>
      </c>
      <c r="X1215" s="74">
        <v>0.92</v>
      </c>
      <c r="Y1215" s="74">
        <v>0</v>
      </c>
      <c r="Z1215" s="74">
        <v>0</v>
      </c>
      <c r="AA1215" s="74">
        <v>0</v>
      </c>
      <c r="AB1215" s="74">
        <v>1</v>
      </c>
      <c r="AC1215" s="74">
        <v>0.92</v>
      </c>
      <c r="AD1215" s="72">
        <v>0.999675008124797</v>
      </c>
      <c r="AE1215" s="72">
        <v>0.656925996204934</v>
      </c>
      <c r="AF1215" s="72">
        <v>0.671045429666119</v>
      </c>
      <c r="AG1215" s="72">
        <v>0.821656956089243</v>
      </c>
      <c r="AH1215" s="74">
        <v>0.92</v>
      </c>
      <c r="AI1215" s="72">
        <v>0.25</v>
      </c>
      <c r="AJ1215" s="72">
        <v>0.333333333333333</v>
      </c>
      <c r="AK1215" s="72">
        <v>1</v>
      </c>
      <c r="AL1215" s="72">
        <v>0.5</v>
      </c>
      <c r="AM1215" s="71">
        <v>0.99</v>
      </c>
      <c r="AN1215" s="76">
        <v>1</v>
      </c>
      <c r="AO1215" s="76">
        <v>1</v>
      </c>
      <c r="AP1215" s="76">
        <v>1</v>
      </c>
      <c r="AQ1215" s="76">
        <v>1</v>
      </c>
      <c r="AR1215" s="96">
        <v>0.0721861525408278</v>
      </c>
      <c r="AS1215" s="80">
        <v>0</v>
      </c>
      <c r="AT1215" s="80">
        <v>0</v>
      </c>
      <c r="AU1215" s="80">
        <v>0</v>
      </c>
      <c r="AV1215" s="80">
        <v>0</v>
      </c>
      <c r="AW1215" s="36"/>
      <c r="AX1215" s="34"/>
    </row>
    <row r="1216" ht="14.5" spans="1:50">
      <c r="A1216" s="32"/>
      <c r="B1216" s="36"/>
      <c r="C1216" s="91" t="s">
        <v>1105</v>
      </c>
      <c r="D1216" s="69" t="s">
        <v>25</v>
      </c>
      <c r="E1216" s="129" t="s">
        <v>1265</v>
      </c>
      <c r="F1216" s="129" t="s">
        <v>1265</v>
      </c>
      <c r="G1216" s="129" t="s">
        <v>1265</v>
      </c>
      <c r="H1216" s="129" t="s">
        <v>1265</v>
      </c>
      <c r="I1216" s="71">
        <v>0.9</v>
      </c>
      <c r="J1216" s="72">
        <v>0.939393939393939</v>
      </c>
      <c r="K1216" s="72">
        <v>0.975</v>
      </c>
      <c r="L1216" s="73">
        <v>1</v>
      </c>
      <c r="M1216" s="72">
        <v>0.954907161803713</v>
      </c>
      <c r="N1216" s="74">
        <v>0.9</v>
      </c>
      <c r="O1216" s="72">
        <v>0.747594226142743</v>
      </c>
      <c r="P1216" s="72">
        <v>0.989059080962801</v>
      </c>
      <c r="Q1216" s="72">
        <v>0.984137331594959</v>
      </c>
      <c r="R1216" s="72">
        <v>0.898160283481384</v>
      </c>
      <c r="S1216" s="74">
        <v>0.9</v>
      </c>
      <c r="T1216" s="72">
        <v>0.633319967923015</v>
      </c>
      <c r="U1216" s="72">
        <v>0.837417943107221</v>
      </c>
      <c r="V1216" s="72">
        <v>0.85180356366797</v>
      </c>
      <c r="W1216" s="72">
        <v>0.793747876316684</v>
      </c>
      <c r="X1216" s="74">
        <v>0.92</v>
      </c>
      <c r="Y1216" s="74">
        <v>0.753787878787879</v>
      </c>
      <c r="Z1216" s="74">
        <v>0.915297092288243</v>
      </c>
      <c r="AA1216" s="74">
        <v>0.928136419001218</v>
      </c>
      <c r="AB1216" s="74">
        <v>0.900420266168573</v>
      </c>
      <c r="AC1216" s="74">
        <v>0.92</v>
      </c>
      <c r="AD1216" s="72">
        <v>0.998764415156507</v>
      </c>
      <c r="AE1216" s="72">
        <v>0.995086372360845</v>
      </c>
      <c r="AF1216" s="72">
        <v>0.997755541008136</v>
      </c>
      <c r="AG1216" s="72">
        <v>0.990596112633408</v>
      </c>
      <c r="AH1216" s="74">
        <v>0.92</v>
      </c>
      <c r="AI1216" s="72">
        <v>0.828719723183391</v>
      </c>
      <c r="AJ1216" s="72">
        <v>0.947770938257788</v>
      </c>
      <c r="AK1216" s="72">
        <v>0.959432048681542</v>
      </c>
      <c r="AL1216" s="72">
        <v>0.934621875753436</v>
      </c>
      <c r="AM1216" s="71">
        <v>0.99</v>
      </c>
      <c r="AN1216" s="76">
        <v>1</v>
      </c>
      <c r="AO1216" s="76">
        <v>1</v>
      </c>
      <c r="AP1216" s="76">
        <v>1</v>
      </c>
      <c r="AQ1216" s="76">
        <v>1</v>
      </c>
      <c r="AR1216" s="96">
        <v>0.0721861525408278</v>
      </c>
      <c r="AS1216" s="80">
        <v>0</v>
      </c>
      <c r="AT1216" s="80">
        <v>0.0810810810810811</v>
      </c>
      <c r="AU1216" s="80">
        <v>-0.025</v>
      </c>
      <c r="AV1216" s="80">
        <v>0</v>
      </c>
      <c r="AW1216" s="36"/>
      <c r="AX1216" s="34"/>
    </row>
    <row r="1217" ht="14.5" spans="1:50">
      <c r="A1217" s="32"/>
      <c r="B1217" s="36"/>
      <c r="C1217" s="91" t="s">
        <v>1105</v>
      </c>
      <c r="D1217" s="69" t="s">
        <v>25</v>
      </c>
      <c r="E1217" s="130" t="s">
        <v>1266</v>
      </c>
      <c r="F1217" s="130" t="s">
        <v>1266</v>
      </c>
      <c r="G1217" s="130" t="s">
        <v>1266</v>
      </c>
      <c r="H1217" s="130" t="s">
        <v>1266</v>
      </c>
      <c r="I1217" s="71">
        <v>0.9</v>
      </c>
      <c r="J1217" s="72">
        <v>1</v>
      </c>
      <c r="K1217" s="72">
        <v>0.964285714285714</v>
      </c>
      <c r="L1217" s="73">
        <v>0.933333333333333</v>
      </c>
      <c r="M1217" s="72">
        <v>0.946153846153846</v>
      </c>
      <c r="N1217" s="74">
        <v>0.9</v>
      </c>
      <c r="O1217" s="72">
        <v>0.93287037037037</v>
      </c>
      <c r="P1217" s="72">
        <v>0.952662721893491</v>
      </c>
      <c r="Q1217" s="72">
        <v>0.979802143446002</v>
      </c>
      <c r="R1217" s="72">
        <v>0.970162748643761</v>
      </c>
      <c r="S1217" s="74">
        <v>0.9</v>
      </c>
      <c r="T1217" s="72">
        <v>0.738811728395062</v>
      </c>
      <c r="U1217" s="72">
        <v>0.835587489433643</v>
      </c>
      <c r="V1217" s="72">
        <v>0.893239901071723</v>
      </c>
      <c r="W1217" s="72">
        <v>0.848462929475588</v>
      </c>
      <c r="X1217" s="74">
        <v>0.92</v>
      </c>
      <c r="Y1217" s="74">
        <v>0.788804071246819</v>
      </c>
      <c r="Z1217" s="74">
        <v>0.863453815261044</v>
      </c>
      <c r="AA1217" s="74">
        <v>0.926470588235294</v>
      </c>
      <c r="AB1217" s="74">
        <v>0.87202192705039</v>
      </c>
      <c r="AC1217" s="74">
        <v>0.92</v>
      </c>
      <c r="AD1217" s="72">
        <v>0.996339059419882</v>
      </c>
      <c r="AE1217" s="72">
        <v>0.997616777883699</v>
      </c>
      <c r="AF1217" s="72">
        <v>0.998410535876476</v>
      </c>
      <c r="AG1217" s="72">
        <v>0.997506035923695</v>
      </c>
      <c r="AH1217" s="74">
        <v>0.92</v>
      </c>
      <c r="AI1217" s="72">
        <v>0.836850921273032</v>
      </c>
      <c r="AJ1217" s="72">
        <v>0.928421787709497</v>
      </c>
      <c r="AK1217" s="72">
        <v>0.964507236388697</v>
      </c>
      <c r="AL1217" s="72">
        <v>0.929494099691025</v>
      </c>
      <c r="AM1217" s="71">
        <v>0.99</v>
      </c>
      <c r="AN1217" s="76">
        <v>1</v>
      </c>
      <c r="AO1217" s="76">
        <v>1</v>
      </c>
      <c r="AP1217" s="76">
        <v>1</v>
      </c>
      <c r="AQ1217" s="76">
        <v>1</v>
      </c>
      <c r="AR1217" s="96">
        <v>0.0721861525408278</v>
      </c>
      <c r="AS1217" s="80">
        <v>0</v>
      </c>
      <c r="AT1217" s="80">
        <v>0.05</v>
      </c>
      <c r="AU1217" s="80">
        <v>0.105263157894737</v>
      </c>
      <c r="AV1217" s="80">
        <v>0.0466666666666667</v>
      </c>
      <c r="AW1217" s="36"/>
      <c r="AX1217" s="34"/>
    </row>
    <row r="1218" ht="14.5" spans="1:50">
      <c r="A1218" s="32"/>
      <c r="B1218" s="36"/>
      <c r="C1218" s="91" t="s">
        <v>1105</v>
      </c>
      <c r="D1218" s="69" t="s">
        <v>25</v>
      </c>
      <c r="E1218" s="129" t="s">
        <v>1267</v>
      </c>
      <c r="F1218" s="129" t="s">
        <v>1267</v>
      </c>
      <c r="G1218" s="129" t="s">
        <v>1267</v>
      </c>
      <c r="H1218" s="129" t="s">
        <v>1267</v>
      </c>
      <c r="I1218" s="71">
        <v>0.9</v>
      </c>
      <c r="J1218" s="72">
        <v>0</v>
      </c>
      <c r="K1218" s="72">
        <v>0</v>
      </c>
      <c r="L1218" s="73">
        <v>0</v>
      </c>
      <c r="M1218" s="72">
        <v>0</v>
      </c>
      <c r="N1218" s="74">
        <v>0.9</v>
      </c>
      <c r="O1218" s="72">
        <v>0.333333333333333</v>
      </c>
      <c r="P1218" s="72">
        <v>0</v>
      </c>
      <c r="Q1218" s="72">
        <v>0</v>
      </c>
      <c r="R1218" s="72">
        <v>0.3</v>
      </c>
      <c r="S1218" s="74">
        <v>0.9</v>
      </c>
      <c r="T1218" s="72">
        <v>0.666666666666667</v>
      </c>
      <c r="U1218" s="72">
        <v>1</v>
      </c>
      <c r="V1218" s="72">
        <v>1</v>
      </c>
      <c r="W1218" s="72">
        <v>0.9</v>
      </c>
      <c r="X1218" s="74">
        <v>0.92</v>
      </c>
      <c r="Y1218" s="74">
        <v>0</v>
      </c>
      <c r="Z1218" s="74">
        <v>0</v>
      </c>
      <c r="AA1218" s="74">
        <v>0</v>
      </c>
      <c r="AB1218" s="74">
        <v>0</v>
      </c>
      <c r="AC1218" s="74">
        <v>0.92</v>
      </c>
      <c r="AD1218" s="72">
        <v>0.999558303886926</v>
      </c>
      <c r="AE1218" s="72">
        <v>0.95936579448969</v>
      </c>
      <c r="AF1218" s="72">
        <v>0.989328063241107</v>
      </c>
      <c r="AG1218" s="72">
        <v>0.977073780741976</v>
      </c>
      <c r="AH1218" s="74">
        <v>0.92</v>
      </c>
      <c r="AI1218" s="72">
        <v>0.75</v>
      </c>
      <c r="AJ1218" s="72">
        <v>1</v>
      </c>
      <c r="AK1218" s="72">
        <v>1</v>
      </c>
      <c r="AL1218" s="72">
        <v>0.933333333333333</v>
      </c>
      <c r="AM1218" s="71">
        <v>0.99</v>
      </c>
      <c r="AN1218" s="76">
        <v>1</v>
      </c>
      <c r="AO1218" s="76">
        <v>1</v>
      </c>
      <c r="AP1218" s="76">
        <v>1</v>
      </c>
      <c r="AQ1218" s="76">
        <v>1</v>
      </c>
      <c r="AR1218" s="96">
        <v>0.0721861525408278</v>
      </c>
      <c r="AS1218" s="80">
        <v>0</v>
      </c>
      <c r="AT1218" s="80">
        <v>0</v>
      </c>
      <c r="AU1218" s="80">
        <v>0</v>
      </c>
      <c r="AV1218" s="80">
        <v>0</v>
      </c>
      <c r="AW1218" s="36"/>
      <c r="AX1218" s="34"/>
    </row>
    <row r="1219" ht="14.5" spans="1:50">
      <c r="A1219" s="32"/>
      <c r="B1219" s="36"/>
      <c r="C1219" s="91" t="s">
        <v>1105</v>
      </c>
      <c r="D1219" s="69" t="s">
        <v>25</v>
      </c>
      <c r="E1219" s="129" t="s">
        <v>1268</v>
      </c>
      <c r="F1219" s="129" t="s">
        <v>1268</v>
      </c>
      <c r="G1219" s="129" t="s">
        <v>1268</v>
      </c>
      <c r="H1219" s="129" t="s">
        <v>1268</v>
      </c>
      <c r="I1219" s="71">
        <v>0.9</v>
      </c>
      <c r="J1219" s="72">
        <v>0</v>
      </c>
      <c r="K1219" s="72">
        <v>0</v>
      </c>
      <c r="L1219" s="73">
        <v>0</v>
      </c>
      <c r="M1219" s="72">
        <v>0</v>
      </c>
      <c r="N1219" s="74">
        <v>0.9</v>
      </c>
      <c r="O1219" s="72">
        <v>0.996268656716418</v>
      </c>
      <c r="P1219" s="72">
        <v>0.99646017699115</v>
      </c>
      <c r="Q1219" s="72">
        <v>1</v>
      </c>
      <c r="R1219" s="72">
        <v>0.996531791907514</v>
      </c>
      <c r="S1219" s="74">
        <v>0.9</v>
      </c>
      <c r="T1219" s="72">
        <v>0.996268656716418</v>
      </c>
      <c r="U1219" s="72">
        <v>0.994690265486726</v>
      </c>
      <c r="V1219" s="72">
        <v>1</v>
      </c>
      <c r="W1219" s="72">
        <v>0.997456647398844</v>
      </c>
      <c r="X1219" s="74">
        <v>0.92</v>
      </c>
      <c r="Y1219" s="74">
        <v>1</v>
      </c>
      <c r="Z1219" s="74">
        <v>1</v>
      </c>
      <c r="AA1219" s="74">
        <v>0.989247311827957</v>
      </c>
      <c r="AB1219" s="74">
        <v>0.997737556561086</v>
      </c>
      <c r="AC1219" s="74">
        <v>0.92</v>
      </c>
      <c r="AD1219" s="72">
        <v>0.999398948159279</v>
      </c>
      <c r="AE1219" s="72">
        <v>0.992428617260186</v>
      </c>
      <c r="AF1219" s="72">
        <v>0.997591430563478</v>
      </c>
      <c r="AG1219" s="72">
        <v>0.96658111809627</v>
      </c>
      <c r="AH1219" s="74">
        <v>0.92</v>
      </c>
      <c r="AI1219" s="72">
        <v>0.996715927750411</v>
      </c>
      <c r="AJ1219" s="72">
        <v>0.99537037037037</v>
      </c>
      <c r="AK1219" s="72">
        <v>0.998527245949926</v>
      </c>
      <c r="AL1219" s="72">
        <v>0.997506234413965</v>
      </c>
      <c r="AM1219" s="71">
        <v>0.99</v>
      </c>
      <c r="AN1219" s="76">
        <v>1</v>
      </c>
      <c r="AO1219" s="76">
        <v>1</v>
      </c>
      <c r="AP1219" s="76">
        <v>1</v>
      </c>
      <c r="AQ1219" s="76">
        <v>1</v>
      </c>
      <c r="AR1219" s="96">
        <v>0.0721861525408278</v>
      </c>
      <c r="AS1219" s="80">
        <v>0</v>
      </c>
      <c r="AT1219" s="80">
        <v>0</v>
      </c>
      <c r="AU1219" s="80">
        <v>0</v>
      </c>
      <c r="AV1219" s="80">
        <v>0.00694444444444444</v>
      </c>
      <c r="AW1219" s="36"/>
      <c r="AX1219" s="34"/>
    </row>
    <row r="1220" ht="14.5" spans="1:50">
      <c r="A1220" s="32"/>
      <c r="B1220" s="36"/>
      <c r="C1220" s="91" t="s">
        <v>1105</v>
      </c>
      <c r="D1220" s="69" t="s">
        <v>25</v>
      </c>
      <c r="E1220" s="131" t="s">
        <v>1269</v>
      </c>
      <c r="F1220" s="131" t="s">
        <v>1269</v>
      </c>
      <c r="G1220" s="131" t="s">
        <v>1269</v>
      </c>
      <c r="H1220" s="131" t="s">
        <v>1269</v>
      </c>
      <c r="I1220" s="71">
        <v>0.9</v>
      </c>
      <c r="J1220" s="72">
        <v>0.933333333333333</v>
      </c>
      <c r="K1220" s="72">
        <v>1</v>
      </c>
      <c r="L1220" s="73">
        <v>0.9375</v>
      </c>
      <c r="M1220" s="72">
        <v>0.914473684210526</v>
      </c>
      <c r="N1220" s="74">
        <v>0.9</v>
      </c>
      <c r="O1220" s="72">
        <v>0.945174186179326</v>
      </c>
      <c r="P1220" s="72">
        <v>0.895720313441832</v>
      </c>
      <c r="Q1220" s="72">
        <v>0.924232936756418</v>
      </c>
      <c r="R1220" s="72">
        <v>0.937130801687764</v>
      </c>
      <c r="S1220" s="74">
        <v>0.9</v>
      </c>
      <c r="T1220" s="72">
        <v>0.837235865219874</v>
      </c>
      <c r="U1220" s="72">
        <v>0.921639541892706</v>
      </c>
      <c r="V1220" s="72">
        <v>0.897307451471509</v>
      </c>
      <c r="W1220" s="72">
        <v>0.899367088607595</v>
      </c>
      <c r="X1220" s="74">
        <v>0.92</v>
      </c>
      <c r="Y1220" s="74">
        <v>0.919014084507042</v>
      </c>
      <c r="Z1220" s="74">
        <v>0.921052631578947</v>
      </c>
      <c r="AA1220" s="74">
        <v>0.966759002770083</v>
      </c>
      <c r="AB1220" s="74">
        <v>0.941395348837209</v>
      </c>
      <c r="AC1220" s="74">
        <v>0.92</v>
      </c>
      <c r="AD1220" s="72">
        <v>0.951785118451785</v>
      </c>
      <c r="AE1220" s="72">
        <v>0.905814135715405</v>
      </c>
      <c r="AF1220" s="72">
        <v>0.944407196334786</v>
      </c>
      <c r="AG1220" s="72">
        <v>0.873968907595877</v>
      </c>
      <c r="AH1220" s="74">
        <v>0.92</v>
      </c>
      <c r="AI1220" s="72">
        <v>0.955304518664047</v>
      </c>
      <c r="AJ1220" s="72">
        <v>0.951524237881059</v>
      </c>
      <c r="AK1220" s="72">
        <v>0.975497702909648</v>
      </c>
      <c r="AL1220" s="72">
        <v>0.96956845664508</v>
      </c>
      <c r="AM1220" s="71">
        <v>0.99</v>
      </c>
      <c r="AN1220" s="76">
        <v>1</v>
      </c>
      <c r="AO1220" s="76">
        <v>1</v>
      </c>
      <c r="AP1220" s="76">
        <v>1</v>
      </c>
      <c r="AQ1220" s="76">
        <v>1</v>
      </c>
      <c r="AR1220" s="96">
        <v>0.0721861525408278</v>
      </c>
      <c r="AS1220" s="80">
        <v>0</v>
      </c>
      <c r="AT1220" s="80">
        <v>0</v>
      </c>
      <c r="AU1220" s="80">
        <v>0.0833333333333333</v>
      </c>
      <c r="AV1220" s="80">
        <v>0.0588235294117647</v>
      </c>
      <c r="AW1220" s="36"/>
      <c r="AX1220" s="34"/>
    </row>
    <row r="1221" ht="14.5" spans="1:50">
      <c r="A1221" s="32"/>
      <c r="B1221" s="36"/>
      <c r="C1221" s="91" t="s">
        <v>1105</v>
      </c>
      <c r="D1221" s="69" t="s">
        <v>25</v>
      </c>
      <c r="E1221" s="129" t="s">
        <v>1270</v>
      </c>
      <c r="F1221" s="129" t="s">
        <v>1270</v>
      </c>
      <c r="G1221" s="129" t="s">
        <v>1270</v>
      </c>
      <c r="H1221" s="129" t="s">
        <v>1270</v>
      </c>
      <c r="I1221" s="71">
        <v>0.9</v>
      </c>
      <c r="J1221" s="72">
        <v>0</v>
      </c>
      <c r="K1221" s="72">
        <v>0</v>
      </c>
      <c r="L1221" s="73">
        <v>0</v>
      </c>
      <c r="M1221" s="72">
        <v>0</v>
      </c>
      <c r="N1221" s="74">
        <v>0.9</v>
      </c>
      <c r="O1221" s="72">
        <v>0</v>
      </c>
      <c r="P1221" s="72">
        <v>0</v>
      </c>
      <c r="Q1221" s="72">
        <v>0</v>
      </c>
      <c r="R1221" s="72">
        <v>0</v>
      </c>
      <c r="S1221" s="74">
        <v>0.9</v>
      </c>
      <c r="T1221" s="72">
        <v>0.4</v>
      </c>
      <c r="U1221" s="72">
        <v>0.5</v>
      </c>
      <c r="V1221" s="72">
        <v>0</v>
      </c>
      <c r="W1221" s="72">
        <v>0.555555555555556</v>
      </c>
      <c r="X1221" s="74">
        <v>0.92</v>
      </c>
      <c r="Y1221" s="74">
        <v>0</v>
      </c>
      <c r="Z1221" s="74">
        <v>0</v>
      </c>
      <c r="AA1221" s="74">
        <v>0</v>
      </c>
      <c r="AB1221" s="74">
        <v>0</v>
      </c>
      <c r="AC1221" s="74">
        <v>0.92</v>
      </c>
      <c r="AD1221" s="72">
        <v>1</v>
      </c>
      <c r="AE1221" s="72">
        <v>0.999019195740507</v>
      </c>
      <c r="AF1221" s="72">
        <v>0.999060444722831</v>
      </c>
      <c r="AG1221" s="72">
        <v>0.900711252844116</v>
      </c>
      <c r="AH1221" s="74">
        <v>0.92</v>
      </c>
      <c r="AI1221" s="72">
        <v>0.4</v>
      </c>
      <c r="AJ1221" s="72">
        <v>0.5</v>
      </c>
      <c r="AK1221" s="72">
        <v>0</v>
      </c>
      <c r="AL1221" s="72">
        <v>0.555555555555556</v>
      </c>
      <c r="AM1221" s="71">
        <v>0.99</v>
      </c>
      <c r="AN1221" s="76">
        <v>1</v>
      </c>
      <c r="AO1221" s="76">
        <v>1</v>
      </c>
      <c r="AP1221" s="76">
        <v>1</v>
      </c>
      <c r="AQ1221" s="76">
        <v>1</v>
      </c>
      <c r="AR1221" s="96">
        <v>0.0721861525408278</v>
      </c>
      <c r="AS1221" s="80">
        <v>0</v>
      </c>
      <c r="AT1221" s="80">
        <v>0</v>
      </c>
      <c r="AU1221" s="80">
        <v>0</v>
      </c>
      <c r="AV1221" s="80">
        <v>0</v>
      </c>
      <c r="AW1221" s="36"/>
      <c r="AX1221" s="34"/>
    </row>
    <row r="1222" ht="14.5" spans="1:50">
      <c r="A1222" s="32"/>
      <c r="B1222" s="36"/>
      <c r="C1222" s="91" t="s">
        <v>1105</v>
      </c>
      <c r="D1222" s="69" t="s">
        <v>25</v>
      </c>
      <c r="E1222" s="129" t="s">
        <v>1271</v>
      </c>
      <c r="F1222" s="129" t="s">
        <v>1271</v>
      </c>
      <c r="G1222" s="129" t="s">
        <v>1271</v>
      </c>
      <c r="H1222" s="129" t="s">
        <v>1271</v>
      </c>
      <c r="I1222" s="71">
        <v>0.9</v>
      </c>
      <c r="J1222" s="72">
        <v>0.981132075471698</v>
      </c>
      <c r="K1222" s="72">
        <v>0.953846153846154</v>
      </c>
      <c r="L1222" s="73">
        <v>0.91044776119403</v>
      </c>
      <c r="M1222" s="72">
        <v>0.962897526501767</v>
      </c>
      <c r="N1222" s="74">
        <v>0.9</v>
      </c>
      <c r="O1222" s="72">
        <v>0.918790218790219</v>
      </c>
      <c r="P1222" s="72">
        <v>0.980076527246339</v>
      </c>
      <c r="Q1222" s="72">
        <v>0.960907779089597</v>
      </c>
      <c r="R1222" s="72">
        <v>0.945850806575041</v>
      </c>
      <c r="S1222" s="74">
        <v>0.9</v>
      </c>
      <c r="T1222" s="72">
        <v>0.840926640926641</v>
      </c>
      <c r="U1222" s="72">
        <v>0.914764480802217</v>
      </c>
      <c r="V1222" s="72">
        <v>0.940049849140758</v>
      </c>
      <c r="W1222" s="72">
        <v>0.901251951391227</v>
      </c>
      <c r="X1222" s="74">
        <v>0.92</v>
      </c>
      <c r="Y1222" s="74">
        <v>0.885856079404467</v>
      </c>
      <c r="Z1222" s="74">
        <v>0.923489932885906</v>
      </c>
      <c r="AA1222" s="74">
        <v>0.936375321336761</v>
      </c>
      <c r="AB1222" s="74">
        <v>0.928877042856141</v>
      </c>
      <c r="AC1222" s="74">
        <v>0.92</v>
      </c>
      <c r="AD1222" s="72">
        <v>0.994775225862632</v>
      </c>
      <c r="AE1222" s="72">
        <v>0.973759962728165</v>
      </c>
      <c r="AF1222" s="72">
        <v>0.984372130980312</v>
      </c>
      <c r="AG1222" s="72">
        <v>0.944696339901589</v>
      </c>
      <c r="AH1222" s="74">
        <v>0.92</v>
      </c>
      <c r="AI1222" s="72">
        <v>0.928642992318824</v>
      </c>
      <c r="AJ1222" s="72">
        <v>0.962950711214026</v>
      </c>
      <c r="AK1222" s="72">
        <v>0.967320261437909</v>
      </c>
      <c r="AL1222" s="72">
        <v>0.960845151808258</v>
      </c>
      <c r="AM1222" s="71">
        <v>0.99</v>
      </c>
      <c r="AN1222" s="76">
        <v>1</v>
      </c>
      <c r="AO1222" s="76">
        <v>1</v>
      </c>
      <c r="AP1222" s="76">
        <v>1</v>
      </c>
      <c r="AQ1222" s="76">
        <v>1</v>
      </c>
      <c r="AR1222" s="96">
        <v>0.0721861525408278</v>
      </c>
      <c r="AS1222" s="80">
        <v>0.037037037037037</v>
      </c>
      <c r="AT1222" s="80">
        <v>0.0285714285714286</v>
      </c>
      <c r="AU1222" s="80">
        <v>0.0294117647058824</v>
      </c>
      <c r="AV1222" s="80">
        <v>0.0469798657718121</v>
      </c>
      <c r="AW1222" s="36"/>
      <c r="AX1222" s="34"/>
    </row>
    <row r="1223" ht="14.5" spans="1:50">
      <c r="A1223" s="32"/>
      <c r="B1223" s="36"/>
      <c r="C1223" s="91" t="s">
        <v>1105</v>
      </c>
      <c r="D1223" s="69" t="s">
        <v>25</v>
      </c>
      <c r="E1223" s="129" t="s">
        <v>1272</v>
      </c>
      <c r="F1223" s="129" t="s">
        <v>1272</v>
      </c>
      <c r="G1223" s="129" t="s">
        <v>1272</v>
      </c>
      <c r="H1223" s="129" t="s">
        <v>1272</v>
      </c>
      <c r="I1223" s="71">
        <v>0.9</v>
      </c>
      <c r="J1223" s="72">
        <v>0.91304347826087</v>
      </c>
      <c r="K1223" s="72">
        <v>0.960526315789474</v>
      </c>
      <c r="L1223" s="73">
        <v>0.929577464788732</v>
      </c>
      <c r="M1223" s="72">
        <v>0.898176291793313</v>
      </c>
      <c r="N1223" s="74">
        <v>0.9</v>
      </c>
      <c r="O1223" s="72">
        <v>0.929491206030151</v>
      </c>
      <c r="P1223" s="72">
        <v>0.959530261969286</v>
      </c>
      <c r="Q1223" s="72">
        <v>0.950843200574094</v>
      </c>
      <c r="R1223" s="72">
        <v>0.952171553676017</v>
      </c>
      <c r="S1223" s="74">
        <v>0.9</v>
      </c>
      <c r="T1223" s="72">
        <v>0.845163316582915</v>
      </c>
      <c r="U1223" s="72">
        <v>0.918157181571816</v>
      </c>
      <c r="V1223" s="72">
        <v>0.911553641908863</v>
      </c>
      <c r="W1223" s="72">
        <v>0.886828465036208</v>
      </c>
      <c r="X1223" s="74">
        <v>0.92</v>
      </c>
      <c r="Y1223" s="74">
        <v>0.888059701492537</v>
      </c>
      <c r="Z1223" s="74">
        <v>0.921220723917672</v>
      </c>
      <c r="AA1223" s="74">
        <v>0.940177849636217</v>
      </c>
      <c r="AB1223" s="74">
        <v>0.932262680871363</v>
      </c>
      <c r="AC1223" s="74">
        <v>0.92</v>
      </c>
      <c r="AD1223" s="72">
        <v>0.997867154174284</v>
      </c>
      <c r="AE1223" s="72">
        <v>0.990082176253896</v>
      </c>
      <c r="AF1223" s="72">
        <v>0.996266123557366</v>
      </c>
      <c r="AG1223" s="72">
        <v>0.995337212772307</v>
      </c>
      <c r="AH1223" s="74">
        <v>0.92</v>
      </c>
      <c r="AI1223" s="72">
        <v>0.934908898864537</v>
      </c>
      <c r="AJ1223" s="72">
        <v>0.960547156227502</v>
      </c>
      <c r="AK1223" s="72">
        <v>0.966676453317675</v>
      </c>
      <c r="AL1223" s="72">
        <v>0.962681367945961</v>
      </c>
      <c r="AM1223" s="71">
        <v>0.99</v>
      </c>
      <c r="AN1223" s="76">
        <v>1</v>
      </c>
      <c r="AO1223" s="76">
        <v>1</v>
      </c>
      <c r="AP1223" s="76">
        <v>1</v>
      </c>
      <c r="AQ1223" s="76">
        <v>1</v>
      </c>
      <c r="AR1223" s="96">
        <v>0.0721861525408278</v>
      </c>
      <c r="AS1223" s="80">
        <v>0.0384615384615385</v>
      </c>
      <c r="AT1223" s="80">
        <v>0</v>
      </c>
      <c r="AU1223" s="80">
        <v>0.1</v>
      </c>
      <c r="AV1223" s="80">
        <v>0.0328947368421053</v>
      </c>
      <c r="AW1223" s="36"/>
      <c r="AX1223" s="34"/>
    </row>
    <row r="1224" ht="14.5" spans="1:50">
      <c r="A1224" s="32"/>
      <c r="B1224" s="36"/>
      <c r="C1224" s="91" t="s">
        <v>1105</v>
      </c>
      <c r="D1224" s="69" t="s">
        <v>25</v>
      </c>
      <c r="E1224" s="129" t="s">
        <v>1273</v>
      </c>
      <c r="F1224" s="129" t="s">
        <v>1273</v>
      </c>
      <c r="G1224" s="129" t="s">
        <v>1273</v>
      </c>
      <c r="H1224" s="129" t="s">
        <v>1273</v>
      </c>
      <c r="I1224" s="71">
        <v>0.9</v>
      </c>
      <c r="J1224" s="72">
        <v>0</v>
      </c>
      <c r="K1224" s="72">
        <v>0</v>
      </c>
      <c r="L1224" s="73">
        <v>0</v>
      </c>
      <c r="M1224" s="72">
        <v>0</v>
      </c>
      <c r="N1224" s="74">
        <v>0.9</v>
      </c>
      <c r="O1224" s="72">
        <v>0</v>
      </c>
      <c r="P1224" s="72">
        <v>0</v>
      </c>
      <c r="Q1224" s="72">
        <v>0</v>
      </c>
      <c r="R1224" s="72">
        <v>1</v>
      </c>
      <c r="S1224" s="74">
        <v>0.9</v>
      </c>
      <c r="T1224" s="72">
        <v>0</v>
      </c>
      <c r="U1224" s="72">
        <v>0</v>
      </c>
      <c r="V1224" s="72">
        <v>0</v>
      </c>
      <c r="W1224" s="72">
        <v>1</v>
      </c>
      <c r="X1224" s="74">
        <v>0.92</v>
      </c>
      <c r="Y1224" s="74">
        <v>0</v>
      </c>
      <c r="Z1224" s="74">
        <v>0</v>
      </c>
      <c r="AA1224" s="74">
        <v>0</v>
      </c>
      <c r="AB1224" s="74">
        <v>1</v>
      </c>
      <c r="AC1224" s="74">
        <v>0.92</v>
      </c>
      <c r="AD1224" s="72">
        <v>1</v>
      </c>
      <c r="AE1224" s="72">
        <v>1</v>
      </c>
      <c r="AF1224" s="72">
        <v>0.999545454545455</v>
      </c>
      <c r="AG1224" s="72">
        <v>0.999092435449471</v>
      </c>
      <c r="AH1224" s="74">
        <v>0.92</v>
      </c>
      <c r="AI1224" s="72">
        <v>0</v>
      </c>
      <c r="AJ1224" s="72">
        <v>0</v>
      </c>
      <c r="AK1224" s="72">
        <v>0</v>
      </c>
      <c r="AL1224" s="72">
        <v>1</v>
      </c>
      <c r="AM1224" s="71">
        <v>0.99</v>
      </c>
      <c r="AN1224" s="76">
        <v>1</v>
      </c>
      <c r="AO1224" s="76">
        <v>1</v>
      </c>
      <c r="AP1224" s="76">
        <v>1</v>
      </c>
      <c r="AQ1224" s="76">
        <v>1</v>
      </c>
      <c r="AR1224" s="96">
        <v>0.0721861525408278</v>
      </c>
      <c r="AS1224" s="80">
        <v>0</v>
      </c>
      <c r="AT1224" s="80">
        <v>0</v>
      </c>
      <c r="AU1224" s="80">
        <v>0</v>
      </c>
      <c r="AV1224" s="80">
        <v>0</v>
      </c>
      <c r="AW1224" s="36"/>
      <c r="AX1224" s="34"/>
    </row>
    <row r="1225" ht="14.5" spans="1:50">
      <c r="A1225" s="32"/>
      <c r="B1225" s="36"/>
      <c r="C1225" s="91" t="s">
        <v>1105</v>
      </c>
      <c r="D1225" s="69" t="s">
        <v>25</v>
      </c>
      <c r="E1225" s="129" t="s">
        <v>1274</v>
      </c>
      <c r="F1225" s="129" t="s">
        <v>1274</v>
      </c>
      <c r="G1225" s="129" t="s">
        <v>1274</v>
      </c>
      <c r="H1225" s="129" t="s">
        <v>1274</v>
      </c>
      <c r="I1225" s="71">
        <v>0.9</v>
      </c>
      <c r="J1225" s="72">
        <v>0.98</v>
      </c>
      <c r="K1225" s="72">
        <v>1</v>
      </c>
      <c r="L1225" s="73">
        <v>0.929824561403509</v>
      </c>
      <c r="M1225" s="72">
        <v>0.937888198757764</v>
      </c>
      <c r="N1225" s="74">
        <v>0.9</v>
      </c>
      <c r="O1225" s="72">
        <v>0.916666666666667</v>
      </c>
      <c r="P1225" s="72">
        <v>0.953788874288217</v>
      </c>
      <c r="Q1225" s="72">
        <v>0.953412341642828</v>
      </c>
      <c r="R1225" s="72">
        <v>0.94954445057979</v>
      </c>
      <c r="S1225" s="74">
        <v>0.9</v>
      </c>
      <c r="T1225" s="72">
        <v>0.832373271889401</v>
      </c>
      <c r="U1225" s="72">
        <v>0.906263688129654</v>
      </c>
      <c r="V1225" s="72">
        <v>0.944626072742133</v>
      </c>
      <c r="W1225" s="72">
        <v>0.903046199153322</v>
      </c>
      <c r="X1225" s="74">
        <v>0.92</v>
      </c>
      <c r="Y1225" s="74">
        <v>0.913520097442144</v>
      </c>
      <c r="Z1225" s="74">
        <v>0.940087145969499</v>
      </c>
      <c r="AA1225" s="74">
        <v>0.964035964035964</v>
      </c>
      <c r="AB1225" s="74">
        <v>0.944899478778853</v>
      </c>
      <c r="AC1225" s="74">
        <v>0.92</v>
      </c>
      <c r="AD1225" s="72">
        <v>0.997574777687955</v>
      </c>
      <c r="AE1225" s="72">
        <v>0.995315244973648</v>
      </c>
      <c r="AF1225" s="72">
        <v>0.999589869783656</v>
      </c>
      <c r="AG1225" s="72">
        <v>0.925427113649371</v>
      </c>
      <c r="AH1225" s="74">
        <v>0.92</v>
      </c>
      <c r="AI1225" s="72">
        <v>0.926687676231548</v>
      </c>
      <c r="AJ1225" s="72">
        <v>0.967359591539023</v>
      </c>
      <c r="AK1225" s="72">
        <v>0.979308005427408</v>
      </c>
      <c r="AL1225" s="72">
        <v>0.966616228484963</v>
      </c>
      <c r="AM1225" s="71">
        <v>0.99</v>
      </c>
      <c r="AN1225" s="76">
        <v>1</v>
      </c>
      <c r="AO1225" s="76">
        <v>1</v>
      </c>
      <c r="AP1225" s="76">
        <v>1</v>
      </c>
      <c r="AQ1225" s="76">
        <v>1</v>
      </c>
      <c r="AR1225" s="96">
        <v>0.0721861525408278</v>
      </c>
      <c r="AS1225" s="80">
        <v>0.0666666666666667</v>
      </c>
      <c r="AT1225" s="80">
        <v>0.0476190476190476</v>
      </c>
      <c r="AU1225" s="80">
        <v>0</v>
      </c>
      <c r="AV1225" s="80">
        <v>0.0209580838323353</v>
      </c>
      <c r="AW1225" s="36"/>
      <c r="AX1225" s="34"/>
    </row>
    <row r="1226" ht="14.5" spans="1:50">
      <c r="A1226" s="32"/>
      <c r="B1226" s="36"/>
      <c r="C1226" s="91" t="s">
        <v>1105</v>
      </c>
      <c r="D1226" s="69" t="s">
        <v>25</v>
      </c>
      <c r="E1226" s="129" t="s">
        <v>1275</v>
      </c>
      <c r="F1226" s="129" t="s">
        <v>1275</v>
      </c>
      <c r="G1226" s="129" t="s">
        <v>1275</v>
      </c>
      <c r="H1226" s="129" t="s">
        <v>1275</v>
      </c>
      <c r="I1226" s="71">
        <v>0.9</v>
      </c>
      <c r="J1226" s="72">
        <v>0</v>
      </c>
      <c r="K1226" s="72">
        <v>0</v>
      </c>
      <c r="L1226" s="73">
        <v>0</v>
      </c>
      <c r="M1226" s="72">
        <v>0</v>
      </c>
      <c r="N1226" s="74">
        <v>0.9</v>
      </c>
      <c r="O1226" s="72">
        <v>0</v>
      </c>
      <c r="P1226" s="72">
        <v>0</v>
      </c>
      <c r="Q1226" s="72">
        <v>0</v>
      </c>
      <c r="R1226" s="72">
        <v>0</v>
      </c>
      <c r="S1226" s="74">
        <v>0.9</v>
      </c>
      <c r="T1226" s="72">
        <v>0</v>
      </c>
      <c r="U1226" s="72">
        <v>0</v>
      </c>
      <c r="V1226" s="72">
        <v>1</v>
      </c>
      <c r="W1226" s="72">
        <v>0.833333333333333</v>
      </c>
      <c r="X1226" s="74">
        <v>0.92</v>
      </c>
      <c r="Y1226" s="74">
        <v>1</v>
      </c>
      <c r="Z1226" s="74">
        <v>0</v>
      </c>
      <c r="AA1226" s="74">
        <v>0</v>
      </c>
      <c r="AB1226" s="74">
        <v>1</v>
      </c>
      <c r="AC1226" s="74">
        <v>0.92</v>
      </c>
      <c r="AD1226" s="72">
        <v>0.999309001821722</v>
      </c>
      <c r="AE1226" s="72">
        <v>0.99390474135606</v>
      </c>
      <c r="AF1226" s="72">
        <v>0.997819767441861</v>
      </c>
      <c r="AG1226" s="72">
        <v>0.991759909792697</v>
      </c>
      <c r="AH1226" s="74">
        <v>0.92</v>
      </c>
      <c r="AI1226" s="72">
        <v>0.5</v>
      </c>
      <c r="AJ1226" s="72">
        <v>0</v>
      </c>
      <c r="AK1226" s="72">
        <v>1</v>
      </c>
      <c r="AL1226" s="72">
        <v>0.9</v>
      </c>
      <c r="AM1226" s="71">
        <v>0.99</v>
      </c>
      <c r="AN1226" s="76">
        <v>1</v>
      </c>
      <c r="AO1226" s="76">
        <v>1</v>
      </c>
      <c r="AP1226" s="76">
        <v>1</v>
      </c>
      <c r="AQ1226" s="76">
        <v>1</v>
      </c>
      <c r="AR1226" s="96">
        <v>0.0721861525408278</v>
      </c>
      <c r="AS1226" s="80">
        <v>0</v>
      </c>
      <c r="AT1226" s="80">
        <v>0</v>
      </c>
      <c r="AU1226" s="80">
        <v>0</v>
      </c>
      <c r="AV1226" s="80">
        <v>0</v>
      </c>
      <c r="AW1226" s="36"/>
      <c r="AX1226" s="34"/>
    </row>
    <row r="1227" ht="14.5" spans="1:50">
      <c r="A1227" s="32"/>
      <c r="B1227" s="36"/>
      <c r="C1227" s="91" t="s">
        <v>1105</v>
      </c>
      <c r="D1227" s="69" t="s">
        <v>25</v>
      </c>
      <c r="E1227" s="129" t="s">
        <v>1276</v>
      </c>
      <c r="F1227" s="129" t="s">
        <v>1276</v>
      </c>
      <c r="G1227" s="129" t="s">
        <v>1276</v>
      </c>
      <c r="H1227" s="129" t="s">
        <v>1276</v>
      </c>
      <c r="I1227" s="71">
        <v>0.9</v>
      </c>
      <c r="J1227" s="72">
        <v>0</v>
      </c>
      <c r="K1227" s="72">
        <v>0</v>
      </c>
      <c r="L1227" s="73">
        <v>0</v>
      </c>
      <c r="M1227" s="72">
        <v>0</v>
      </c>
      <c r="N1227" s="74">
        <v>0.9</v>
      </c>
      <c r="O1227" s="72">
        <v>0</v>
      </c>
      <c r="P1227" s="72">
        <v>0</v>
      </c>
      <c r="Q1227" s="72">
        <v>0</v>
      </c>
      <c r="R1227" s="72">
        <v>0</v>
      </c>
      <c r="S1227" s="74">
        <v>0.9</v>
      </c>
      <c r="T1227" s="72">
        <v>1</v>
      </c>
      <c r="U1227" s="72">
        <v>0</v>
      </c>
      <c r="V1227" s="72">
        <v>0</v>
      </c>
      <c r="W1227" s="72">
        <v>1</v>
      </c>
      <c r="X1227" s="74">
        <v>0.92</v>
      </c>
      <c r="Y1227" s="74">
        <v>0</v>
      </c>
      <c r="Z1227" s="74">
        <v>0</v>
      </c>
      <c r="AA1227" s="74">
        <v>0</v>
      </c>
      <c r="AB1227" s="74">
        <v>1</v>
      </c>
      <c r="AC1227" s="74">
        <v>0.92</v>
      </c>
      <c r="AD1227" s="72">
        <v>0.998611967921036</v>
      </c>
      <c r="AE1227" s="72">
        <v>0.997980817768804</v>
      </c>
      <c r="AF1227" s="72">
        <v>0.998833592534992</v>
      </c>
      <c r="AG1227" s="72">
        <v>0.996644874326578</v>
      </c>
      <c r="AH1227" s="74">
        <v>0.92</v>
      </c>
      <c r="AI1227" s="72">
        <v>1</v>
      </c>
      <c r="AJ1227" s="72">
        <v>0</v>
      </c>
      <c r="AK1227" s="72">
        <v>0</v>
      </c>
      <c r="AL1227" s="72">
        <v>1</v>
      </c>
      <c r="AM1227" s="71">
        <v>0.99</v>
      </c>
      <c r="AN1227" s="76">
        <v>1</v>
      </c>
      <c r="AO1227" s="76">
        <v>1</v>
      </c>
      <c r="AP1227" s="76">
        <v>1</v>
      </c>
      <c r="AQ1227" s="76">
        <v>1</v>
      </c>
      <c r="AR1227" s="96">
        <v>0.0721861525408278</v>
      </c>
      <c r="AS1227" s="80">
        <v>0</v>
      </c>
      <c r="AT1227" s="80">
        <v>0</v>
      </c>
      <c r="AU1227" s="80">
        <v>0</v>
      </c>
      <c r="AV1227" s="80">
        <v>0</v>
      </c>
      <c r="AW1227" s="36"/>
      <c r="AX1227" s="34"/>
    </row>
    <row r="1228" ht="14.5" spans="1:50">
      <c r="A1228" s="32"/>
      <c r="B1228" s="36"/>
      <c r="C1228" s="91" t="s">
        <v>1105</v>
      </c>
      <c r="D1228" s="69" t="s">
        <v>25</v>
      </c>
      <c r="E1228" s="129" t="s">
        <v>1277</v>
      </c>
      <c r="F1228" s="129" t="s">
        <v>1277</v>
      </c>
      <c r="G1228" s="129" t="s">
        <v>1277</v>
      </c>
      <c r="H1228" s="129" t="s">
        <v>1277</v>
      </c>
      <c r="I1228" s="71">
        <v>0.9</v>
      </c>
      <c r="J1228" s="72">
        <v>0.958333333333333</v>
      </c>
      <c r="K1228" s="72">
        <v>0.916666666666667</v>
      </c>
      <c r="L1228" s="73">
        <v>0.958333333333333</v>
      </c>
      <c r="M1228" s="72">
        <v>0.956521739130435</v>
      </c>
      <c r="N1228" s="74">
        <v>0.9</v>
      </c>
      <c r="O1228" s="72">
        <v>0.919043947571318</v>
      </c>
      <c r="P1228" s="72">
        <v>0.887827170751973</v>
      </c>
      <c r="Q1228" s="72">
        <v>0.919515361315448</v>
      </c>
      <c r="R1228" s="72">
        <v>0.822827057772764</v>
      </c>
      <c r="S1228" s="74">
        <v>0.9</v>
      </c>
      <c r="T1228" s="72">
        <v>0.809175019275251</v>
      </c>
      <c r="U1228" s="72">
        <v>0.825093477357707</v>
      </c>
      <c r="V1228" s="72">
        <v>0.821289485071398</v>
      </c>
      <c r="W1228" s="72">
        <v>0.799323085601467</v>
      </c>
      <c r="X1228" s="74">
        <v>0.92</v>
      </c>
      <c r="Y1228" s="74">
        <v>0.761394101876676</v>
      </c>
      <c r="Z1228" s="74">
        <v>0.891592920353982</v>
      </c>
      <c r="AA1228" s="74">
        <v>0.838926174496644</v>
      </c>
      <c r="AB1228" s="74">
        <v>0.825144175317186</v>
      </c>
      <c r="AC1228" s="74">
        <v>0.92</v>
      </c>
      <c r="AD1228" s="72">
        <v>1</v>
      </c>
      <c r="AE1228" s="72">
        <v>0.99753269183321</v>
      </c>
      <c r="AF1228" s="72">
        <v>0.995704467353952</v>
      </c>
      <c r="AG1228" s="72">
        <v>0.998846392758896</v>
      </c>
      <c r="AH1228" s="74">
        <v>0.92</v>
      </c>
      <c r="AI1228" s="72">
        <v>0.90798786653185</v>
      </c>
      <c r="AJ1228" s="72">
        <v>0.946135012242043</v>
      </c>
      <c r="AK1228" s="72">
        <v>0.933284989122553</v>
      </c>
      <c r="AL1228" s="72">
        <v>0.925062480474852</v>
      </c>
      <c r="AM1228" s="71">
        <v>0.99</v>
      </c>
      <c r="AN1228" s="76">
        <v>1</v>
      </c>
      <c r="AO1228" s="76">
        <v>1</v>
      </c>
      <c r="AP1228" s="76">
        <v>1</v>
      </c>
      <c r="AQ1228" s="76">
        <v>1</v>
      </c>
      <c r="AR1228" s="96">
        <v>0.0721861525408278</v>
      </c>
      <c r="AS1228" s="80">
        <v>0.08</v>
      </c>
      <c r="AT1228" s="80">
        <v>0.148148148148148</v>
      </c>
      <c r="AU1228" s="80">
        <v>0</v>
      </c>
      <c r="AV1228" s="80">
        <v>0</v>
      </c>
      <c r="AW1228" s="36"/>
      <c r="AX1228" s="34"/>
    </row>
    <row r="1229" ht="14.5" spans="1:50">
      <c r="A1229" s="32"/>
      <c r="B1229" s="36"/>
      <c r="C1229" s="91" t="s">
        <v>1105</v>
      </c>
      <c r="D1229" s="69" t="s">
        <v>25</v>
      </c>
      <c r="E1229" s="129" t="s">
        <v>1278</v>
      </c>
      <c r="F1229" s="129" t="s">
        <v>1278</v>
      </c>
      <c r="G1229" s="129" t="s">
        <v>1278</v>
      </c>
      <c r="H1229" s="129" t="s">
        <v>1278</v>
      </c>
      <c r="I1229" s="71">
        <v>0.9</v>
      </c>
      <c r="J1229" s="72">
        <v>1</v>
      </c>
      <c r="K1229" s="72">
        <v>0.896551724137931</v>
      </c>
      <c r="L1229" s="73">
        <v>1</v>
      </c>
      <c r="M1229" s="72">
        <v>0.973977695167286</v>
      </c>
      <c r="N1229" s="74">
        <v>0.9</v>
      </c>
      <c r="O1229" s="72">
        <v>0.955307262569832</v>
      </c>
      <c r="P1229" s="72">
        <v>0.955384099295538</v>
      </c>
      <c r="Q1229" s="72">
        <v>0.952005730659026</v>
      </c>
      <c r="R1229" s="72">
        <v>0.958391554106505</v>
      </c>
      <c r="S1229" s="74">
        <v>0.9</v>
      </c>
      <c r="T1229" s="72">
        <v>0.922408441961515</v>
      </c>
      <c r="U1229" s="72">
        <v>0.93089567259309</v>
      </c>
      <c r="V1229" s="72">
        <v>0.946275071633238</v>
      </c>
      <c r="W1229" s="72">
        <v>0.931221859959634</v>
      </c>
      <c r="X1229" s="74">
        <v>0.92</v>
      </c>
      <c r="Y1229" s="74">
        <v>0.946745562130177</v>
      </c>
      <c r="Z1229" s="74">
        <v>0.954385964912281</v>
      </c>
      <c r="AA1229" s="74">
        <v>0.979166666666667</v>
      </c>
      <c r="AB1229" s="74">
        <v>0.966174114295888</v>
      </c>
      <c r="AC1229" s="74">
        <v>0.92</v>
      </c>
      <c r="AD1229" s="72">
        <v>0.9996114996115</v>
      </c>
      <c r="AE1229" s="72">
        <v>0.999864599553179</v>
      </c>
      <c r="AF1229" s="72">
        <v>0.998928762720943</v>
      </c>
      <c r="AG1229" s="72">
        <v>0.997647078181175</v>
      </c>
      <c r="AH1229" s="74">
        <v>0.92</v>
      </c>
      <c r="AI1229" s="72">
        <v>0.960878885316184</v>
      </c>
      <c r="AJ1229" s="72">
        <v>0.975506756756757</v>
      </c>
      <c r="AK1229" s="72">
        <v>0.989464442493415</v>
      </c>
      <c r="AL1229" s="72">
        <v>0.980545118767115</v>
      </c>
      <c r="AM1229" s="71">
        <v>0.99</v>
      </c>
      <c r="AN1229" s="76">
        <v>1</v>
      </c>
      <c r="AO1229" s="76">
        <v>1</v>
      </c>
      <c r="AP1229" s="76">
        <v>1</v>
      </c>
      <c r="AQ1229" s="76">
        <v>1</v>
      </c>
      <c r="AR1229" s="96">
        <v>0.0721861525408278</v>
      </c>
      <c r="AS1229" s="80">
        <v>0</v>
      </c>
      <c r="AT1229" s="80">
        <v>0.0588235294117647</v>
      </c>
      <c r="AU1229" s="80">
        <v>0</v>
      </c>
      <c r="AV1229" s="80">
        <v>-0.00578034682080925</v>
      </c>
      <c r="AW1229" s="36"/>
      <c r="AX1229" s="34"/>
    </row>
    <row r="1230" ht="14.5" spans="1:50">
      <c r="A1230" s="32"/>
      <c r="B1230" s="36"/>
      <c r="C1230" s="91" t="s">
        <v>1105</v>
      </c>
      <c r="D1230" s="69" t="s">
        <v>25</v>
      </c>
      <c r="E1230" s="129" t="s">
        <v>1279</v>
      </c>
      <c r="F1230" s="129" t="s">
        <v>1279</v>
      </c>
      <c r="G1230" s="129" t="s">
        <v>1279</v>
      </c>
      <c r="H1230" s="129" t="s">
        <v>1279</v>
      </c>
      <c r="I1230" s="71">
        <v>0.9</v>
      </c>
      <c r="J1230" s="72">
        <v>1</v>
      </c>
      <c r="K1230" s="72">
        <v>1</v>
      </c>
      <c r="L1230" s="73">
        <v>1</v>
      </c>
      <c r="M1230" s="72">
        <v>0.989655172413793</v>
      </c>
      <c r="N1230" s="74">
        <v>0.9</v>
      </c>
      <c r="O1230" s="72">
        <v>0.867651276168626</v>
      </c>
      <c r="P1230" s="72">
        <v>0.950732960556143</v>
      </c>
      <c r="Q1230" s="72">
        <v>0.952914110429448</v>
      </c>
      <c r="R1230" s="72">
        <v>0.920664941270157</v>
      </c>
      <c r="S1230" s="74">
        <v>0.9</v>
      </c>
      <c r="T1230" s="72">
        <v>0.713650702609693</v>
      </c>
      <c r="U1230" s="72">
        <v>0.802478464560979</v>
      </c>
      <c r="V1230" s="72">
        <v>0.844938650306748</v>
      </c>
      <c r="W1230" s="72">
        <v>0.800434667197558</v>
      </c>
      <c r="X1230" s="74">
        <v>0.92</v>
      </c>
      <c r="Y1230" s="74">
        <v>0.795269168026101</v>
      </c>
      <c r="Z1230" s="74">
        <v>0.847612359550562</v>
      </c>
      <c r="AA1230" s="74">
        <v>0.891369047619048</v>
      </c>
      <c r="AB1230" s="74">
        <v>0.8726872914771</v>
      </c>
      <c r="AC1230" s="74">
        <v>0.92</v>
      </c>
      <c r="AD1230" s="72">
        <v>0.999465240641711</v>
      </c>
      <c r="AE1230" s="72">
        <v>0.992580528411147</v>
      </c>
      <c r="AF1230" s="72">
        <v>0.996720179527015</v>
      </c>
      <c r="AG1230" s="72">
        <v>0.983256042093998</v>
      </c>
      <c r="AH1230" s="74">
        <v>0.92</v>
      </c>
      <c r="AI1230" s="72">
        <v>0.887317073170732</v>
      </c>
      <c r="AJ1230" s="72">
        <v>0.934087800024873</v>
      </c>
      <c r="AK1230" s="72">
        <v>0.961474888747616</v>
      </c>
      <c r="AL1230" s="72">
        <v>0.940721684565859</v>
      </c>
      <c r="AM1230" s="71">
        <v>0.99</v>
      </c>
      <c r="AN1230" s="76">
        <v>1</v>
      </c>
      <c r="AO1230" s="76">
        <v>1</v>
      </c>
      <c r="AP1230" s="76">
        <v>1</v>
      </c>
      <c r="AQ1230" s="76">
        <v>1</v>
      </c>
      <c r="AR1230" s="96">
        <v>0.0721861525408278</v>
      </c>
      <c r="AS1230" s="80">
        <v>0.0684931506849315</v>
      </c>
      <c r="AT1230" s="80">
        <v>0.051948051948052</v>
      </c>
      <c r="AU1230" s="80">
        <v>0.0641025641025641</v>
      </c>
      <c r="AV1230" s="80">
        <v>0.0398724082934609</v>
      </c>
      <c r="AW1230" s="36"/>
      <c r="AX1230" s="34"/>
    </row>
    <row r="1231" ht="14.5" spans="1:50">
      <c r="A1231" s="32"/>
      <c r="B1231" s="36"/>
      <c r="C1231" s="91" t="s">
        <v>1105</v>
      </c>
      <c r="D1231" s="69" t="s">
        <v>25</v>
      </c>
      <c r="E1231" s="129" t="s">
        <v>1280</v>
      </c>
      <c r="F1231" s="129" t="s">
        <v>1280</v>
      </c>
      <c r="G1231" s="129" t="s">
        <v>1280</v>
      </c>
      <c r="H1231" s="129" t="s">
        <v>1280</v>
      </c>
      <c r="I1231" s="71">
        <v>0.9</v>
      </c>
      <c r="J1231" s="72">
        <v>0</v>
      </c>
      <c r="K1231" s="72">
        <v>0</v>
      </c>
      <c r="L1231" s="73">
        <v>0</v>
      </c>
      <c r="M1231" s="72">
        <v>0</v>
      </c>
      <c r="N1231" s="74">
        <v>0.9</v>
      </c>
      <c r="O1231" s="72">
        <v>0</v>
      </c>
      <c r="P1231" s="72">
        <v>0</v>
      </c>
      <c r="Q1231" s="72">
        <v>0</v>
      </c>
      <c r="R1231" s="72">
        <v>0</v>
      </c>
      <c r="S1231" s="74">
        <v>0.9</v>
      </c>
      <c r="T1231" s="72">
        <v>0</v>
      </c>
      <c r="U1231" s="72">
        <v>0</v>
      </c>
      <c r="V1231" s="72">
        <v>0</v>
      </c>
      <c r="W1231" s="72">
        <v>0</v>
      </c>
      <c r="X1231" s="74">
        <v>0.92</v>
      </c>
      <c r="Y1231" s="74">
        <v>0</v>
      </c>
      <c r="Z1231" s="74">
        <v>0</v>
      </c>
      <c r="AA1231" s="74">
        <v>0</v>
      </c>
      <c r="AB1231" s="74">
        <v>0</v>
      </c>
      <c r="AC1231" s="74">
        <v>0.92</v>
      </c>
      <c r="AD1231" s="72">
        <v>0.996168582375479</v>
      </c>
      <c r="AE1231" s="72">
        <v>0.973561430793157</v>
      </c>
      <c r="AF1231" s="72">
        <v>0.928422152560084</v>
      </c>
      <c r="AG1231" s="72">
        <v>0.814634698032119</v>
      </c>
      <c r="AH1231" s="74">
        <v>0.92</v>
      </c>
      <c r="AI1231" s="72">
        <v>0</v>
      </c>
      <c r="AJ1231" s="72">
        <v>0</v>
      </c>
      <c r="AK1231" s="72">
        <v>0</v>
      </c>
      <c r="AL1231" s="72">
        <v>0</v>
      </c>
      <c r="AM1231" s="71">
        <v>0.99</v>
      </c>
      <c r="AN1231" s="76">
        <v>1</v>
      </c>
      <c r="AO1231" s="76">
        <v>1</v>
      </c>
      <c r="AP1231" s="76">
        <v>1</v>
      </c>
      <c r="AQ1231" s="76">
        <v>1</v>
      </c>
      <c r="AR1231" s="96">
        <v>0.0721861525408278</v>
      </c>
      <c r="AS1231" s="80">
        <v>0</v>
      </c>
      <c r="AT1231" s="80">
        <v>0</v>
      </c>
      <c r="AU1231" s="80">
        <v>0</v>
      </c>
      <c r="AV1231" s="80">
        <v>0</v>
      </c>
      <c r="AW1231" s="36"/>
      <c r="AX1231" s="34"/>
    </row>
    <row r="1232" ht="14.5" spans="1:50">
      <c r="A1232" s="32"/>
      <c r="B1232" s="36"/>
      <c r="C1232" s="91" t="s">
        <v>1105</v>
      </c>
      <c r="D1232" s="69" t="s">
        <v>25</v>
      </c>
      <c r="E1232" s="129" t="s">
        <v>1281</v>
      </c>
      <c r="F1232" s="129" t="s">
        <v>1281</v>
      </c>
      <c r="G1232" s="129" t="s">
        <v>1281</v>
      </c>
      <c r="H1232" s="129" t="s">
        <v>1281</v>
      </c>
      <c r="I1232" s="71">
        <v>0.9</v>
      </c>
      <c r="J1232" s="72">
        <v>0.884615384615385</v>
      </c>
      <c r="K1232" s="72">
        <v>0.828571428571429</v>
      </c>
      <c r="L1232" s="73">
        <v>0.972222222222222</v>
      </c>
      <c r="M1232" s="72">
        <v>0.925531914893617</v>
      </c>
      <c r="N1232" s="74">
        <v>0.9</v>
      </c>
      <c r="O1232" s="72">
        <v>0.873730441943453</v>
      </c>
      <c r="P1232" s="72">
        <v>0.982219497240956</v>
      </c>
      <c r="Q1232" s="72">
        <v>0.983621203097082</v>
      </c>
      <c r="R1232" s="72">
        <v>0.965272786671023</v>
      </c>
      <c r="S1232" s="74">
        <v>0.9</v>
      </c>
      <c r="T1232" s="72">
        <v>0.754597858907494</v>
      </c>
      <c r="U1232" s="72">
        <v>0.920600858369099</v>
      </c>
      <c r="V1232" s="72">
        <v>0.930911256700417</v>
      </c>
      <c r="W1232" s="72">
        <v>0.879483828814113</v>
      </c>
      <c r="X1232" s="74">
        <v>0.92</v>
      </c>
      <c r="Y1232" s="74">
        <v>0.871086556169429</v>
      </c>
      <c r="Z1232" s="74">
        <v>0.934083601286174</v>
      </c>
      <c r="AA1232" s="74">
        <v>0.946889226100152</v>
      </c>
      <c r="AB1232" s="74">
        <v>0.931923015746779</v>
      </c>
      <c r="AC1232" s="74">
        <v>0.92</v>
      </c>
      <c r="AD1232" s="72">
        <v>0.984129274274996</v>
      </c>
      <c r="AE1232" s="72">
        <v>0.9914951312708</v>
      </c>
      <c r="AF1232" s="72">
        <v>0.992251065478497</v>
      </c>
      <c r="AG1232" s="72">
        <v>0.98647129229988</v>
      </c>
      <c r="AH1232" s="74">
        <v>0.92</v>
      </c>
      <c r="AI1232" s="72">
        <v>0.914476827520306</v>
      </c>
      <c r="AJ1232" s="72">
        <v>0.967824967824968</v>
      </c>
      <c r="AK1232" s="72">
        <v>0.975852626338063</v>
      </c>
      <c r="AL1232" s="72">
        <v>0.9631456289632</v>
      </c>
      <c r="AM1232" s="71">
        <v>0.99</v>
      </c>
      <c r="AN1232" s="76">
        <v>1</v>
      </c>
      <c r="AO1232" s="76">
        <v>1</v>
      </c>
      <c r="AP1232" s="76">
        <v>1</v>
      </c>
      <c r="AQ1232" s="76">
        <v>1</v>
      </c>
      <c r="AR1232" s="96">
        <v>0.0721861525408278</v>
      </c>
      <c r="AS1232" s="80">
        <v>0.0434782608695652</v>
      </c>
      <c r="AT1232" s="80">
        <v>0.0689655172413793</v>
      </c>
      <c r="AU1232" s="80">
        <v>0.0344827586206897</v>
      </c>
      <c r="AV1232" s="80">
        <v>0.0350194552529183</v>
      </c>
      <c r="AW1232" s="36"/>
      <c r="AX1232" s="34"/>
    </row>
    <row r="1233" ht="14.5" spans="1:50">
      <c r="A1233" s="32"/>
      <c r="B1233" s="36"/>
      <c r="C1233" s="91" t="s">
        <v>1105</v>
      </c>
      <c r="D1233" s="69" t="s">
        <v>25</v>
      </c>
      <c r="E1233" s="129" t="s">
        <v>1282</v>
      </c>
      <c r="F1233" s="129" t="s">
        <v>1282</v>
      </c>
      <c r="G1233" s="129" t="s">
        <v>1282</v>
      </c>
      <c r="H1233" s="129" t="s">
        <v>1282</v>
      </c>
      <c r="I1233" s="71">
        <v>0.9</v>
      </c>
      <c r="J1233" s="72">
        <v>0</v>
      </c>
      <c r="K1233" s="72">
        <v>0</v>
      </c>
      <c r="L1233" s="73">
        <v>0</v>
      </c>
      <c r="M1233" s="72">
        <v>0</v>
      </c>
      <c r="N1233" s="74">
        <v>0.9</v>
      </c>
      <c r="O1233" s="72">
        <v>0</v>
      </c>
      <c r="P1233" s="72">
        <v>0</v>
      </c>
      <c r="Q1233" s="72">
        <v>0</v>
      </c>
      <c r="R1233" s="72">
        <v>0</v>
      </c>
      <c r="S1233" s="74">
        <v>0.9</v>
      </c>
      <c r="T1233" s="72">
        <v>0</v>
      </c>
      <c r="U1233" s="72">
        <v>0</v>
      </c>
      <c r="V1233" s="72">
        <v>1</v>
      </c>
      <c r="W1233" s="72">
        <v>0.8</v>
      </c>
      <c r="X1233" s="74">
        <v>0.92</v>
      </c>
      <c r="Y1233" s="74">
        <v>0</v>
      </c>
      <c r="Z1233" s="74">
        <v>0</v>
      </c>
      <c r="AA1233" s="74">
        <v>0</v>
      </c>
      <c r="AB1233" s="74">
        <v>0</v>
      </c>
      <c r="AC1233" s="74">
        <v>0.92</v>
      </c>
      <c r="AD1233" s="72">
        <v>0.998459167950693</v>
      </c>
      <c r="AE1233" s="72">
        <v>0.999393203883495</v>
      </c>
      <c r="AF1233" s="72">
        <v>0.99822956624373</v>
      </c>
      <c r="AG1233" s="72">
        <v>0.889195148842337</v>
      </c>
      <c r="AH1233" s="74">
        <v>0.92</v>
      </c>
      <c r="AI1233" s="72">
        <v>0</v>
      </c>
      <c r="AJ1233" s="72">
        <v>0</v>
      </c>
      <c r="AK1233" s="72">
        <v>1</v>
      </c>
      <c r="AL1233" s="72">
        <v>0.909090909090909</v>
      </c>
      <c r="AM1233" s="71">
        <v>0.99</v>
      </c>
      <c r="AN1233" s="76">
        <v>1</v>
      </c>
      <c r="AO1233" s="76">
        <v>1</v>
      </c>
      <c r="AP1233" s="76">
        <v>1</v>
      </c>
      <c r="AQ1233" s="76">
        <v>1</v>
      </c>
      <c r="AR1233" s="96">
        <v>0.0721861525408278</v>
      </c>
      <c r="AS1233" s="80">
        <v>0</v>
      </c>
      <c r="AT1233" s="80">
        <v>0</v>
      </c>
      <c r="AU1233" s="80">
        <v>0</v>
      </c>
      <c r="AV1233" s="80">
        <v>0</v>
      </c>
      <c r="AW1233" s="36"/>
      <c r="AX1233" s="34"/>
    </row>
    <row r="1234" ht="14.5" spans="1:50">
      <c r="A1234" s="32"/>
      <c r="B1234" s="36"/>
      <c r="C1234" s="91" t="s">
        <v>1105</v>
      </c>
      <c r="D1234" s="69" t="s">
        <v>25</v>
      </c>
      <c r="E1234" s="129" t="s">
        <v>1283</v>
      </c>
      <c r="F1234" s="129" t="s">
        <v>1283</v>
      </c>
      <c r="G1234" s="129" t="s">
        <v>1283</v>
      </c>
      <c r="H1234" s="129" t="s">
        <v>1283</v>
      </c>
      <c r="I1234" s="71">
        <v>0.9</v>
      </c>
      <c r="J1234" s="72">
        <v>0.923076923076923</v>
      </c>
      <c r="K1234" s="72">
        <v>0.924528301886792</v>
      </c>
      <c r="L1234" s="73">
        <v>0.912280701754386</v>
      </c>
      <c r="M1234" s="72">
        <v>0.946640316205534</v>
      </c>
      <c r="N1234" s="74">
        <v>0.9</v>
      </c>
      <c r="O1234" s="72">
        <v>0.943396226415094</v>
      </c>
      <c r="P1234" s="72">
        <v>0.965221774193548</v>
      </c>
      <c r="Q1234" s="72">
        <v>0.963947499584649</v>
      </c>
      <c r="R1234" s="72">
        <v>0.949687811057823</v>
      </c>
      <c r="S1234" s="74">
        <v>0.9</v>
      </c>
      <c r="T1234" s="72">
        <v>0.831280212069234</v>
      </c>
      <c r="U1234" s="72">
        <v>0.909778225806452</v>
      </c>
      <c r="V1234" s="72">
        <v>0.931882372487124</v>
      </c>
      <c r="W1234" s="72">
        <v>0.891159171115736</v>
      </c>
      <c r="X1234" s="74">
        <v>0.92</v>
      </c>
      <c r="Y1234" s="74">
        <v>0.857539315448659</v>
      </c>
      <c r="Z1234" s="74">
        <v>0.942903752039152</v>
      </c>
      <c r="AA1234" s="74">
        <v>0.957119741100324</v>
      </c>
      <c r="AB1234" s="74">
        <v>0.940967047524425</v>
      </c>
      <c r="AC1234" s="74">
        <v>0.92</v>
      </c>
      <c r="AD1234" s="72">
        <v>0.997857613711272</v>
      </c>
      <c r="AE1234" s="72">
        <v>0.996483635380038</v>
      </c>
      <c r="AF1234" s="72">
        <v>0.992792421746293</v>
      </c>
      <c r="AG1234" s="72">
        <v>0.962520315315813</v>
      </c>
      <c r="AH1234" s="74">
        <v>0.92</v>
      </c>
      <c r="AI1234" s="72">
        <v>0.92500667200427</v>
      </c>
      <c r="AJ1234" s="72">
        <v>0.965728615213151</v>
      </c>
      <c r="AK1234" s="72">
        <v>0.984838042729152</v>
      </c>
      <c r="AL1234" s="72">
        <v>0.96783200166335</v>
      </c>
      <c r="AM1234" s="71">
        <v>0.99</v>
      </c>
      <c r="AN1234" s="76">
        <v>1</v>
      </c>
      <c r="AO1234" s="76">
        <v>1</v>
      </c>
      <c r="AP1234" s="76">
        <v>1</v>
      </c>
      <c r="AQ1234" s="76">
        <v>1</v>
      </c>
      <c r="AR1234" s="96">
        <v>0.0721861525408278</v>
      </c>
      <c r="AS1234" s="80">
        <v>0.0357142857142857</v>
      </c>
      <c r="AT1234" s="80">
        <v>0.0294117647058824</v>
      </c>
      <c r="AU1234" s="80">
        <v>0</v>
      </c>
      <c r="AV1234" s="80">
        <v>-0.00967741935483871</v>
      </c>
      <c r="AW1234" s="36"/>
      <c r="AX1234" s="34"/>
    </row>
    <row r="1235" ht="14.5" spans="1:50">
      <c r="A1235" s="32"/>
      <c r="B1235" s="36"/>
      <c r="C1235" s="91" t="s">
        <v>1105</v>
      </c>
      <c r="D1235" s="69" t="s">
        <v>25</v>
      </c>
      <c r="E1235" s="129" t="s">
        <v>1284</v>
      </c>
      <c r="F1235" s="129" t="s">
        <v>1284</v>
      </c>
      <c r="G1235" s="129" t="s">
        <v>1284</v>
      </c>
      <c r="H1235" s="129" t="s">
        <v>1284</v>
      </c>
      <c r="I1235" s="71">
        <v>0.9</v>
      </c>
      <c r="J1235" s="72">
        <v>0.945945945945946</v>
      </c>
      <c r="K1235" s="72">
        <v>0.974358974358974</v>
      </c>
      <c r="L1235" s="73">
        <v>0.868421052631579</v>
      </c>
      <c r="M1235" s="72">
        <v>0.93993993993994</v>
      </c>
      <c r="N1235" s="74">
        <v>0.9</v>
      </c>
      <c r="O1235" s="72">
        <v>0.951983298538622</v>
      </c>
      <c r="P1235" s="72">
        <v>0.969620253164557</v>
      </c>
      <c r="Q1235" s="72">
        <v>0.971613545816733</v>
      </c>
      <c r="R1235" s="72">
        <v>0.949689265536723</v>
      </c>
      <c r="S1235" s="74">
        <v>0.9</v>
      </c>
      <c r="T1235" s="72">
        <v>0.880538158199954</v>
      </c>
      <c r="U1235" s="72">
        <v>0.918481012658228</v>
      </c>
      <c r="V1235" s="72">
        <v>0.920567729083665</v>
      </c>
      <c r="W1235" s="72">
        <v>0.90319209039548</v>
      </c>
      <c r="X1235" s="74">
        <v>0.92</v>
      </c>
      <c r="Y1235" s="74">
        <v>0.929065743944637</v>
      </c>
      <c r="Z1235" s="74">
        <v>0.929595827900913</v>
      </c>
      <c r="AA1235" s="74">
        <v>0.934246575342466</v>
      </c>
      <c r="AB1235" s="74">
        <v>0.934146679606267</v>
      </c>
      <c r="AC1235" s="74">
        <v>0.92</v>
      </c>
      <c r="AD1235" s="72">
        <v>0.997852482035186</v>
      </c>
      <c r="AE1235" s="72">
        <v>0.948511223087494</v>
      </c>
      <c r="AF1235" s="72">
        <v>0.914029697900666</v>
      </c>
      <c r="AG1235" s="72">
        <v>0.931047402024183</v>
      </c>
      <c r="AH1235" s="74">
        <v>0.92</v>
      </c>
      <c r="AI1235" s="72">
        <v>0.945183064021272</v>
      </c>
      <c r="AJ1235" s="72">
        <v>0.961628153487386</v>
      </c>
      <c r="AK1235" s="72">
        <v>0.96944795617362</v>
      </c>
      <c r="AL1235" s="72">
        <v>0.963345379452762</v>
      </c>
      <c r="AM1235" s="71">
        <v>0.99</v>
      </c>
      <c r="AN1235" s="76">
        <v>1</v>
      </c>
      <c r="AO1235" s="76">
        <v>1</v>
      </c>
      <c r="AP1235" s="76">
        <v>1</v>
      </c>
      <c r="AQ1235" s="76">
        <v>1</v>
      </c>
      <c r="AR1235" s="96">
        <v>0.0721861525408278</v>
      </c>
      <c r="AS1235" s="80">
        <v>0</v>
      </c>
      <c r="AT1235" s="80">
        <v>0</v>
      </c>
      <c r="AU1235" s="80">
        <v>0.0434782608695652</v>
      </c>
      <c r="AV1235" s="80">
        <v>0.0386266094420601</v>
      </c>
      <c r="AW1235" s="36"/>
      <c r="AX1235" s="34"/>
    </row>
    <row r="1236" ht="14.5" spans="1:50">
      <c r="A1236" s="32"/>
      <c r="B1236" s="36"/>
      <c r="C1236" s="91" t="s">
        <v>1105</v>
      </c>
      <c r="D1236" s="69" t="s">
        <v>25</v>
      </c>
      <c r="E1236" s="129" t="s">
        <v>1285</v>
      </c>
      <c r="F1236" s="129" t="s">
        <v>1285</v>
      </c>
      <c r="G1236" s="129" t="s">
        <v>1285</v>
      </c>
      <c r="H1236" s="129" t="s">
        <v>1285</v>
      </c>
      <c r="I1236" s="71">
        <v>0.9</v>
      </c>
      <c r="J1236" s="72">
        <v>0</v>
      </c>
      <c r="K1236" s="72">
        <v>0</v>
      </c>
      <c r="L1236" s="73">
        <v>0</v>
      </c>
      <c r="M1236" s="72">
        <v>0</v>
      </c>
      <c r="N1236" s="74">
        <v>0.9</v>
      </c>
      <c r="O1236" s="72">
        <v>0.25</v>
      </c>
      <c r="P1236" s="72">
        <v>0.25</v>
      </c>
      <c r="Q1236" s="72">
        <v>1</v>
      </c>
      <c r="R1236" s="72">
        <v>0.354838709677419</v>
      </c>
      <c r="S1236" s="74">
        <v>0.9</v>
      </c>
      <c r="T1236" s="72">
        <v>0.5</v>
      </c>
      <c r="U1236" s="72">
        <v>0.75</v>
      </c>
      <c r="V1236" s="72">
        <v>1</v>
      </c>
      <c r="W1236" s="72">
        <v>0.870967741935484</v>
      </c>
      <c r="X1236" s="74">
        <v>0.92</v>
      </c>
      <c r="Y1236" s="74">
        <v>0</v>
      </c>
      <c r="Z1236" s="74">
        <v>0</v>
      </c>
      <c r="AA1236" s="74">
        <v>0</v>
      </c>
      <c r="AB1236" s="74">
        <v>1</v>
      </c>
      <c r="AC1236" s="74">
        <v>0.92</v>
      </c>
      <c r="AD1236" s="72">
        <v>0.997889305816135</v>
      </c>
      <c r="AE1236" s="72">
        <v>0.988774021690873</v>
      </c>
      <c r="AF1236" s="72">
        <v>0.996918987494714</v>
      </c>
      <c r="AG1236" s="72">
        <v>0.993534153214356</v>
      </c>
      <c r="AH1236" s="74">
        <v>0.92</v>
      </c>
      <c r="AI1236" s="72">
        <v>0.5</v>
      </c>
      <c r="AJ1236" s="72">
        <v>0.6</v>
      </c>
      <c r="AK1236" s="72">
        <v>1</v>
      </c>
      <c r="AL1236" s="72">
        <v>0.888888888888889</v>
      </c>
      <c r="AM1236" s="71">
        <v>0.99</v>
      </c>
      <c r="AN1236" s="76">
        <v>1</v>
      </c>
      <c r="AO1236" s="76">
        <v>1</v>
      </c>
      <c r="AP1236" s="76">
        <v>1</v>
      </c>
      <c r="AQ1236" s="76">
        <v>1</v>
      </c>
      <c r="AR1236" s="96">
        <v>0.0721861525408278</v>
      </c>
      <c r="AS1236" s="80">
        <v>0</v>
      </c>
      <c r="AT1236" s="80">
        <v>0</v>
      </c>
      <c r="AU1236" s="80">
        <v>0</v>
      </c>
      <c r="AV1236" s="80">
        <v>0</v>
      </c>
      <c r="AW1236" s="36"/>
      <c r="AX1236" s="34"/>
    </row>
    <row r="1237" ht="14.5" spans="1:50">
      <c r="A1237" s="32"/>
      <c r="B1237" s="36"/>
      <c r="C1237" s="91" t="s">
        <v>1105</v>
      </c>
      <c r="D1237" s="69" t="s">
        <v>25</v>
      </c>
      <c r="E1237" s="129" t="s">
        <v>1286</v>
      </c>
      <c r="F1237" s="129" t="s">
        <v>1286</v>
      </c>
      <c r="G1237" s="129" t="s">
        <v>1286</v>
      </c>
      <c r="H1237" s="129" t="s">
        <v>1286</v>
      </c>
      <c r="I1237" s="71">
        <v>0.9</v>
      </c>
      <c r="J1237" s="72">
        <v>0.954545454545455</v>
      </c>
      <c r="K1237" s="72">
        <v>0.946428571428571</v>
      </c>
      <c r="L1237" s="73">
        <v>0.963636363636364</v>
      </c>
      <c r="M1237" s="72">
        <v>0.963562753036437</v>
      </c>
      <c r="N1237" s="74">
        <v>0.9</v>
      </c>
      <c r="O1237" s="72">
        <v>0.692744154057772</v>
      </c>
      <c r="P1237" s="72">
        <v>0.934586327621153</v>
      </c>
      <c r="Q1237" s="72">
        <v>0.924007220216607</v>
      </c>
      <c r="R1237" s="72">
        <v>0.827313723896969</v>
      </c>
      <c r="S1237" s="74">
        <v>0.9</v>
      </c>
      <c r="T1237" s="72">
        <v>0.736588720770289</v>
      </c>
      <c r="U1237" s="72">
        <v>0.859775198083656</v>
      </c>
      <c r="V1237" s="72">
        <v>0.838808664259928</v>
      </c>
      <c r="W1237" s="72">
        <v>0.81766474364183</v>
      </c>
      <c r="X1237" s="74">
        <v>0.92</v>
      </c>
      <c r="Y1237" s="74">
        <v>0.871706758304696</v>
      </c>
      <c r="Z1237" s="74">
        <v>0.928155339805825</v>
      </c>
      <c r="AA1237" s="74">
        <v>0.915564598168871</v>
      </c>
      <c r="AB1237" s="74">
        <v>0.933281987099259</v>
      </c>
      <c r="AC1237" s="74">
        <v>0.92</v>
      </c>
      <c r="AD1237" s="72">
        <v>0.994833333333333</v>
      </c>
      <c r="AE1237" s="72">
        <v>0.879679544773884</v>
      </c>
      <c r="AF1237" s="72">
        <v>0.952602952602953</v>
      </c>
      <c r="AG1237" s="72">
        <v>0.955215301988128</v>
      </c>
      <c r="AH1237" s="74">
        <v>0.92</v>
      </c>
      <c r="AI1237" s="72">
        <v>0.90611451637016</v>
      </c>
      <c r="AJ1237" s="72">
        <v>0.960359244348095</v>
      </c>
      <c r="AK1237" s="72">
        <v>0.965200061321478</v>
      </c>
      <c r="AL1237" s="72">
        <v>0.959610191381942</v>
      </c>
      <c r="AM1237" s="71">
        <v>0.99</v>
      </c>
      <c r="AN1237" s="76">
        <v>1</v>
      </c>
      <c r="AO1237" s="76">
        <v>1</v>
      </c>
      <c r="AP1237" s="76">
        <v>1</v>
      </c>
      <c r="AQ1237" s="76">
        <v>1</v>
      </c>
      <c r="AR1237" s="96">
        <v>0.0721861525408278</v>
      </c>
      <c r="AS1237" s="80">
        <v>0.0227272727272727</v>
      </c>
      <c r="AT1237" s="80">
        <v>0.0227272727272727</v>
      </c>
      <c r="AU1237" s="80">
        <v>0.0416666666666667</v>
      </c>
      <c r="AV1237" s="80">
        <v>0</v>
      </c>
      <c r="AW1237" s="36"/>
      <c r="AX1237" s="34"/>
    </row>
    <row r="1238" ht="14.5" spans="1:50">
      <c r="A1238" s="32"/>
      <c r="B1238" s="36"/>
      <c r="C1238" s="91" t="s">
        <v>1105</v>
      </c>
      <c r="D1238" s="69" t="s">
        <v>25</v>
      </c>
      <c r="E1238" s="129" t="s">
        <v>1287</v>
      </c>
      <c r="F1238" s="129" t="s">
        <v>1287</v>
      </c>
      <c r="G1238" s="129" t="s">
        <v>1287</v>
      </c>
      <c r="H1238" s="129" t="s">
        <v>1287</v>
      </c>
      <c r="I1238" s="71">
        <v>0.9</v>
      </c>
      <c r="J1238" s="72">
        <v>0</v>
      </c>
      <c r="K1238" s="72">
        <v>0</v>
      </c>
      <c r="L1238" s="73">
        <v>0</v>
      </c>
      <c r="M1238" s="72">
        <v>0</v>
      </c>
      <c r="N1238" s="74">
        <v>0.9</v>
      </c>
      <c r="O1238" s="72">
        <v>0</v>
      </c>
      <c r="P1238" s="72">
        <v>0</v>
      </c>
      <c r="Q1238" s="72">
        <v>0</v>
      </c>
      <c r="R1238" s="72">
        <v>0</v>
      </c>
      <c r="S1238" s="74">
        <v>0.9</v>
      </c>
      <c r="T1238" s="72">
        <v>0</v>
      </c>
      <c r="U1238" s="72">
        <v>0</v>
      </c>
      <c r="V1238" s="72">
        <v>1</v>
      </c>
      <c r="W1238" s="72">
        <v>1</v>
      </c>
      <c r="X1238" s="74">
        <v>0.92</v>
      </c>
      <c r="Y1238" s="74">
        <v>0</v>
      </c>
      <c r="Z1238" s="74">
        <v>0</v>
      </c>
      <c r="AA1238" s="74">
        <v>0</v>
      </c>
      <c r="AB1238" s="74">
        <v>0</v>
      </c>
      <c r="AC1238" s="74">
        <v>0.92</v>
      </c>
      <c r="AD1238" s="72">
        <v>0.583668005354752</v>
      </c>
      <c r="AE1238" s="72">
        <v>0.574040219378428</v>
      </c>
      <c r="AF1238" s="72">
        <v>0.997826086956522</v>
      </c>
      <c r="AG1238" s="72">
        <v>0.902456140350877</v>
      </c>
      <c r="AH1238" s="74">
        <v>0.92</v>
      </c>
      <c r="AI1238" s="72">
        <v>0</v>
      </c>
      <c r="AJ1238" s="72">
        <v>0</v>
      </c>
      <c r="AK1238" s="72">
        <v>0.5</v>
      </c>
      <c r="AL1238" s="72">
        <v>0.75</v>
      </c>
      <c r="AM1238" s="71">
        <v>0.99</v>
      </c>
      <c r="AN1238" s="76">
        <v>0</v>
      </c>
      <c r="AO1238" s="76">
        <v>1</v>
      </c>
      <c r="AP1238" s="76">
        <v>0</v>
      </c>
      <c r="AQ1238" s="76">
        <v>1</v>
      </c>
      <c r="AR1238" s="96">
        <v>0.0721861525408278</v>
      </c>
      <c r="AS1238" s="80">
        <v>0</v>
      </c>
      <c r="AT1238" s="80">
        <v>0</v>
      </c>
      <c r="AU1238" s="80">
        <v>0</v>
      </c>
      <c r="AV1238" s="80">
        <v>0</v>
      </c>
      <c r="AW1238" s="36"/>
      <c r="AX1238" s="34"/>
    </row>
    <row r="1239" ht="14.5" spans="1:50">
      <c r="A1239" s="32"/>
      <c r="B1239" s="36"/>
      <c r="C1239" s="91" t="s">
        <v>1105</v>
      </c>
      <c r="D1239" s="69" t="s">
        <v>25</v>
      </c>
      <c r="E1239" s="129" t="s">
        <v>1288</v>
      </c>
      <c r="F1239" s="129" t="s">
        <v>1288</v>
      </c>
      <c r="G1239" s="129" t="s">
        <v>1288</v>
      </c>
      <c r="H1239" s="129" t="s">
        <v>1288</v>
      </c>
      <c r="I1239" s="71">
        <v>0.9</v>
      </c>
      <c r="J1239" s="72">
        <v>0</v>
      </c>
      <c r="K1239" s="72">
        <v>0</v>
      </c>
      <c r="L1239" s="73">
        <v>0</v>
      </c>
      <c r="M1239" s="72">
        <v>0</v>
      </c>
      <c r="N1239" s="74">
        <v>0.9</v>
      </c>
      <c r="O1239" s="72">
        <v>0</v>
      </c>
      <c r="P1239" s="72">
        <v>0</v>
      </c>
      <c r="Q1239" s="72">
        <v>0</v>
      </c>
      <c r="R1239" s="72">
        <v>0</v>
      </c>
      <c r="S1239" s="74">
        <v>0.9</v>
      </c>
      <c r="T1239" s="72">
        <v>1</v>
      </c>
      <c r="U1239" s="72">
        <v>0</v>
      </c>
      <c r="V1239" s="72">
        <v>0</v>
      </c>
      <c r="W1239" s="72">
        <v>1</v>
      </c>
      <c r="X1239" s="74">
        <v>0.92</v>
      </c>
      <c r="Y1239" s="74">
        <v>0</v>
      </c>
      <c r="Z1239" s="74">
        <v>0.5</v>
      </c>
      <c r="AA1239" s="74">
        <v>0</v>
      </c>
      <c r="AB1239" s="74">
        <v>0.6</v>
      </c>
      <c r="AC1239" s="74">
        <v>0.92</v>
      </c>
      <c r="AD1239" s="72">
        <v>0.999546622336406</v>
      </c>
      <c r="AE1239" s="72">
        <v>0.798105776444111</v>
      </c>
      <c r="AF1239" s="72">
        <v>0.96990963276293</v>
      </c>
      <c r="AG1239" s="72">
        <v>0.945919391930556</v>
      </c>
      <c r="AH1239" s="74">
        <v>0.92</v>
      </c>
      <c r="AI1239" s="72">
        <v>0.666666666666667</v>
      </c>
      <c r="AJ1239" s="72">
        <v>0.5</v>
      </c>
      <c r="AK1239" s="72">
        <v>0</v>
      </c>
      <c r="AL1239" s="72">
        <v>0.882352941176471</v>
      </c>
      <c r="AM1239" s="71">
        <v>0.99</v>
      </c>
      <c r="AN1239" s="76">
        <v>1</v>
      </c>
      <c r="AO1239" s="76">
        <v>1</v>
      </c>
      <c r="AP1239" s="76">
        <v>1</v>
      </c>
      <c r="AQ1239" s="76">
        <v>1</v>
      </c>
      <c r="AR1239" s="96">
        <v>0.0721861525408278</v>
      </c>
      <c r="AS1239" s="80">
        <v>0</v>
      </c>
      <c r="AT1239" s="80">
        <v>0</v>
      </c>
      <c r="AU1239" s="80">
        <v>0</v>
      </c>
      <c r="AV1239" s="80">
        <v>0</v>
      </c>
      <c r="AW1239" s="36"/>
      <c r="AX1239" s="34"/>
    </row>
    <row r="1240" ht="14.5" spans="1:50">
      <c r="A1240" s="32"/>
      <c r="B1240" s="36"/>
      <c r="C1240" s="91" t="s">
        <v>1105</v>
      </c>
      <c r="D1240" s="69" t="s">
        <v>25</v>
      </c>
      <c r="E1240" s="129" t="s">
        <v>1289</v>
      </c>
      <c r="F1240" s="129" t="s">
        <v>1289</v>
      </c>
      <c r="G1240" s="129" t="s">
        <v>1289</v>
      </c>
      <c r="H1240" s="129" t="s">
        <v>1289</v>
      </c>
      <c r="I1240" s="71">
        <v>0.9</v>
      </c>
      <c r="J1240" s="72">
        <v>0</v>
      </c>
      <c r="K1240" s="72">
        <v>0</v>
      </c>
      <c r="L1240" s="73">
        <v>0</v>
      </c>
      <c r="M1240" s="72">
        <v>0</v>
      </c>
      <c r="N1240" s="74">
        <v>0.9</v>
      </c>
      <c r="O1240" s="72">
        <v>0</v>
      </c>
      <c r="P1240" s="72">
        <v>0</v>
      </c>
      <c r="Q1240" s="72">
        <v>0</v>
      </c>
      <c r="R1240" s="72">
        <v>0</v>
      </c>
      <c r="S1240" s="74">
        <v>0.9</v>
      </c>
      <c r="T1240" s="72">
        <v>1</v>
      </c>
      <c r="U1240" s="72">
        <v>0</v>
      </c>
      <c r="V1240" s="72">
        <v>0</v>
      </c>
      <c r="W1240" s="72">
        <v>0.909090909090909</v>
      </c>
      <c r="X1240" s="74">
        <v>0.92</v>
      </c>
      <c r="Y1240" s="74">
        <v>1</v>
      </c>
      <c r="Z1240" s="74">
        <v>0</v>
      </c>
      <c r="AA1240" s="74">
        <v>0</v>
      </c>
      <c r="AB1240" s="74">
        <v>1</v>
      </c>
      <c r="AC1240" s="74">
        <v>0.92</v>
      </c>
      <c r="AD1240" s="72">
        <v>0.99892530897367</v>
      </c>
      <c r="AE1240" s="72">
        <v>0.986129172084959</v>
      </c>
      <c r="AF1240" s="72">
        <v>0.984413824260221</v>
      </c>
      <c r="AG1240" s="72">
        <v>0.987534869694152</v>
      </c>
      <c r="AH1240" s="74">
        <v>0.92</v>
      </c>
      <c r="AI1240" s="72">
        <v>1</v>
      </c>
      <c r="AJ1240" s="72">
        <v>0</v>
      </c>
      <c r="AK1240" s="72">
        <v>0</v>
      </c>
      <c r="AL1240" s="72">
        <v>0.916666666666667</v>
      </c>
      <c r="AM1240" s="71">
        <v>0.99</v>
      </c>
      <c r="AN1240" s="76">
        <v>1</v>
      </c>
      <c r="AO1240" s="76">
        <v>1</v>
      </c>
      <c r="AP1240" s="76">
        <v>1</v>
      </c>
      <c r="AQ1240" s="76">
        <v>1</v>
      </c>
      <c r="AR1240" s="96">
        <v>0.0721861525408278</v>
      </c>
      <c r="AS1240" s="80">
        <v>0</v>
      </c>
      <c r="AT1240" s="80">
        <v>0</v>
      </c>
      <c r="AU1240" s="80">
        <v>0</v>
      </c>
      <c r="AV1240" s="80">
        <v>0</v>
      </c>
      <c r="AW1240" s="36"/>
      <c r="AX1240" s="34"/>
    </row>
    <row r="1241" ht="14.5" spans="1:50">
      <c r="A1241" s="32"/>
      <c r="B1241" s="36"/>
      <c r="C1241" s="91" t="s">
        <v>1105</v>
      </c>
      <c r="D1241" s="69" t="s">
        <v>25</v>
      </c>
      <c r="E1241" s="129" t="s">
        <v>1290</v>
      </c>
      <c r="F1241" s="129" t="s">
        <v>1290</v>
      </c>
      <c r="G1241" s="129" t="s">
        <v>1290</v>
      </c>
      <c r="H1241" s="129" t="s">
        <v>1290</v>
      </c>
      <c r="I1241" s="71">
        <v>0.9</v>
      </c>
      <c r="J1241" s="72">
        <v>0.955223880597015</v>
      </c>
      <c r="K1241" s="72">
        <v>0.932432432432432</v>
      </c>
      <c r="L1241" s="73">
        <v>0.958333333333333</v>
      </c>
      <c r="M1241" s="72">
        <v>0.968373493975904</v>
      </c>
      <c r="N1241" s="74">
        <v>0.9</v>
      </c>
      <c r="O1241" s="72">
        <v>0.918423694779116</v>
      </c>
      <c r="P1241" s="72">
        <v>0.95214410539051</v>
      </c>
      <c r="Q1241" s="72">
        <v>0.957599478147423</v>
      </c>
      <c r="R1241" s="72">
        <v>0.934819133506613</v>
      </c>
      <c r="S1241" s="74">
        <v>0.9</v>
      </c>
      <c r="T1241" s="72">
        <v>0.831827309236948</v>
      </c>
      <c r="U1241" s="72">
        <v>0.903750504100013</v>
      </c>
      <c r="V1241" s="72">
        <v>0.900065231572081</v>
      </c>
      <c r="W1241" s="72">
        <v>0.888622427732384</v>
      </c>
      <c r="X1241" s="74">
        <v>0.92</v>
      </c>
      <c r="Y1241" s="74">
        <v>0.868607395751377</v>
      </c>
      <c r="Z1241" s="74">
        <v>0.919512195121951</v>
      </c>
      <c r="AA1241" s="74">
        <v>0.918465227817746</v>
      </c>
      <c r="AB1241" s="74">
        <v>0.912798874824191</v>
      </c>
      <c r="AC1241" s="74">
        <v>0.92</v>
      </c>
      <c r="AD1241" s="72">
        <v>0.839701770736254</v>
      </c>
      <c r="AE1241" s="72">
        <v>0.989392643284859</v>
      </c>
      <c r="AF1241" s="72">
        <v>0.99803697039097</v>
      </c>
      <c r="AG1241" s="72">
        <v>0.991277728854783</v>
      </c>
      <c r="AH1241" s="74">
        <v>0.92</v>
      </c>
      <c r="AI1241" s="72">
        <v>0.92587382317931</v>
      </c>
      <c r="AJ1241" s="72">
        <v>0.959140969162996</v>
      </c>
      <c r="AK1241" s="72">
        <v>0.965284474445516</v>
      </c>
      <c r="AL1241" s="72">
        <v>0.957402152756607</v>
      </c>
      <c r="AM1241" s="71">
        <v>0.99</v>
      </c>
      <c r="AN1241" s="76">
        <v>1</v>
      </c>
      <c r="AO1241" s="76">
        <v>1</v>
      </c>
      <c r="AP1241" s="76">
        <v>1</v>
      </c>
      <c r="AQ1241" s="76">
        <v>1</v>
      </c>
      <c r="AR1241" s="96">
        <v>0.0721861525408278</v>
      </c>
      <c r="AS1241" s="80">
        <v>0.0806451612903226</v>
      </c>
      <c r="AT1241" s="80">
        <v>0.0602409638554217</v>
      </c>
      <c r="AU1241" s="80">
        <v>0.0512820512820513</v>
      </c>
      <c r="AV1241" s="80">
        <v>0.0433168316831683</v>
      </c>
      <c r="AW1241" s="36"/>
      <c r="AX1241" s="34"/>
    </row>
    <row r="1242" ht="14.5" spans="1:50">
      <c r="A1242" s="32"/>
      <c r="B1242" s="36"/>
      <c r="C1242" s="91" t="s">
        <v>1105</v>
      </c>
      <c r="D1242" s="69" t="s">
        <v>25</v>
      </c>
      <c r="E1242" s="132" t="s">
        <v>1291</v>
      </c>
      <c r="F1242" s="132" t="s">
        <v>1291</v>
      </c>
      <c r="G1242" s="132" t="s">
        <v>1291</v>
      </c>
      <c r="H1242" s="132" t="s">
        <v>1291</v>
      </c>
      <c r="I1242" s="71">
        <v>0.9</v>
      </c>
      <c r="J1242" s="72">
        <v>0</v>
      </c>
      <c r="K1242" s="72">
        <v>0</v>
      </c>
      <c r="L1242" s="73">
        <v>0</v>
      </c>
      <c r="M1242" s="72">
        <v>0</v>
      </c>
      <c r="N1242" s="74">
        <v>0.9</v>
      </c>
      <c r="O1242" s="72">
        <v>0</v>
      </c>
      <c r="P1242" s="72">
        <v>0</v>
      </c>
      <c r="Q1242" s="72">
        <v>0</v>
      </c>
      <c r="R1242" s="72">
        <v>0</v>
      </c>
      <c r="S1242" s="74">
        <v>0.9</v>
      </c>
      <c r="T1242" s="72">
        <v>1</v>
      </c>
      <c r="U1242" s="72">
        <v>1</v>
      </c>
      <c r="V1242" s="72">
        <v>1</v>
      </c>
      <c r="W1242" s="72">
        <v>0.991341991341991</v>
      </c>
      <c r="X1242" s="74">
        <v>0.92</v>
      </c>
      <c r="Y1242" s="74">
        <v>1</v>
      </c>
      <c r="Z1242" s="74">
        <v>1</v>
      </c>
      <c r="AA1242" s="74">
        <v>1</v>
      </c>
      <c r="AB1242" s="74">
        <v>0.987951807228916</v>
      </c>
      <c r="AC1242" s="74">
        <v>0.92</v>
      </c>
      <c r="AD1242" s="72">
        <v>1</v>
      </c>
      <c r="AE1242" s="72">
        <v>0.999230177059276</v>
      </c>
      <c r="AF1242" s="72">
        <v>1</v>
      </c>
      <c r="AG1242" s="72">
        <v>0.999739209805711</v>
      </c>
      <c r="AH1242" s="74">
        <v>0.92</v>
      </c>
      <c r="AI1242" s="72">
        <v>1</v>
      </c>
      <c r="AJ1242" s="72">
        <v>1</v>
      </c>
      <c r="AK1242" s="72">
        <v>1</v>
      </c>
      <c r="AL1242" s="72">
        <v>0.990825688073395</v>
      </c>
      <c r="AM1242" s="71">
        <v>0.99</v>
      </c>
      <c r="AN1242" s="76">
        <v>1</v>
      </c>
      <c r="AO1242" s="76">
        <v>0</v>
      </c>
      <c r="AP1242" s="76">
        <v>0</v>
      </c>
      <c r="AQ1242" s="76">
        <v>1</v>
      </c>
      <c r="AR1242" s="96">
        <v>0.0721861525408278</v>
      </c>
      <c r="AS1242" s="80">
        <v>0</v>
      </c>
      <c r="AT1242" s="80">
        <v>0</v>
      </c>
      <c r="AU1242" s="80">
        <v>0</v>
      </c>
      <c r="AV1242" s="80">
        <v>0</v>
      </c>
      <c r="AW1242" s="36"/>
      <c r="AX1242" s="34"/>
    </row>
    <row r="1243" ht="14.5" spans="1:50">
      <c r="A1243" s="32"/>
      <c r="B1243" s="36"/>
      <c r="C1243" s="91" t="s">
        <v>1105</v>
      </c>
      <c r="D1243" s="69" t="s">
        <v>25</v>
      </c>
      <c r="E1243" s="129" t="s">
        <v>1292</v>
      </c>
      <c r="F1243" s="129" t="s">
        <v>1292</v>
      </c>
      <c r="G1243" s="129" t="s">
        <v>1292</v>
      </c>
      <c r="H1243" s="129" t="s">
        <v>1292</v>
      </c>
      <c r="I1243" s="71">
        <v>0.9</v>
      </c>
      <c r="J1243" s="72">
        <v>1</v>
      </c>
      <c r="K1243" s="72">
        <v>0.979166666666667</v>
      </c>
      <c r="L1243" s="73">
        <v>0.978723404255319</v>
      </c>
      <c r="M1243" s="72">
        <v>0.987864077669903</v>
      </c>
      <c r="N1243" s="74">
        <v>0.9</v>
      </c>
      <c r="O1243" s="72">
        <v>0.922630560928433</v>
      </c>
      <c r="P1243" s="72">
        <v>0.981798424341212</v>
      </c>
      <c r="Q1243" s="72">
        <v>0.98489666136725</v>
      </c>
      <c r="R1243" s="72">
        <v>0.974265899365501</v>
      </c>
      <c r="S1243" s="74">
        <v>0.9</v>
      </c>
      <c r="T1243" s="72">
        <v>0.75362669245648</v>
      </c>
      <c r="U1243" s="72">
        <v>0.91306710133116</v>
      </c>
      <c r="V1243" s="72">
        <v>0.911234764175941</v>
      </c>
      <c r="W1243" s="72">
        <v>0.87460528257341</v>
      </c>
      <c r="X1243" s="74">
        <v>0.92</v>
      </c>
      <c r="Y1243" s="74">
        <v>0.761421319796954</v>
      </c>
      <c r="Z1243" s="74">
        <v>0.907246376811594</v>
      </c>
      <c r="AA1243" s="74">
        <v>0.903361344537815</v>
      </c>
      <c r="AB1243" s="74">
        <v>0.900942751742041</v>
      </c>
      <c r="AC1243" s="74">
        <v>0.92</v>
      </c>
      <c r="AD1243" s="72">
        <v>0.999166579852068</v>
      </c>
      <c r="AE1243" s="72">
        <v>0.988475955020337</v>
      </c>
      <c r="AF1243" s="72">
        <v>0.990760653126245</v>
      </c>
      <c r="AG1243" s="72">
        <v>0.925618668698327</v>
      </c>
      <c r="AH1243" s="74">
        <v>0.92</v>
      </c>
      <c r="AI1243" s="72">
        <v>0.851279881531627</v>
      </c>
      <c r="AJ1243" s="72">
        <v>0.963395104095173</v>
      </c>
      <c r="AK1243" s="72">
        <v>0.965909090909091</v>
      </c>
      <c r="AL1243" s="72">
        <v>0.945009343072779</v>
      </c>
      <c r="AM1243" s="71">
        <v>0.99</v>
      </c>
      <c r="AN1243" s="76">
        <v>1</v>
      </c>
      <c r="AO1243" s="76">
        <v>1</v>
      </c>
      <c r="AP1243" s="76">
        <v>1</v>
      </c>
      <c r="AQ1243" s="76">
        <v>1</v>
      </c>
      <c r="AR1243" s="96">
        <v>0.0721861525408278</v>
      </c>
      <c r="AS1243" s="80">
        <v>0</v>
      </c>
      <c r="AT1243" s="80">
        <v>0.0434782608695652</v>
      </c>
      <c r="AU1243" s="80">
        <v>0</v>
      </c>
      <c r="AV1243" s="80">
        <v>-0.0384615384615385</v>
      </c>
      <c r="AW1243" s="36"/>
      <c r="AX1243" s="34"/>
    </row>
    <row r="1244" ht="14.5" spans="1:50">
      <c r="A1244" s="32"/>
      <c r="B1244" s="36"/>
      <c r="C1244" s="91" t="s">
        <v>1105</v>
      </c>
      <c r="D1244" s="69" t="s">
        <v>25</v>
      </c>
      <c r="E1244" s="129" t="s">
        <v>1293</v>
      </c>
      <c r="F1244" s="129" t="s">
        <v>1293</v>
      </c>
      <c r="G1244" s="129" t="s">
        <v>1293</v>
      </c>
      <c r="H1244" s="129" t="s">
        <v>1293</v>
      </c>
      <c r="I1244" s="71">
        <v>0.9</v>
      </c>
      <c r="J1244" s="72">
        <v>0.979591836734694</v>
      </c>
      <c r="K1244" s="72">
        <v>0.964285714285714</v>
      </c>
      <c r="L1244" s="73">
        <v>0.981818181818182</v>
      </c>
      <c r="M1244" s="72">
        <v>0.960985626283368</v>
      </c>
      <c r="N1244" s="74">
        <v>0.9</v>
      </c>
      <c r="O1244" s="72">
        <v>0.901430531060161</v>
      </c>
      <c r="P1244" s="72">
        <v>0.948851148851149</v>
      </c>
      <c r="Q1244" s="72">
        <v>0.963470319634703</v>
      </c>
      <c r="R1244" s="72">
        <v>0.926981824774509</v>
      </c>
      <c r="S1244" s="74">
        <v>0.9</v>
      </c>
      <c r="T1244" s="72">
        <v>0.835390946502058</v>
      </c>
      <c r="U1244" s="72">
        <v>0.903896103896104</v>
      </c>
      <c r="V1244" s="72">
        <v>0.915940224159402</v>
      </c>
      <c r="W1244" s="72">
        <v>0.887707927299098</v>
      </c>
      <c r="X1244" s="74">
        <v>0.92</v>
      </c>
      <c r="Y1244" s="74">
        <v>0.864123957091776</v>
      </c>
      <c r="Z1244" s="74">
        <v>0.900246305418719</v>
      </c>
      <c r="AA1244" s="74">
        <v>0.917647058823529</v>
      </c>
      <c r="AB1244" s="74">
        <v>0.901258894362343</v>
      </c>
      <c r="AC1244" s="74">
        <v>0.92</v>
      </c>
      <c r="AD1244" s="72">
        <v>0.998280309544282</v>
      </c>
      <c r="AE1244" s="72">
        <v>0.997337974813146</v>
      </c>
      <c r="AF1244" s="72">
        <v>0.99511230070988</v>
      </c>
      <c r="AG1244" s="72">
        <v>0.991492827162814</v>
      </c>
      <c r="AH1244" s="74">
        <v>0.92</v>
      </c>
      <c r="AI1244" s="72">
        <v>0.905908096280088</v>
      </c>
      <c r="AJ1244" s="72">
        <v>0.959601168987451</v>
      </c>
      <c r="AK1244" s="72">
        <v>0.962982273201251</v>
      </c>
      <c r="AL1244" s="72">
        <v>0.951664069979164</v>
      </c>
      <c r="AM1244" s="71">
        <v>0.99</v>
      </c>
      <c r="AN1244" s="76">
        <v>1</v>
      </c>
      <c r="AO1244" s="76">
        <v>1</v>
      </c>
      <c r="AP1244" s="76">
        <v>1</v>
      </c>
      <c r="AQ1244" s="76">
        <v>1</v>
      </c>
      <c r="AR1244" s="96">
        <v>0.0721861525408278</v>
      </c>
      <c r="AS1244" s="80">
        <v>0.153846153846154</v>
      </c>
      <c r="AT1244" s="80">
        <v>0.0645161290322581</v>
      </c>
      <c r="AU1244" s="80">
        <v>0.0882352941176471</v>
      </c>
      <c r="AV1244" s="80">
        <v>0.0793650793650794</v>
      </c>
      <c r="AW1244" s="36"/>
      <c r="AX1244" s="34"/>
    </row>
    <row r="1245" ht="14.5" spans="1:50">
      <c r="A1245" s="32"/>
      <c r="B1245" s="36"/>
      <c r="C1245" s="91" t="s">
        <v>1105</v>
      </c>
      <c r="D1245" s="69" t="s">
        <v>25</v>
      </c>
      <c r="E1245" s="129" t="s">
        <v>1294</v>
      </c>
      <c r="F1245" s="129" t="s">
        <v>1294</v>
      </c>
      <c r="G1245" s="129" t="s">
        <v>1294</v>
      </c>
      <c r="H1245" s="129" t="s">
        <v>1294</v>
      </c>
      <c r="I1245" s="71">
        <v>0.9</v>
      </c>
      <c r="J1245" s="72">
        <v>0.947368421052632</v>
      </c>
      <c r="K1245" s="72">
        <v>1</v>
      </c>
      <c r="L1245" s="73">
        <v>1</v>
      </c>
      <c r="M1245" s="72">
        <v>0.990291262135922</v>
      </c>
      <c r="N1245" s="74">
        <v>0.9</v>
      </c>
      <c r="O1245" s="72">
        <v>0.896482412060302</v>
      </c>
      <c r="P1245" s="72">
        <v>0.685932388222465</v>
      </c>
      <c r="Q1245" s="72">
        <v>0.931522143654633</v>
      </c>
      <c r="R1245" s="72">
        <v>0.920440840091495</v>
      </c>
      <c r="S1245" s="74">
        <v>0.9</v>
      </c>
      <c r="T1245" s="72">
        <v>0.823115577889447</v>
      </c>
      <c r="U1245" s="72">
        <v>0.889858233369684</v>
      </c>
      <c r="V1245" s="72">
        <v>0.928172683289914</v>
      </c>
      <c r="W1245" s="72">
        <v>0.902516115616552</v>
      </c>
      <c r="X1245" s="74">
        <v>0.92</v>
      </c>
      <c r="Y1245" s="74">
        <v>0.91358024691358</v>
      </c>
      <c r="Z1245" s="74">
        <v>0.909980430528376</v>
      </c>
      <c r="AA1245" s="74">
        <v>0.936344969199179</v>
      </c>
      <c r="AB1245" s="74">
        <v>0.923852848101266</v>
      </c>
      <c r="AC1245" s="74">
        <v>0.92</v>
      </c>
      <c r="AD1245" s="72">
        <v>0.988572535347666</v>
      </c>
      <c r="AE1245" s="72">
        <v>0.98921639108555</v>
      </c>
      <c r="AF1245" s="72">
        <v>0.890326028861571</v>
      </c>
      <c r="AG1245" s="72">
        <v>0.952834071814242</v>
      </c>
      <c r="AH1245" s="74">
        <v>0.92</v>
      </c>
      <c r="AI1245" s="72">
        <v>0.936905790838375</v>
      </c>
      <c r="AJ1245" s="72">
        <v>0.962611094085198</v>
      </c>
      <c r="AK1245" s="72">
        <v>0.975740390674228</v>
      </c>
      <c r="AL1245" s="72">
        <v>0.963611998763014</v>
      </c>
      <c r="AM1245" s="71">
        <v>0.99</v>
      </c>
      <c r="AN1245" s="76">
        <v>1</v>
      </c>
      <c r="AO1245" s="76">
        <v>1</v>
      </c>
      <c r="AP1245" s="76">
        <v>1</v>
      </c>
      <c r="AQ1245" s="76">
        <v>1</v>
      </c>
      <c r="AR1245" s="96">
        <v>0.0721861525408278</v>
      </c>
      <c r="AS1245" s="80">
        <v>0.025</v>
      </c>
      <c r="AT1245" s="80">
        <v>0.0256410256410256</v>
      </c>
      <c r="AU1245" s="80">
        <v>0</v>
      </c>
      <c r="AV1245" s="80">
        <v>0.032967032967033</v>
      </c>
      <c r="AW1245" s="36"/>
      <c r="AX1245" s="34"/>
    </row>
    <row r="1246" ht="14.5" spans="1:50">
      <c r="A1246" s="32"/>
      <c r="B1246" s="36"/>
      <c r="C1246" s="91" t="s">
        <v>1105</v>
      </c>
      <c r="D1246" s="69" t="s">
        <v>25</v>
      </c>
      <c r="E1246" s="129" t="s">
        <v>1295</v>
      </c>
      <c r="F1246" s="129" t="s">
        <v>1295</v>
      </c>
      <c r="G1246" s="129" t="s">
        <v>1295</v>
      </c>
      <c r="H1246" s="129" t="s">
        <v>1295</v>
      </c>
      <c r="I1246" s="71">
        <v>0.9</v>
      </c>
      <c r="J1246" s="72">
        <v>0</v>
      </c>
      <c r="K1246" s="72">
        <v>0</v>
      </c>
      <c r="L1246" s="73">
        <v>0</v>
      </c>
      <c r="M1246" s="72">
        <v>0</v>
      </c>
      <c r="N1246" s="74">
        <v>0.9</v>
      </c>
      <c r="O1246" s="72">
        <v>0.641509433962264</v>
      </c>
      <c r="P1246" s="72">
        <v>0.436813186813187</v>
      </c>
      <c r="Q1246" s="72">
        <v>0.469387755102041</v>
      </c>
      <c r="R1246" s="72">
        <v>0.488929219600726</v>
      </c>
      <c r="S1246" s="74">
        <v>0.9</v>
      </c>
      <c r="T1246" s="72">
        <v>1</v>
      </c>
      <c r="U1246" s="72">
        <v>0.994505494505495</v>
      </c>
      <c r="V1246" s="72">
        <v>0.994169096209913</v>
      </c>
      <c r="W1246" s="72">
        <v>0.990562613430127</v>
      </c>
      <c r="X1246" s="74">
        <v>0.92</v>
      </c>
      <c r="Y1246" s="74">
        <v>1</v>
      </c>
      <c r="Z1246" s="74">
        <v>1</v>
      </c>
      <c r="AA1246" s="74">
        <v>1</v>
      </c>
      <c r="AB1246" s="74">
        <v>0.990033222591362</v>
      </c>
      <c r="AC1246" s="74">
        <v>0.92</v>
      </c>
      <c r="AD1246" s="72">
        <v>0.988470066518847</v>
      </c>
      <c r="AE1246" s="72">
        <v>0.957448918865304</v>
      </c>
      <c r="AF1246" s="72">
        <v>0.955205437133148</v>
      </c>
      <c r="AG1246" s="72">
        <v>0.970565914371446</v>
      </c>
      <c r="AH1246" s="74">
        <v>0.92</v>
      </c>
      <c r="AI1246" s="72">
        <v>1</v>
      </c>
      <c r="AJ1246" s="72">
        <v>0.995192307692308</v>
      </c>
      <c r="AK1246" s="72">
        <v>0.995515695067265</v>
      </c>
      <c r="AL1246" s="72">
        <v>0.990535344572612</v>
      </c>
      <c r="AM1246" s="71">
        <v>0.99</v>
      </c>
      <c r="AN1246" s="76">
        <v>1</v>
      </c>
      <c r="AO1246" s="76">
        <v>1</v>
      </c>
      <c r="AP1246" s="76">
        <v>1</v>
      </c>
      <c r="AQ1246" s="76">
        <v>1</v>
      </c>
      <c r="AR1246" s="96">
        <v>0.0721861525408278</v>
      </c>
      <c r="AS1246" s="80">
        <v>0</v>
      </c>
      <c r="AT1246" s="80">
        <v>0</v>
      </c>
      <c r="AU1246" s="80">
        <v>0</v>
      </c>
      <c r="AV1246" s="80">
        <v>0</v>
      </c>
      <c r="AW1246" s="36"/>
      <c r="AX1246" s="34"/>
    </row>
    <row r="1247" ht="14.5" spans="1:50">
      <c r="A1247" s="32"/>
      <c r="B1247" s="36"/>
      <c r="C1247" s="91" t="s">
        <v>1105</v>
      </c>
      <c r="D1247" s="69" t="s">
        <v>25</v>
      </c>
      <c r="E1247" s="129" t="s">
        <v>1296</v>
      </c>
      <c r="F1247" s="129" t="s">
        <v>1296</v>
      </c>
      <c r="G1247" s="129" t="s">
        <v>1296</v>
      </c>
      <c r="H1247" s="129" t="s">
        <v>1296</v>
      </c>
      <c r="I1247" s="71">
        <v>0.9</v>
      </c>
      <c r="J1247" s="72">
        <v>0</v>
      </c>
      <c r="K1247" s="72">
        <v>0</v>
      </c>
      <c r="L1247" s="73">
        <v>0</v>
      </c>
      <c r="M1247" s="72">
        <v>0</v>
      </c>
      <c r="N1247" s="74">
        <v>0.9</v>
      </c>
      <c r="O1247" s="72">
        <v>0</v>
      </c>
      <c r="P1247" s="72">
        <v>0</v>
      </c>
      <c r="Q1247" s="72">
        <v>0</v>
      </c>
      <c r="R1247" s="72">
        <v>0</v>
      </c>
      <c r="S1247" s="74">
        <v>0.9</v>
      </c>
      <c r="T1247" s="72">
        <v>0</v>
      </c>
      <c r="U1247" s="72">
        <v>1</v>
      </c>
      <c r="V1247" s="72">
        <v>0</v>
      </c>
      <c r="W1247" s="72">
        <v>1</v>
      </c>
      <c r="X1247" s="74">
        <v>0.92</v>
      </c>
      <c r="Y1247" s="74">
        <v>1</v>
      </c>
      <c r="Z1247" s="74">
        <v>0</v>
      </c>
      <c r="AA1247" s="74">
        <v>0</v>
      </c>
      <c r="AB1247" s="74">
        <v>1</v>
      </c>
      <c r="AC1247" s="74">
        <v>0.92</v>
      </c>
      <c r="AD1247" s="72">
        <v>0.875822542984504</v>
      </c>
      <c r="AE1247" s="72">
        <v>0.981820493262141</v>
      </c>
      <c r="AF1247" s="72">
        <v>0.990310370931113</v>
      </c>
      <c r="AG1247" s="72">
        <v>0.967371375724044</v>
      </c>
      <c r="AH1247" s="74">
        <v>0.92</v>
      </c>
      <c r="AI1247" s="72">
        <v>1</v>
      </c>
      <c r="AJ1247" s="72">
        <v>1</v>
      </c>
      <c r="AK1247" s="72">
        <v>0</v>
      </c>
      <c r="AL1247" s="72">
        <v>1</v>
      </c>
      <c r="AM1247" s="71">
        <v>0.99</v>
      </c>
      <c r="AN1247" s="76">
        <v>1</v>
      </c>
      <c r="AO1247" s="76">
        <v>1</v>
      </c>
      <c r="AP1247" s="76">
        <v>1</v>
      </c>
      <c r="AQ1247" s="76">
        <v>1</v>
      </c>
      <c r="AR1247" s="96">
        <v>0.0721861525408278</v>
      </c>
      <c r="AS1247" s="80">
        <v>0</v>
      </c>
      <c r="AT1247" s="80">
        <v>0</v>
      </c>
      <c r="AU1247" s="80">
        <v>0</v>
      </c>
      <c r="AV1247" s="80">
        <v>0</v>
      </c>
      <c r="AW1247" s="36"/>
      <c r="AX1247" s="34"/>
    </row>
    <row r="1248" ht="14.5" spans="1:50">
      <c r="A1248" s="32"/>
      <c r="B1248" s="36"/>
      <c r="C1248" s="91" t="s">
        <v>1105</v>
      </c>
      <c r="D1248" s="69" t="s">
        <v>25</v>
      </c>
      <c r="E1248" s="129" t="s">
        <v>1297</v>
      </c>
      <c r="F1248" s="129" t="s">
        <v>1297</v>
      </c>
      <c r="G1248" s="129" t="s">
        <v>1297</v>
      </c>
      <c r="H1248" s="129" t="s">
        <v>1297</v>
      </c>
      <c r="I1248" s="71">
        <v>0.9</v>
      </c>
      <c r="J1248" s="72">
        <v>0.875</v>
      </c>
      <c r="K1248" s="72">
        <v>0.926829268292683</v>
      </c>
      <c r="L1248" s="73">
        <v>0.95</v>
      </c>
      <c r="M1248" s="72">
        <v>0.932584269662921</v>
      </c>
      <c r="N1248" s="74">
        <v>0.9</v>
      </c>
      <c r="O1248" s="72">
        <v>0.76651461395506</v>
      </c>
      <c r="P1248" s="72">
        <v>0.949554896142433</v>
      </c>
      <c r="Q1248" s="72">
        <v>0.955182072829132</v>
      </c>
      <c r="R1248" s="72">
        <v>0.920238224147266</v>
      </c>
      <c r="S1248" s="74">
        <v>0.9</v>
      </c>
      <c r="T1248" s="72">
        <v>0.775975671566143</v>
      </c>
      <c r="U1248" s="72">
        <v>0.887833827893175</v>
      </c>
      <c r="V1248" s="72">
        <v>0.87563025210084</v>
      </c>
      <c r="W1248" s="72">
        <v>0.856350839198701</v>
      </c>
      <c r="X1248" s="74">
        <v>0.92</v>
      </c>
      <c r="Y1248" s="74">
        <v>0.808777429467085</v>
      </c>
      <c r="Z1248" s="74">
        <v>0.901673640167364</v>
      </c>
      <c r="AA1248" s="74">
        <v>0.912621359223301</v>
      </c>
      <c r="AB1248" s="74">
        <v>0.890947116821034</v>
      </c>
      <c r="AC1248" s="74">
        <v>0.92</v>
      </c>
      <c r="AD1248" s="72">
        <v>0.99401695196942</v>
      </c>
      <c r="AE1248" s="72">
        <v>0.996979925386392</v>
      </c>
      <c r="AF1248" s="72">
        <v>0.959241769650692</v>
      </c>
      <c r="AG1248" s="72">
        <v>0.989944191460951</v>
      </c>
      <c r="AH1248" s="74">
        <v>0.92</v>
      </c>
      <c r="AI1248" s="72">
        <v>0.902268760907504</v>
      </c>
      <c r="AJ1248" s="72">
        <v>0.961410512308716</v>
      </c>
      <c r="AK1248" s="72">
        <v>0.957840461025174</v>
      </c>
      <c r="AL1248" s="72">
        <v>0.948016148250903</v>
      </c>
      <c r="AM1248" s="71">
        <v>0.99</v>
      </c>
      <c r="AN1248" s="76">
        <v>1</v>
      </c>
      <c r="AO1248" s="76">
        <v>1</v>
      </c>
      <c r="AP1248" s="76">
        <v>1</v>
      </c>
      <c r="AQ1248" s="76">
        <v>1</v>
      </c>
      <c r="AR1248" s="96">
        <v>0.0721861525408278</v>
      </c>
      <c r="AS1248" s="80">
        <v>0</v>
      </c>
      <c r="AT1248" s="80">
        <v>0</v>
      </c>
      <c r="AU1248" s="80">
        <v>0.1</v>
      </c>
      <c r="AV1248" s="80">
        <v>0.00995024875621891</v>
      </c>
      <c r="AW1248" s="36"/>
      <c r="AX1248" s="34"/>
    </row>
    <row r="1249" ht="14.5" spans="1:50">
      <c r="A1249" s="32"/>
      <c r="B1249" s="36"/>
      <c r="C1249" s="91" t="s">
        <v>1105</v>
      </c>
      <c r="D1249" s="69" t="s">
        <v>25</v>
      </c>
      <c r="E1249" s="129" t="s">
        <v>1298</v>
      </c>
      <c r="F1249" s="129" t="s">
        <v>1298</v>
      </c>
      <c r="G1249" s="129" t="s">
        <v>1298</v>
      </c>
      <c r="H1249" s="129" t="s">
        <v>1298</v>
      </c>
      <c r="I1249" s="71">
        <v>0.9</v>
      </c>
      <c r="J1249" s="72">
        <v>0</v>
      </c>
      <c r="K1249" s="72">
        <v>0</v>
      </c>
      <c r="L1249" s="73">
        <v>0</v>
      </c>
      <c r="M1249" s="72">
        <v>0</v>
      </c>
      <c r="N1249" s="74">
        <v>0.9</v>
      </c>
      <c r="O1249" s="72">
        <v>0</v>
      </c>
      <c r="P1249" s="72">
        <v>0</v>
      </c>
      <c r="Q1249" s="72">
        <v>0</v>
      </c>
      <c r="R1249" s="72">
        <v>0</v>
      </c>
      <c r="S1249" s="74">
        <v>0.9</v>
      </c>
      <c r="T1249" s="72">
        <v>0.833333333333333</v>
      </c>
      <c r="U1249" s="72">
        <v>0.777777777777778</v>
      </c>
      <c r="V1249" s="72">
        <v>0.8</v>
      </c>
      <c r="W1249" s="72">
        <v>0.909090909090909</v>
      </c>
      <c r="X1249" s="74">
        <v>0.92</v>
      </c>
      <c r="Y1249" s="74">
        <v>0</v>
      </c>
      <c r="Z1249" s="74">
        <v>0</v>
      </c>
      <c r="AA1249" s="74">
        <v>0</v>
      </c>
      <c r="AB1249" s="74">
        <v>1</v>
      </c>
      <c r="AC1249" s="74">
        <v>0.92</v>
      </c>
      <c r="AD1249" s="72">
        <v>0.999313815187557</v>
      </c>
      <c r="AE1249" s="72">
        <v>0.994813614262561</v>
      </c>
      <c r="AF1249" s="72">
        <v>0.995773457311919</v>
      </c>
      <c r="AG1249" s="72">
        <v>0.996733466933868</v>
      </c>
      <c r="AH1249" s="74">
        <v>0.92</v>
      </c>
      <c r="AI1249" s="72">
        <v>0.888888888888889</v>
      </c>
      <c r="AJ1249" s="72">
        <v>0.7</v>
      </c>
      <c r="AK1249" s="72">
        <v>0.777777777777778</v>
      </c>
      <c r="AL1249" s="72">
        <v>0.911392405063291</v>
      </c>
      <c r="AM1249" s="71">
        <v>0.99</v>
      </c>
      <c r="AN1249" s="76">
        <v>1</v>
      </c>
      <c r="AO1249" s="76">
        <v>1</v>
      </c>
      <c r="AP1249" s="76">
        <v>1</v>
      </c>
      <c r="AQ1249" s="76">
        <v>1</v>
      </c>
      <c r="AR1249" s="96">
        <v>0.0721861525408278</v>
      </c>
      <c r="AS1249" s="80">
        <v>0</v>
      </c>
      <c r="AT1249" s="80">
        <v>0</v>
      </c>
      <c r="AU1249" s="80">
        <v>0</v>
      </c>
      <c r="AV1249" s="80">
        <v>0</v>
      </c>
      <c r="AW1249" s="36"/>
      <c r="AX1249" s="34"/>
    </row>
    <row r="1250" ht="14.5" spans="1:50">
      <c r="A1250" s="32"/>
      <c r="B1250" s="36"/>
      <c r="C1250" s="91" t="s">
        <v>1105</v>
      </c>
      <c r="D1250" s="69" t="s">
        <v>25</v>
      </c>
      <c r="E1250" s="129" t="s">
        <v>1299</v>
      </c>
      <c r="F1250" s="129" t="s">
        <v>1299</v>
      </c>
      <c r="G1250" s="129" t="s">
        <v>1299</v>
      </c>
      <c r="H1250" s="129" t="s">
        <v>1299</v>
      </c>
      <c r="I1250" s="71">
        <v>0.9</v>
      </c>
      <c r="J1250" s="72">
        <v>1</v>
      </c>
      <c r="K1250" s="72">
        <v>1</v>
      </c>
      <c r="L1250" s="73">
        <v>1</v>
      </c>
      <c r="M1250" s="72">
        <v>0.991776315789474</v>
      </c>
      <c r="N1250" s="74">
        <v>0.9</v>
      </c>
      <c r="O1250" s="72">
        <v>0.872767310986053</v>
      </c>
      <c r="P1250" s="72">
        <v>0.935246011529696</v>
      </c>
      <c r="Q1250" s="72">
        <v>0.967278005013854</v>
      </c>
      <c r="R1250" s="72">
        <v>0.930352102213638</v>
      </c>
      <c r="S1250" s="74">
        <v>0.9</v>
      </c>
      <c r="T1250" s="72">
        <v>0.714093467090776</v>
      </c>
      <c r="U1250" s="72">
        <v>0.882021718729052</v>
      </c>
      <c r="V1250" s="72">
        <v>0.913576989048687</v>
      </c>
      <c r="W1250" s="72">
        <v>0.862353290744317</v>
      </c>
      <c r="X1250" s="74">
        <v>0.92</v>
      </c>
      <c r="Y1250" s="74">
        <v>0.673880597014925</v>
      </c>
      <c r="Z1250" s="74">
        <v>0.889779559118236</v>
      </c>
      <c r="AA1250" s="74">
        <v>0.925802879291251</v>
      </c>
      <c r="AB1250" s="74">
        <v>0.875041191590325</v>
      </c>
      <c r="AC1250" s="74">
        <v>0.92</v>
      </c>
      <c r="AD1250" s="72">
        <v>0.995982322217758</v>
      </c>
      <c r="AE1250" s="72">
        <v>0.994714587737844</v>
      </c>
      <c r="AF1250" s="72">
        <v>0.99643949422559</v>
      </c>
      <c r="AG1250" s="72">
        <v>0.985952775741354</v>
      </c>
      <c r="AH1250" s="74">
        <v>0.92</v>
      </c>
      <c r="AI1250" s="72">
        <v>0.817360235393022</v>
      </c>
      <c r="AJ1250" s="72">
        <v>0.950535953550692</v>
      </c>
      <c r="AK1250" s="72">
        <v>0.965693586192201</v>
      </c>
      <c r="AL1250" s="72">
        <v>0.931415687843194</v>
      </c>
      <c r="AM1250" s="71">
        <v>0.99</v>
      </c>
      <c r="AN1250" s="76">
        <v>1</v>
      </c>
      <c r="AO1250" s="76">
        <v>1</v>
      </c>
      <c r="AP1250" s="76">
        <v>1</v>
      </c>
      <c r="AQ1250" s="76">
        <v>1</v>
      </c>
      <c r="AR1250" s="96">
        <v>0.0721861525408278</v>
      </c>
      <c r="AS1250" s="80">
        <v>0</v>
      </c>
      <c r="AT1250" s="80">
        <v>0.106382978723404</v>
      </c>
      <c r="AU1250" s="80">
        <v>0.0408163265306122</v>
      </c>
      <c r="AV1250" s="80">
        <v>0.0393518518518519</v>
      </c>
      <c r="AW1250" s="36"/>
      <c r="AX1250" s="34"/>
    </row>
    <row r="1251" ht="14.5" spans="1:50">
      <c r="A1251" s="32"/>
      <c r="B1251" s="36"/>
      <c r="C1251" s="91" t="s">
        <v>1105</v>
      </c>
      <c r="D1251" s="69" t="s">
        <v>25</v>
      </c>
      <c r="E1251" s="129" t="s">
        <v>1300</v>
      </c>
      <c r="F1251" s="129" t="s">
        <v>1300</v>
      </c>
      <c r="G1251" s="129" t="s">
        <v>1300</v>
      </c>
      <c r="H1251" s="129" t="s">
        <v>1300</v>
      </c>
      <c r="I1251" s="71">
        <v>0.9</v>
      </c>
      <c r="J1251" s="72">
        <v>0.875</v>
      </c>
      <c r="K1251" s="72">
        <v>0.892857142857143</v>
      </c>
      <c r="L1251" s="73">
        <v>0.907407407407407</v>
      </c>
      <c r="M1251" s="72">
        <v>0.878850102669405</v>
      </c>
      <c r="N1251" s="74">
        <v>0.9</v>
      </c>
      <c r="O1251" s="72">
        <v>0.956178790534619</v>
      </c>
      <c r="P1251" s="72">
        <v>0.976876491099284</v>
      </c>
      <c r="Q1251" s="72">
        <v>0.885818847209515</v>
      </c>
      <c r="R1251" s="72">
        <v>0.925288416220979</v>
      </c>
      <c r="S1251" s="74">
        <v>0.9</v>
      </c>
      <c r="T1251" s="72">
        <v>0.703067484662577</v>
      </c>
      <c r="U1251" s="72">
        <v>0.842906955404661</v>
      </c>
      <c r="V1251" s="72">
        <v>0.796340347666972</v>
      </c>
      <c r="W1251" s="72">
        <v>0.795700907768283</v>
      </c>
      <c r="X1251" s="74">
        <v>0.92</v>
      </c>
      <c r="Y1251" s="74">
        <v>0.779979144942649</v>
      </c>
      <c r="Z1251" s="74">
        <v>0.866913123844732</v>
      </c>
      <c r="AA1251" s="74">
        <v>0.879586077140169</v>
      </c>
      <c r="AB1251" s="74">
        <v>0.868343336191293</v>
      </c>
      <c r="AC1251" s="74">
        <v>0.92</v>
      </c>
      <c r="AD1251" s="72">
        <v>0.997087025124408</v>
      </c>
      <c r="AE1251" s="72">
        <v>0.991245896513991</v>
      </c>
      <c r="AF1251" s="72">
        <v>0.899648685403445</v>
      </c>
      <c r="AG1251" s="72">
        <v>0.970465475290485</v>
      </c>
      <c r="AH1251" s="74">
        <v>0.92</v>
      </c>
      <c r="AI1251" s="72">
        <v>0.857142857142857</v>
      </c>
      <c r="AJ1251" s="72">
        <v>0.937404346495256</v>
      </c>
      <c r="AK1251" s="72">
        <v>0.938265931372549</v>
      </c>
      <c r="AL1251" s="72">
        <v>0.928033049489925</v>
      </c>
      <c r="AM1251" s="71">
        <v>0.99</v>
      </c>
      <c r="AN1251" s="76">
        <v>1</v>
      </c>
      <c r="AO1251" s="76">
        <v>1</v>
      </c>
      <c r="AP1251" s="76">
        <v>1</v>
      </c>
      <c r="AQ1251" s="76">
        <v>1</v>
      </c>
      <c r="AR1251" s="96">
        <v>0.0721861525408278</v>
      </c>
      <c r="AS1251" s="80">
        <v>0.0222222222222222</v>
      </c>
      <c r="AT1251" s="80">
        <v>0</v>
      </c>
      <c r="AU1251" s="80">
        <v>0.027027027027027</v>
      </c>
      <c r="AV1251" s="80">
        <v>0.0218068535825545</v>
      </c>
      <c r="AW1251" s="36"/>
      <c r="AX1251" s="34"/>
    </row>
    <row r="1252" ht="14.5" spans="1:50">
      <c r="A1252" s="32"/>
      <c r="B1252" s="36"/>
      <c r="C1252" s="91" t="s">
        <v>1105</v>
      </c>
      <c r="D1252" s="69" t="s">
        <v>25</v>
      </c>
      <c r="E1252" s="129" t="s">
        <v>1301</v>
      </c>
      <c r="F1252" s="129" t="s">
        <v>1301</v>
      </c>
      <c r="G1252" s="129" t="s">
        <v>1301</v>
      </c>
      <c r="H1252" s="129" t="s">
        <v>1301</v>
      </c>
      <c r="I1252" s="71">
        <v>0.9</v>
      </c>
      <c r="J1252" s="72">
        <v>1</v>
      </c>
      <c r="K1252" s="72">
        <v>1</v>
      </c>
      <c r="L1252" s="73">
        <v>1</v>
      </c>
      <c r="M1252" s="72">
        <v>0.984790874524715</v>
      </c>
      <c r="N1252" s="74">
        <v>0.9</v>
      </c>
      <c r="O1252" s="72">
        <v>0.965622612681436</v>
      </c>
      <c r="P1252" s="72">
        <v>0.976276638520306</v>
      </c>
      <c r="Q1252" s="72">
        <v>0.979183032207384</v>
      </c>
      <c r="R1252" s="72">
        <v>0.977443609022556</v>
      </c>
      <c r="S1252" s="74">
        <v>0.9</v>
      </c>
      <c r="T1252" s="72">
        <v>0.791061879297173</v>
      </c>
      <c r="U1252" s="72">
        <v>0.948532368315239</v>
      </c>
      <c r="V1252" s="72">
        <v>0.958366064414768</v>
      </c>
      <c r="W1252" s="72">
        <v>0.905948302709436</v>
      </c>
      <c r="X1252" s="74">
        <v>0.92</v>
      </c>
      <c r="Y1252" s="74">
        <v>0.75054704595186</v>
      </c>
      <c r="Z1252" s="74">
        <v>0.936034115138593</v>
      </c>
      <c r="AA1252" s="74">
        <v>0.947368421052632</v>
      </c>
      <c r="AB1252" s="74">
        <v>0.900510725229826</v>
      </c>
      <c r="AC1252" s="74">
        <v>0.92</v>
      </c>
      <c r="AD1252" s="72">
        <v>0.994082840236686</v>
      </c>
      <c r="AE1252" s="72">
        <v>0.993628808864266</v>
      </c>
      <c r="AF1252" s="72">
        <v>0.93185038254463</v>
      </c>
      <c r="AG1252" s="72">
        <v>0.980835847580735</v>
      </c>
      <c r="AH1252" s="74">
        <v>0.92</v>
      </c>
      <c r="AI1252" s="72">
        <v>0.824715447154472</v>
      </c>
      <c r="AJ1252" s="72">
        <v>0.965155615696888</v>
      </c>
      <c r="AK1252" s="72">
        <v>0.977829252150893</v>
      </c>
      <c r="AL1252" s="72">
        <v>0.937351598173516</v>
      </c>
      <c r="AM1252" s="71">
        <v>0.99</v>
      </c>
      <c r="AN1252" s="76">
        <v>1</v>
      </c>
      <c r="AO1252" s="76">
        <v>1</v>
      </c>
      <c r="AP1252" s="76">
        <v>1</v>
      </c>
      <c r="AQ1252" s="76">
        <v>1</v>
      </c>
      <c r="AR1252" s="96">
        <v>0.0721861525408278</v>
      </c>
      <c r="AS1252" s="80">
        <v>0</v>
      </c>
      <c r="AT1252" s="80">
        <v>0.142857142857143</v>
      </c>
      <c r="AU1252" s="80">
        <v>0.0909090909090909</v>
      </c>
      <c r="AV1252" s="80">
        <v>0.046875</v>
      </c>
      <c r="AW1252" s="36"/>
      <c r="AX1252" s="34"/>
    </row>
    <row r="1253" ht="14.5" spans="1:50">
      <c r="A1253" s="32"/>
      <c r="B1253" s="36"/>
      <c r="C1253" s="91" t="s">
        <v>1105</v>
      </c>
      <c r="D1253" s="69" t="s">
        <v>25</v>
      </c>
      <c r="E1253" s="129" t="s">
        <v>1302</v>
      </c>
      <c r="F1253" s="129" t="s">
        <v>1302</v>
      </c>
      <c r="G1253" s="129" t="s">
        <v>1302</v>
      </c>
      <c r="H1253" s="129" t="s">
        <v>1302</v>
      </c>
      <c r="I1253" s="71">
        <v>0.9</v>
      </c>
      <c r="J1253" s="72">
        <v>0.962264150943396</v>
      </c>
      <c r="K1253" s="72">
        <v>0.964285714285714</v>
      </c>
      <c r="L1253" s="73">
        <v>0.962962962962963</v>
      </c>
      <c r="M1253" s="72">
        <v>0.975</v>
      </c>
      <c r="N1253" s="74">
        <v>0.9</v>
      </c>
      <c r="O1253" s="72">
        <v>0.986294054823781</v>
      </c>
      <c r="P1253" s="72">
        <v>0.981222385861561</v>
      </c>
      <c r="Q1253" s="72">
        <v>0.986938452404512</v>
      </c>
      <c r="R1253" s="72">
        <v>0.985353721444363</v>
      </c>
      <c r="S1253" s="74">
        <v>0.9</v>
      </c>
      <c r="T1253" s="72">
        <v>0.815414738341047</v>
      </c>
      <c r="U1253" s="72">
        <v>0.865979381443299</v>
      </c>
      <c r="V1253" s="72">
        <v>0.909756580249357</v>
      </c>
      <c r="W1253" s="72">
        <v>0.886099852616065</v>
      </c>
      <c r="X1253" s="74">
        <v>0.92</v>
      </c>
      <c r="Y1253" s="74">
        <v>0.81136638452237</v>
      </c>
      <c r="Z1253" s="74">
        <v>0.940882352941177</v>
      </c>
      <c r="AA1253" s="74">
        <v>0.932551319648094</v>
      </c>
      <c r="AB1253" s="74">
        <v>0.924341832073748</v>
      </c>
      <c r="AC1253" s="74">
        <v>0.92</v>
      </c>
      <c r="AD1253" s="72">
        <v>0.998931243320271</v>
      </c>
      <c r="AE1253" s="72">
        <v>0.999447055570915</v>
      </c>
      <c r="AF1253" s="72">
        <v>1</v>
      </c>
      <c r="AG1253" s="72">
        <v>0.998716014509036</v>
      </c>
      <c r="AH1253" s="74">
        <v>0.92</v>
      </c>
      <c r="AI1253" s="72">
        <v>0.866408068269977</v>
      </c>
      <c r="AJ1253" s="72">
        <v>0.943954248366013</v>
      </c>
      <c r="AK1253" s="72">
        <v>0.968899127859141</v>
      </c>
      <c r="AL1253" s="72">
        <v>0.946297231035477</v>
      </c>
      <c r="AM1253" s="71">
        <v>0.99</v>
      </c>
      <c r="AN1253" s="76">
        <v>1</v>
      </c>
      <c r="AO1253" s="76">
        <v>1</v>
      </c>
      <c r="AP1253" s="76">
        <v>1</v>
      </c>
      <c r="AQ1253" s="76">
        <v>1</v>
      </c>
      <c r="AR1253" s="96">
        <v>0.0721861525408278</v>
      </c>
      <c r="AS1253" s="80">
        <v>0.113636363636364</v>
      </c>
      <c r="AT1253" s="80">
        <v>0</v>
      </c>
      <c r="AU1253" s="80">
        <v>0.0714285714285714</v>
      </c>
      <c r="AV1253" s="80">
        <v>0.0453074433656958</v>
      </c>
      <c r="AW1253" s="36"/>
      <c r="AX1253" s="34"/>
    </row>
    <row r="1254" ht="14.5" spans="1:50">
      <c r="A1254" s="32"/>
      <c r="B1254" s="36"/>
      <c r="C1254" s="91" t="s">
        <v>1105</v>
      </c>
      <c r="D1254" s="69" t="s">
        <v>25</v>
      </c>
      <c r="E1254" s="129" t="s">
        <v>1303</v>
      </c>
      <c r="F1254" s="129" t="s">
        <v>1303</v>
      </c>
      <c r="G1254" s="129" t="s">
        <v>1303</v>
      </c>
      <c r="H1254" s="129" t="s">
        <v>1303</v>
      </c>
      <c r="I1254" s="71">
        <v>0.9</v>
      </c>
      <c r="J1254" s="72">
        <v>0.96551724137931</v>
      </c>
      <c r="K1254" s="72">
        <v>0.967741935483871</v>
      </c>
      <c r="L1254" s="73">
        <v>1</v>
      </c>
      <c r="M1254" s="72">
        <v>0.989473684210526</v>
      </c>
      <c r="N1254" s="74">
        <v>0.9</v>
      </c>
      <c r="O1254" s="72">
        <v>0.9828701941378</v>
      </c>
      <c r="P1254" s="72">
        <v>0.987131589871316</v>
      </c>
      <c r="Q1254" s="72">
        <v>0.98018984729674</v>
      </c>
      <c r="R1254" s="72">
        <v>0.980168456704844</v>
      </c>
      <c r="S1254" s="74">
        <v>0.9</v>
      </c>
      <c r="T1254" s="72">
        <v>0.820708031975638</v>
      </c>
      <c r="U1254" s="72">
        <v>0.926525529265255</v>
      </c>
      <c r="V1254" s="72">
        <v>0.919521254643004</v>
      </c>
      <c r="W1254" s="72">
        <v>0.904719461651589</v>
      </c>
      <c r="X1254" s="74">
        <v>0.92</v>
      </c>
      <c r="Y1254" s="74">
        <v>0.836644591611479</v>
      </c>
      <c r="Z1254" s="74">
        <v>0.935950413223141</v>
      </c>
      <c r="AA1254" s="74">
        <v>0.961685823754789</v>
      </c>
      <c r="AB1254" s="74">
        <v>0.933428049523036</v>
      </c>
      <c r="AC1254" s="74">
        <v>0.92</v>
      </c>
      <c r="AD1254" s="72">
        <v>0.989130434782609</v>
      </c>
      <c r="AE1254" s="72">
        <v>0.997888903549281</v>
      </c>
      <c r="AF1254" s="72">
        <v>0.988547561304231</v>
      </c>
      <c r="AG1254" s="72">
        <v>0.992329785997709</v>
      </c>
      <c r="AH1254" s="74">
        <v>0.92</v>
      </c>
      <c r="AI1254" s="72">
        <v>0.86729396495782</v>
      </c>
      <c r="AJ1254" s="72">
        <v>0.973729692360871</v>
      </c>
      <c r="AK1254" s="72">
        <v>0.977257298031229</v>
      </c>
      <c r="AL1254" s="72">
        <v>0.956448666423091</v>
      </c>
      <c r="AM1254" s="71">
        <v>0.99</v>
      </c>
      <c r="AN1254" s="76">
        <v>1</v>
      </c>
      <c r="AO1254" s="76">
        <v>1</v>
      </c>
      <c r="AP1254" s="76">
        <v>1</v>
      </c>
      <c r="AQ1254" s="76">
        <v>1</v>
      </c>
      <c r="AR1254" s="96">
        <v>0.0721861525408278</v>
      </c>
      <c r="AS1254" s="80">
        <v>0.2</v>
      </c>
      <c r="AT1254" s="80">
        <v>0.1</v>
      </c>
      <c r="AU1254" s="80">
        <v>0</v>
      </c>
      <c r="AV1254" s="80">
        <v>0.0505050505050505</v>
      </c>
      <c r="AW1254" s="36"/>
      <c r="AX1254" s="34"/>
    </row>
    <row r="1255" ht="14.5" spans="1:50">
      <c r="A1255" s="32"/>
      <c r="B1255" s="36"/>
      <c r="C1255" s="91" t="s">
        <v>1105</v>
      </c>
      <c r="D1255" s="69" t="s">
        <v>25</v>
      </c>
      <c r="E1255" s="129" t="s">
        <v>1304</v>
      </c>
      <c r="F1255" s="129" t="s">
        <v>1304</v>
      </c>
      <c r="G1255" s="129" t="s">
        <v>1304</v>
      </c>
      <c r="H1255" s="129" t="s">
        <v>1304</v>
      </c>
      <c r="I1255" s="71">
        <v>0.9</v>
      </c>
      <c r="J1255" s="72">
        <v>0.944444444444444</v>
      </c>
      <c r="K1255" s="72">
        <v>0.983870967741935</v>
      </c>
      <c r="L1255" s="73">
        <v>0.968253968253968</v>
      </c>
      <c r="M1255" s="72">
        <v>0.947747747747748</v>
      </c>
      <c r="N1255" s="74">
        <v>0.9</v>
      </c>
      <c r="O1255" s="72">
        <v>0.919040750090155</v>
      </c>
      <c r="P1255" s="72">
        <v>0.952117471802511</v>
      </c>
      <c r="Q1255" s="72">
        <v>0.951054852320675</v>
      </c>
      <c r="R1255" s="72">
        <v>0.951653486700216</v>
      </c>
      <c r="S1255" s="74">
        <v>0.9</v>
      </c>
      <c r="T1255" s="72">
        <v>0.853768481788676</v>
      </c>
      <c r="U1255" s="72">
        <v>0.921472653756118</v>
      </c>
      <c r="V1255" s="72">
        <v>0.905907172995781</v>
      </c>
      <c r="W1255" s="72">
        <v>0.902296010064702</v>
      </c>
      <c r="X1255" s="74">
        <v>0.92</v>
      </c>
      <c r="Y1255" s="74">
        <v>0.885504201680672</v>
      </c>
      <c r="Z1255" s="74">
        <v>0.927470534904805</v>
      </c>
      <c r="AA1255" s="74">
        <v>0.920039486673248</v>
      </c>
      <c r="AB1255" s="74">
        <v>0.925383612476181</v>
      </c>
      <c r="AC1255" s="74">
        <v>0.92</v>
      </c>
      <c r="AD1255" s="72">
        <v>0.981091687477702</v>
      </c>
      <c r="AE1255" s="72">
        <v>0.959819186338523</v>
      </c>
      <c r="AF1255" s="72">
        <v>0.951797040169133</v>
      </c>
      <c r="AG1255" s="72">
        <v>0.980548502843234</v>
      </c>
      <c r="AH1255" s="74">
        <v>0.92</v>
      </c>
      <c r="AI1255" s="72">
        <v>0.923538461538462</v>
      </c>
      <c r="AJ1255" s="72">
        <v>0.959022038567493</v>
      </c>
      <c r="AK1255" s="72">
        <v>0.966463944396177</v>
      </c>
      <c r="AL1255" s="72">
        <v>0.960968179983117</v>
      </c>
      <c r="AM1255" s="71">
        <v>0.99</v>
      </c>
      <c r="AN1255" s="76">
        <v>1</v>
      </c>
      <c r="AO1255" s="76">
        <v>1</v>
      </c>
      <c r="AP1255" s="76">
        <v>1</v>
      </c>
      <c r="AQ1255" s="76">
        <v>1</v>
      </c>
      <c r="AR1255" s="96">
        <v>0.0721861525408278</v>
      </c>
      <c r="AS1255" s="80">
        <v>0</v>
      </c>
      <c r="AT1255" s="80">
        <v>0.0454545454545455</v>
      </c>
      <c r="AU1255" s="80">
        <v>0</v>
      </c>
      <c r="AV1255" s="80">
        <v>0.00454545454545455</v>
      </c>
      <c r="AW1255" s="36"/>
      <c r="AX1255" s="34"/>
    </row>
    <row r="1256" ht="14.5" spans="1:50">
      <c r="A1256" s="32"/>
      <c r="B1256" s="36"/>
      <c r="C1256" s="91" t="s">
        <v>1105</v>
      </c>
      <c r="D1256" s="69" t="s">
        <v>25</v>
      </c>
      <c r="E1256" s="129" t="s">
        <v>1305</v>
      </c>
      <c r="F1256" s="129" t="s">
        <v>1305</v>
      </c>
      <c r="G1256" s="129" t="s">
        <v>1305</v>
      </c>
      <c r="H1256" s="129" t="s">
        <v>1305</v>
      </c>
      <c r="I1256" s="71">
        <v>0.9</v>
      </c>
      <c r="J1256" s="72">
        <v>0</v>
      </c>
      <c r="K1256" s="72">
        <v>0</v>
      </c>
      <c r="L1256" s="73">
        <v>0</v>
      </c>
      <c r="M1256" s="72">
        <v>0</v>
      </c>
      <c r="N1256" s="74">
        <v>0.9</v>
      </c>
      <c r="O1256" s="72">
        <v>0</v>
      </c>
      <c r="P1256" s="72">
        <v>0.666666666666667</v>
      </c>
      <c r="Q1256" s="72">
        <v>1</v>
      </c>
      <c r="R1256" s="72">
        <v>0.8</v>
      </c>
      <c r="S1256" s="74">
        <v>0.9</v>
      </c>
      <c r="T1256" s="72">
        <v>0</v>
      </c>
      <c r="U1256" s="72">
        <v>0.666666666666667</v>
      </c>
      <c r="V1256" s="72">
        <v>1</v>
      </c>
      <c r="W1256" s="72">
        <v>0.8</v>
      </c>
      <c r="X1256" s="74">
        <v>0.92</v>
      </c>
      <c r="Y1256" s="74">
        <v>0</v>
      </c>
      <c r="Z1256" s="74">
        <v>0</v>
      </c>
      <c r="AA1256" s="74">
        <v>0</v>
      </c>
      <c r="AB1256" s="74">
        <v>0</v>
      </c>
      <c r="AC1256" s="74">
        <v>0.92</v>
      </c>
      <c r="AD1256" s="72">
        <v>0.998707453683757</v>
      </c>
      <c r="AE1256" s="72">
        <v>0.949261553120534</v>
      </c>
      <c r="AF1256" s="72">
        <v>0.991421301344965</v>
      </c>
      <c r="AG1256" s="72">
        <v>0.980236351772638</v>
      </c>
      <c r="AH1256" s="74">
        <v>0.92</v>
      </c>
      <c r="AI1256" s="72">
        <v>0</v>
      </c>
      <c r="AJ1256" s="72">
        <v>0.857142857142857</v>
      </c>
      <c r="AK1256" s="72">
        <v>1</v>
      </c>
      <c r="AL1256" s="72">
        <v>0.869565217391304</v>
      </c>
      <c r="AM1256" s="71">
        <v>0.99</v>
      </c>
      <c r="AN1256" s="76">
        <v>1</v>
      </c>
      <c r="AO1256" s="76">
        <v>1</v>
      </c>
      <c r="AP1256" s="76">
        <v>1</v>
      </c>
      <c r="AQ1256" s="76">
        <v>1</v>
      </c>
      <c r="AR1256" s="96">
        <v>0.0721861525408278</v>
      </c>
      <c r="AS1256" s="80">
        <v>0</v>
      </c>
      <c r="AT1256" s="80">
        <v>0</v>
      </c>
      <c r="AU1256" s="80">
        <v>0</v>
      </c>
      <c r="AV1256" s="80">
        <v>2</v>
      </c>
      <c r="AW1256" s="36"/>
      <c r="AX1256" s="34"/>
    </row>
    <row r="1257" ht="14.5" spans="1:50">
      <c r="A1257" s="32"/>
      <c r="B1257" s="36"/>
      <c r="C1257" s="91" t="s">
        <v>1105</v>
      </c>
      <c r="D1257" s="69" t="s">
        <v>25</v>
      </c>
      <c r="E1257" s="129" t="s">
        <v>1306</v>
      </c>
      <c r="F1257" s="129" t="s">
        <v>1306</v>
      </c>
      <c r="G1257" s="129" t="s">
        <v>1306</v>
      </c>
      <c r="H1257" s="129" t="s">
        <v>1306</v>
      </c>
      <c r="I1257" s="71">
        <v>0.9</v>
      </c>
      <c r="J1257" s="72">
        <v>0.971428571428571</v>
      </c>
      <c r="K1257" s="72">
        <v>0.942857142857143</v>
      </c>
      <c r="L1257" s="73">
        <v>1</v>
      </c>
      <c r="M1257" s="72">
        <v>0.96594427244582</v>
      </c>
      <c r="N1257" s="74">
        <v>0.9</v>
      </c>
      <c r="O1257" s="72">
        <v>0.989184692179701</v>
      </c>
      <c r="P1257" s="72">
        <v>0.986150712830957</v>
      </c>
      <c r="Q1257" s="72">
        <v>0.98881342389133</v>
      </c>
      <c r="R1257" s="72">
        <v>0.988544534233194</v>
      </c>
      <c r="S1257" s="74">
        <v>0.9</v>
      </c>
      <c r="T1257" s="72">
        <v>0.961730449251248</v>
      </c>
      <c r="U1257" s="72">
        <v>0.959266802443992</v>
      </c>
      <c r="V1257" s="72">
        <v>0.977227327207351</v>
      </c>
      <c r="W1257" s="72">
        <v>0.968475268626232</v>
      </c>
      <c r="X1257" s="74">
        <v>0.92</v>
      </c>
      <c r="Y1257" s="74">
        <v>0.961616161616162</v>
      </c>
      <c r="Z1257" s="74">
        <v>0.964196502914238</v>
      </c>
      <c r="AA1257" s="74">
        <v>0.975915221579961</v>
      </c>
      <c r="AB1257" s="74">
        <v>0.973955013204626</v>
      </c>
      <c r="AC1257" s="74">
        <v>0.92</v>
      </c>
      <c r="AD1257" s="72">
        <v>0.998916576381365</v>
      </c>
      <c r="AE1257" s="72">
        <v>0.995066600888012</v>
      </c>
      <c r="AF1257" s="72">
        <v>0.99642674834099</v>
      </c>
      <c r="AG1257" s="72">
        <v>0.995621138503989</v>
      </c>
      <c r="AH1257" s="74">
        <v>0.92</v>
      </c>
      <c r="AI1257" s="72">
        <v>0.973772177937773</v>
      </c>
      <c r="AJ1257" s="72">
        <v>0.976750547045952</v>
      </c>
      <c r="AK1257" s="72">
        <v>0.987856537701214</v>
      </c>
      <c r="AL1257" s="72">
        <v>0.983735712793578</v>
      </c>
      <c r="AM1257" s="71">
        <v>0.99</v>
      </c>
      <c r="AN1257" s="76">
        <v>1</v>
      </c>
      <c r="AO1257" s="76">
        <v>1</v>
      </c>
      <c r="AP1257" s="76">
        <v>1</v>
      </c>
      <c r="AQ1257" s="76">
        <v>1</v>
      </c>
      <c r="AR1257" s="96">
        <v>0.0721861525408278</v>
      </c>
      <c r="AS1257" s="80">
        <v>0.0476190476190476</v>
      </c>
      <c r="AT1257" s="80">
        <v>0</v>
      </c>
      <c r="AU1257" s="80">
        <v>0</v>
      </c>
      <c r="AV1257" s="80">
        <v>0.0336134453781513</v>
      </c>
      <c r="AW1257" s="36"/>
      <c r="AX1257" s="34"/>
    </row>
    <row r="1258" ht="14.5" spans="1:50">
      <c r="A1258" s="32"/>
      <c r="B1258" s="36"/>
      <c r="C1258" s="91" t="s">
        <v>1105</v>
      </c>
      <c r="D1258" s="69" t="s">
        <v>25</v>
      </c>
      <c r="E1258" s="129" t="s">
        <v>1307</v>
      </c>
      <c r="F1258" s="129" t="s">
        <v>1307</v>
      </c>
      <c r="G1258" s="129" t="s">
        <v>1307</v>
      </c>
      <c r="H1258" s="129" t="s">
        <v>1307</v>
      </c>
      <c r="I1258" s="71">
        <v>0.9</v>
      </c>
      <c r="J1258" s="72">
        <v>0.948717948717949</v>
      </c>
      <c r="K1258" s="72">
        <v>0.973684210526316</v>
      </c>
      <c r="L1258" s="73">
        <v>1</v>
      </c>
      <c r="M1258" s="72">
        <v>0.952247191011236</v>
      </c>
      <c r="N1258" s="74">
        <v>0.9</v>
      </c>
      <c r="O1258" s="72">
        <v>0.959811730629978</v>
      </c>
      <c r="P1258" s="72">
        <v>0.992270887007729</v>
      </c>
      <c r="Q1258" s="72">
        <v>0.946000674991563</v>
      </c>
      <c r="R1258" s="72">
        <v>0.978647824240318</v>
      </c>
      <c r="S1258" s="74">
        <v>0.9</v>
      </c>
      <c r="T1258" s="72">
        <v>0.933381607530775</v>
      </c>
      <c r="U1258" s="72">
        <v>0.947000368053</v>
      </c>
      <c r="V1258" s="72">
        <v>0.941613229834627</v>
      </c>
      <c r="W1258" s="72">
        <v>0.940036294837639</v>
      </c>
      <c r="X1258" s="74">
        <v>0.92</v>
      </c>
      <c r="Y1258" s="74">
        <v>0.94601381042059</v>
      </c>
      <c r="Z1258" s="74">
        <v>0.960069444444444</v>
      </c>
      <c r="AA1258" s="74">
        <v>0.961148648648649</v>
      </c>
      <c r="AB1258" s="74">
        <v>0.960886034255599</v>
      </c>
      <c r="AC1258" s="74">
        <v>0.92</v>
      </c>
      <c r="AD1258" s="72">
        <v>0.997311827956989</v>
      </c>
      <c r="AE1258" s="72">
        <v>1</v>
      </c>
      <c r="AF1258" s="72">
        <v>0.998790078644888</v>
      </c>
      <c r="AG1258" s="72">
        <v>0.998820461882295</v>
      </c>
      <c r="AH1258" s="74">
        <v>0.92</v>
      </c>
      <c r="AI1258" s="72">
        <v>0.964867967853043</v>
      </c>
      <c r="AJ1258" s="72">
        <v>0.979322822434738</v>
      </c>
      <c r="AK1258" s="72">
        <v>0.978297564504461</v>
      </c>
      <c r="AL1258" s="72">
        <v>0.978159741386107</v>
      </c>
      <c r="AM1258" s="71">
        <v>0.99</v>
      </c>
      <c r="AN1258" s="76">
        <v>1</v>
      </c>
      <c r="AO1258" s="76">
        <v>1</v>
      </c>
      <c r="AP1258" s="76">
        <v>1</v>
      </c>
      <c r="AQ1258" s="76">
        <v>1</v>
      </c>
      <c r="AR1258" s="96">
        <v>0.0721861525408278</v>
      </c>
      <c r="AS1258" s="80">
        <v>0.117647058823529</v>
      </c>
      <c r="AT1258" s="80">
        <v>0.25</v>
      </c>
      <c r="AU1258" s="80">
        <v>0.111111111111111</v>
      </c>
      <c r="AV1258" s="80">
        <v>0.0900900900900901</v>
      </c>
      <c r="AW1258" s="36"/>
      <c r="AX1258" s="34"/>
    </row>
    <row r="1259" ht="14.5" spans="1:50">
      <c r="A1259" s="32"/>
      <c r="B1259" s="36"/>
      <c r="C1259" s="91" t="s">
        <v>1105</v>
      </c>
      <c r="D1259" s="69" t="s">
        <v>25</v>
      </c>
      <c r="E1259" s="129" t="s">
        <v>1308</v>
      </c>
      <c r="F1259" s="129" t="s">
        <v>1308</v>
      </c>
      <c r="G1259" s="129" t="s">
        <v>1308</v>
      </c>
      <c r="H1259" s="129" t="s">
        <v>1308</v>
      </c>
      <c r="I1259" s="71">
        <v>0.9</v>
      </c>
      <c r="J1259" s="72">
        <v>0.837837837837838</v>
      </c>
      <c r="K1259" s="72">
        <v>0.952380952380952</v>
      </c>
      <c r="L1259" s="73">
        <v>0.936170212765957</v>
      </c>
      <c r="M1259" s="72">
        <v>0.905263157894737</v>
      </c>
      <c r="N1259" s="74">
        <v>0.9</v>
      </c>
      <c r="O1259" s="72">
        <v>0.981324278438031</v>
      </c>
      <c r="P1259" s="72">
        <v>0.985069674850697</v>
      </c>
      <c r="Q1259" s="72">
        <v>0.957345971563981</v>
      </c>
      <c r="R1259" s="72">
        <v>0.969957238405029</v>
      </c>
      <c r="S1259" s="74">
        <v>0.9</v>
      </c>
      <c r="T1259" s="72">
        <v>0.917147707979627</v>
      </c>
      <c r="U1259" s="72">
        <v>0.948241539482415</v>
      </c>
      <c r="V1259" s="72">
        <v>0.941232227488152</v>
      </c>
      <c r="W1259" s="72">
        <v>0.936332736376594</v>
      </c>
      <c r="X1259" s="74">
        <v>0.92</v>
      </c>
      <c r="Y1259" s="74">
        <v>0.927152317880795</v>
      </c>
      <c r="Z1259" s="74">
        <v>0.946415640839971</v>
      </c>
      <c r="AA1259" s="74">
        <v>0.946764946764947</v>
      </c>
      <c r="AB1259" s="74">
        <v>0.944780691922588</v>
      </c>
      <c r="AC1259" s="74">
        <v>0.92</v>
      </c>
      <c r="AD1259" s="72">
        <v>0.989920201595968</v>
      </c>
      <c r="AE1259" s="72">
        <v>0.99974126778784</v>
      </c>
      <c r="AF1259" s="72">
        <v>0.999047392236247</v>
      </c>
      <c r="AG1259" s="72">
        <v>0.998484675205855</v>
      </c>
      <c r="AH1259" s="74">
        <v>0.92</v>
      </c>
      <c r="AI1259" s="72">
        <v>0.955013664073996</v>
      </c>
      <c r="AJ1259" s="72">
        <v>0.971565059144677</v>
      </c>
      <c r="AK1259" s="72">
        <v>0.972412220702234</v>
      </c>
      <c r="AL1259" s="72">
        <v>0.970259858169951</v>
      </c>
      <c r="AM1259" s="71">
        <v>0.99</v>
      </c>
      <c r="AN1259" s="76">
        <v>1</v>
      </c>
      <c r="AO1259" s="76">
        <v>1</v>
      </c>
      <c r="AP1259" s="76">
        <v>1</v>
      </c>
      <c r="AQ1259" s="76">
        <v>1</v>
      </c>
      <c r="AR1259" s="96">
        <v>0.0721861525408278</v>
      </c>
      <c r="AS1259" s="80">
        <v>0.0666666666666667</v>
      </c>
      <c r="AT1259" s="80">
        <v>0</v>
      </c>
      <c r="AU1259" s="80">
        <v>0</v>
      </c>
      <c r="AV1259" s="80">
        <v>0.0267857142857143</v>
      </c>
      <c r="AW1259" s="36"/>
      <c r="AX1259" s="34"/>
    </row>
    <row r="1260" ht="14.5" spans="1:50">
      <c r="A1260" s="32"/>
      <c r="B1260" s="36"/>
      <c r="C1260" s="91" t="s">
        <v>1105</v>
      </c>
      <c r="D1260" s="69" t="s">
        <v>25</v>
      </c>
      <c r="E1260" s="129" t="s">
        <v>1309</v>
      </c>
      <c r="F1260" s="129" t="s">
        <v>1309</v>
      </c>
      <c r="G1260" s="129" t="s">
        <v>1309</v>
      </c>
      <c r="H1260" s="129" t="s">
        <v>1309</v>
      </c>
      <c r="I1260" s="71">
        <v>0.9</v>
      </c>
      <c r="J1260" s="72">
        <v>0.972222222222222</v>
      </c>
      <c r="K1260" s="72">
        <v>0.880952380952381</v>
      </c>
      <c r="L1260" s="73">
        <v>0.909090909090909</v>
      </c>
      <c r="M1260" s="72">
        <v>0.919667590027701</v>
      </c>
      <c r="N1260" s="74">
        <v>0.9</v>
      </c>
      <c r="O1260" s="72">
        <v>0.974097331240188</v>
      </c>
      <c r="P1260" s="72">
        <v>0.988416988416988</v>
      </c>
      <c r="Q1260" s="72">
        <v>0.986496090973703</v>
      </c>
      <c r="R1260" s="72">
        <v>0.979748427672956</v>
      </c>
      <c r="S1260" s="74">
        <v>0.9</v>
      </c>
      <c r="T1260" s="72">
        <v>0.957613814756672</v>
      </c>
      <c r="U1260" s="72">
        <v>0.969498069498069</v>
      </c>
      <c r="V1260" s="72">
        <v>0.966240227434257</v>
      </c>
      <c r="W1260" s="72">
        <v>0.966582809224319</v>
      </c>
      <c r="X1260" s="74">
        <v>0.92</v>
      </c>
      <c r="Y1260" s="74">
        <v>0.960216998191682</v>
      </c>
      <c r="Z1260" s="74">
        <v>0.969594594594595</v>
      </c>
      <c r="AA1260" s="74">
        <v>0.978494623655914</v>
      </c>
      <c r="AB1260" s="74">
        <v>0.970524921344593</v>
      </c>
      <c r="AC1260" s="74">
        <v>0.92</v>
      </c>
      <c r="AD1260" s="72">
        <v>1</v>
      </c>
      <c r="AE1260" s="72">
        <v>1</v>
      </c>
      <c r="AF1260" s="72">
        <v>0.997368421052632</v>
      </c>
      <c r="AG1260" s="72">
        <v>0.997462514417532</v>
      </c>
      <c r="AH1260" s="74">
        <v>0.92</v>
      </c>
      <c r="AI1260" s="72">
        <v>0.974096958174905</v>
      </c>
      <c r="AJ1260" s="72">
        <v>0.98145204027557</v>
      </c>
      <c r="AK1260" s="72">
        <v>0.986825751926423</v>
      </c>
      <c r="AL1260" s="72">
        <v>0.982219872561841</v>
      </c>
      <c r="AM1260" s="71">
        <v>0.99</v>
      </c>
      <c r="AN1260" s="76">
        <v>1</v>
      </c>
      <c r="AO1260" s="76">
        <v>1</v>
      </c>
      <c r="AP1260" s="76">
        <v>1</v>
      </c>
      <c r="AQ1260" s="76">
        <v>1</v>
      </c>
      <c r="AR1260" s="96">
        <v>0.0721861525408278</v>
      </c>
      <c r="AS1260" s="80">
        <v>0</v>
      </c>
      <c r="AT1260" s="80">
        <v>0</v>
      </c>
      <c r="AU1260" s="80">
        <v>0</v>
      </c>
      <c r="AV1260" s="80">
        <v>0.0198019801980198</v>
      </c>
      <c r="AW1260" s="36"/>
      <c r="AX1260" s="34"/>
    </row>
    <row r="1261" ht="14.5" spans="1:50">
      <c r="A1261" s="32"/>
      <c r="B1261" s="36"/>
      <c r="C1261" s="91" t="s">
        <v>1105</v>
      </c>
      <c r="D1261" s="69" t="s">
        <v>25</v>
      </c>
      <c r="E1261" s="129" t="s">
        <v>1310</v>
      </c>
      <c r="F1261" s="129" t="s">
        <v>1310</v>
      </c>
      <c r="G1261" s="129" t="s">
        <v>1310</v>
      </c>
      <c r="H1261" s="129" t="s">
        <v>1310</v>
      </c>
      <c r="I1261" s="71">
        <v>0.9</v>
      </c>
      <c r="J1261" s="72">
        <v>0.928571428571429</v>
      </c>
      <c r="K1261" s="72">
        <v>1</v>
      </c>
      <c r="L1261" s="73">
        <v>0.888888888888889</v>
      </c>
      <c r="M1261" s="72">
        <v>0.954166666666667</v>
      </c>
      <c r="N1261" s="74">
        <v>0.9</v>
      </c>
      <c r="O1261" s="72">
        <v>0.978848413631022</v>
      </c>
      <c r="P1261" s="72">
        <v>0.977152899824253</v>
      </c>
      <c r="Q1261" s="72">
        <v>0.984784889821616</v>
      </c>
      <c r="R1261" s="72">
        <v>0.985739087301587</v>
      </c>
      <c r="S1261" s="74">
        <v>0.9</v>
      </c>
      <c r="T1261" s="72">
        <v>0.962397179788484</v>
      </c>
      <c r="U1261" s="72">
        <v>0.966022261277094</v>
      </c>
      <c r="V1261" s="72">
        <v>0.936516264428122</v>
      </c>
      <c r="W1261" s="72">
        <v>0.96000744047619</v>
      </c>
      <c r="X1261" s="74">
        <v>0.92</v>
      </c>
      <c r="Y1261" s="74">
        <v>0.96003996003996</v>
      </c>
      <c r="Z1261" s="74">
        <v>0.954721862871928</v>
      </c>
      <c r="AA1261" s="74">
        <v>0.9675</v>
      </c>
      <c r="AB1261" s="74">
        <v>0.963867684478371</v>
      </c>
      <c r="AC1261" s="74">
        <v>0.92</v>
      </c>
      <c r="AD1261" s="72">
        <v>0.999304105775922</v>
      </c>
      <c r="AE1261" s="72">
        <v>0.99537607891492</v>
      </c>
      <c r="AF1261" s="72">
        <v>0.995551961180752</v>
      </c>
      <c r="AG1261" s="72">
        <v>0.995990546129822</v>
      </c>
      <c r="AH1261" s="74">
        <v>0.92</v>
      </c>
      <c r="AI1261" s="72">
        <v>0.970033296337403</v>
      </c>
      <c r="AJ1261" s="72">
        <v>0.97741935483871</v>
      </c>
      <c r="AK1261" s="72">
        <v>0.980413895048041</v>
      </c>
      <c r="AL1261" s="72">
        <v>0.978574406002501</v>
      </c>
      <c r="AM1261" s="71">
        <v>0.99</v>
      </c>
      <c r="AN1261" s="76">
        <v>1</v>
      </c>
      <c r="AO1261" s="76">
        <v>1</v>
      </c>
      <c r="AP1261" s="76">
        <v>1</v>
      </c>
      <c r="AQ1261" s="76">
        <v>1</v>
      </c>
      <c r="AR1261" s="96">
        <v>0.0721861525408278</v>
      </c>
      <c r="AS1261" s="80">
        <v>0</v>
      </c>
      <c r="AT1261" s="80">
        <v>0</v>
      </c>
      <c r="AU1261" s="80">
        <v>0</v>
      </c>
      <c r="AV1261" s="80">
        <v>-0.0198019801980198</v>
      </c>
      <c r="AW1261" s="36"/>
      <c r="AX1261" s="34"/>
    </row>
    <row r="1262" ht="14.5" spans="1:50">
      <c r="A1262" s="32"/>
      <c r="B1262" s="36"/>
      <c r="C1262" s="91" t="s">
        <v>1105</v>
      </c>
      <c r="D1262" s="69" t="s">
        <v>25</v>
      </c>
      <c r="E1262" s="129" t="s">
        <v>1311</v>
      </c>
      <c r="F1262" s="129" t="s">
        <v>1311</v>
      </c>
      <c r="G1262" s="129" t="s">
        <v>1311</v>
      </c>
      <c r="H1262" s="129" t="s">
        <v>1311</v>
      </c>
      <c r="I1262" s="71">
        <v>0.9</v>
      </c>
      <c r="J1262" s="72">
        <v>0.928571428571429</v>
      </c>
      <c r="K1262" s="72">
        <v>0.975609756097561</v>
      </c>
      <c r="L1262" s="73">
        <v>0.956521739130435</v>
      </c>
      <c r="M1262" s="72">
        <v>0.941666666666667</v>
      </c>
      <c r="N1262" s="74">
        <v>0.9</v>
      </c>
      <c r="O1262" s="72">
        <v>0.961675579322638</v>
      </c>
      <c r="P1262" s="72">
        <v>0.9581589958159</v>
      </c>
      <c r="Q1262" s="72">
        <v>0.937821782178218</v>
      </c>
      <c r="R1262" s="72">
        <v>0.955054151624549</v>
      </c>
      <c r="S1262" s="74">
        <v>0.9</v>
      </c>
      <c r="T1262" s="72">
        <v>0.974153297682709</v>
      </c>
      <c r="U1262" s="72">
        <v>0.982008368200837</v>
      </c>
      <c r="V1262" s="72">
        <v>0.957623762376238</v>
      </c>
      <c r="W1262" s="72">
        <v>0.973736462093863</v>
      </c>
      <c r="X1262" s="74">
        <v>0.92</v>
      </c>
      <c r="Y1262" s="74">
        <v>0.956632653061224</v>
      </c>
      <c r="Z1262" s="74">
        <v>0.976897689768977</v>
      </c>
      <c r="AA1262" s="74">
        <v>0.975494071146245</v>
      </c>
      <c r="AB1262" s="74">
        <v>0.970674740484429</v>
      </c>
      <c r="AC1262" s="74">
        <v>0.92</v>
      </c>
      <c r="AD1262" s="72">
        <v>0.999503475670308</v>
      </c>
      <c r="AE1262" s="72">
        <v>0.995054826918942</v>
      </c>
      <c r="AF1262" s="72">
        <v>0.99720214502215</v>
      </c>
      <c r="AG1262" s="72">
        <v>0.996220885392565</v>
      </c>
      <c r="AH1262" s="74">
        <v>0.92</v>
      </c>
      <c r="AI1262" s="72">
        <v>0.973767051416579</v>
      </c>
      <c r="AJ1262" s="72">
        <v>0.987787954482376</v>
      </c>
      <c r="AK1262" s="72">
        <v>0.984700606700079</v>
      </c>
      <c r="AL1262" s="72">
        <v>0.9839886141256</v>
      </c>
      <c r="AM1262" s="71">
        <v>0.99</v>
      </c>
      <c r="AN1262" s="76">
        <v>1</v>
      </c>
      <c r="AO1262" s="76">
        <v>1</v>
      </c>
      <c r="AP1262" s="76">
        <v>1</v>
      </c>
      <c r="AQ1262" s="76">
        <v>1</v>
      </c>
      <c r="AR1262" s="96">
        <v>0.0721861525408278</v>
      </c>
      <c r="AS1262" s="80">
        <v>0</v>
      </c>
      <c r="AT1262" s="80">
        <v>0</v>
      </c>
      <c r="AU1262" s="80">
        <v>0</v>
      </c>
      <c r="AV1262" s="80">
        <v>0.0285714285714286</v>
      </c>
      <c r="AW1262" s="36"/>
      <c r="AX1262" s="34"/>
    </row>
    <row r="1263" ht="14.5" spans="1:50">
      <c r="A1263" s="32"/>
      <c r="B1263" s="36"/>
      <c r="C1263" s="91" t="s">
        <v>1105</v>
      </c>
      <c r="D1263" s="69" t="s">
        <v>25</v>
      </c>
      <c r="E1263" s="129" t="s">
        <v>1312</v>
      </c>
      <c r="F1263" s="129" t="s">
        <v>1312</v>
      </c>
      <c r="G1263" s="129" t="s">
        <v>1312</v>
      </c>
      <c r="H1263" s="129" t="s">
        <v>1312</v>
      </c>
      <c r="I1263" s="71">
        <v>0.9</v>
      </c>
      <c r="J1263" s="72">
        <v>1</v>
      </c>
      <c r="K1263" s="72">
        <v>0.944444444444444</v>
      </c>
      <c r="L1263" s="73">
        <v>0.972972972972973</v>
      </c>
      <c r="M1263" s="72">
        <v>0.92604501607717</v>
      </c>
      <c r="N1263" s="74">
        <v>0.9</v>
      </c>
      <c r="O1263" s="72">
        <v>0.969263157894737</v>
      </c>
      <c r="P1263" s="72">
        <v>0.930851063829787</v>
      </c>
      <c r="Q1263" s="72">
        <v>0.992313604919293</v>
      </c>
      <c r="R1263" s="72">
        <v>0.974597643174836</v>
      </c>
      <c r="S1263" s="74">
        <v>0.9</v>
      </c>
      <c r="T1263" s="72">
        <v>0.946105263157895</v>
      </c>
      <c r="U1263" s="72">
        <v>0.948036006546645</v>
      </c>
      <c r="V1263" s="72">
        <v>0.976940814757879</v>
      </c>
      <c r="W1263" s="72">
        <v>0.966710990875327</v>
      </c>
      <c r="X1263" s="74">
        <v>0.92</v>
      </c>
      <c r="Y1263" s="74">
        <v>0.96304347826087</v>
      </c>
      <c r="Z1263" s="74">
        <v>0.97506678539626</v>
      </c>
      <c r="AA1263" s="74">
        <v>0.973477406679764</v>
      </c>
      <c r="AB1263" s="74">
        <v>0.964305789769533</v>
      </c>
      <c r="AC1263" s="74">
        <v>0.92</v>
      </c>
      <c r="AD1263" s="72">
        <v>1</v>
      </c>
      <c r="AE1263" s="72">
        <v>0.995555555555556</v>
      </c>
      <c r="AF1263" s="72">
        <v>0.997126436781609</v>
      </c>
      <c r="AG1263" s="72">
        <v>0.994294842537654</v>
      </c>
      <c r="AH1263" s="74">
        <v>0.92</v>
      </c>
      <c r="AI1263" s="72">
        <v>0.974966711051931</v>
      </c>
      <c r="AJ1263" s="72">
        <v>0.985141575553687</v>
      </c>
      <c r="AK1263" s="72">
        <v>0.988674033149171</v>
      </c>
      <c r="AL1263" s="72">
        <v>0.981377739473036</v>
      </c>
      <c r="AM1263" s="71">
        <v>0.99</v>
      </c>
      <c r="AN1263" s="76">
        <v>1</v>
      </c>
      <c r="AO1263" s="76">
        <v>1</v>
      </c>
      <c r="AP1263" s="76">
        <v>1</v>
      </c>
      <c r="AQ1263" s="76">
        <v>1</v>
      </c>
      <c r="AR1263" s="96">
        <v>0.0721861525408278</v>
      </c>
      <c r="AS1263" s="80">
        <v>0</v>
      </c>
      <c r="AT1263" s="80">
        <v>0</v>
      </c>
      <c r="AU1263" s="80">
        <v>0</v>
      </c>
      <c r="AV1263" s="80">
        <v>0.036036036036036</v>
      </c>
      <c r="AW1263" s="36"/>
      <c r="AX1263" s="34"/>
    </row>
    <row r="1264" ht="14.5" spans="1:50">
      <c r="A1264" s="32"/>
      <c r="B1264" s="36"/>
      <c r="C1264" s="91" t="s">
        <v>1105</v>
      </c>
      <c r="D1264" s="69" t="s">
        <v>25</v>
      </c>
      <c r="E1264" s="129" t="s">
        <v>1313</v>
      </c>
      <c r="F1264" s="129" t="s">
        <v>1313</v>
      </c>
      <c r="G1264" s="129" t="s">
        <v>1313</v>
      </c>
      <c r="H1264" s="129" t="s">
        <v>1313</v>
      </c>
      <c r="I1264" s="71">
        <v>0.9</v>
      </c>
      <c r="J1264" s="72">
        <v>0.954545454545455</v>
      </c>
      <c r="K1264" s="72">
        <v>0.95</v>
      </c>
      <c r="L1264" s="73">
        <v>0.9</v>
      </c>
      <c r="M1264" s="72">
        <v>0.93854748603352</v>
      </c>
      <c r="N1264" s="74">
        <v>0.9</v>
      </c>
      <c r="O1264" s="72">
        <v>0.996994740796394</v>
      </c>
      <c r="P1264" s="72">
        <v>0.992154065620542</v>
      </c>
      <c r="Q1264" s="72">
        <v>0.993279569892473</v>
      </c>
      <c r="R1264" s="72">
        <v>0.987310219805121</v>
      </c>
      <c r="S1264" s="74">
        <v>0.9</v>
      </c>
      <c r="T1264" s="72">
        <v>0.976709241172051</v>
      </c>
      <c r="U1264" s="72">
        <v>0.964336661911555</v>
      </c>
      <c r="V1264" s="72">
        <v>0.969086021505376</v>
      </c>
      <c r="W1264" s="72">
        <v>0.96736913664174</v>
      </c>
      <c r="X1264" s="74">
        <v>0.92</v>
      </c>
      <c r="Y1264" s="74">
        <v>0.975806451612903</v>
      </c>
      <c r="Z1264" s="74">
        <v>0.961948249619482</v>
      </c>
      <c r="AA1264" s="74">
        <v>0.966876971608833</v>
      </c>
      <c r="AB1264" s="74">
        <v>0.971628994544037</v>
      </c>
      <c r="AC1264" s="74">
        <v>0.92</v>
      </c>
      <c r="AD1264" s="72">
        <v>0.996086105675147</v>
      </c>
      <c r="AE1264" s="72">
        <v>0.998366013071895</v>
      </c>
      <c r="AF1264" s="72">
        <v>1</v>
      </c>
      <c r="AG1264" s="72">
        <v>0.998790810157195</v>
      </c>
      <c r="AH1264" s="74">
        <v>0.92</v>
      </c>
      <c r="AI1264" s="72">
        <v>0.985447930877672</v>
      </c>
      <c r="AJ1264" s="72">
        <v>0.980573093734823</v>
      </c>
      <c r="AK1264" s="72">
        <v>0.98444863336475</v>
      </c>
      <c r="AL1264" s="72">
        <v>0.985142973440521</v>
      </c>
      <c r="AM1264" s="71">
        <v>0.99</v>
      </c>
      <c r="AN1264" s="76">
        <v>1</v>
      </c>
      <c r="AO1264" s="76">
        <v>1</v>
      </c>
      <c r="AP1264" s="76">
        <v>1</v>
      </c>
      <c r="AQ1264" s="76">
        <v>1</v>
      </c>
      <c r="AR1264" s="96">
        <v>0.0721861525408278</v>
      </c>
      <c r="AS1264" s="80">
        <v>0</v>
      </c>
      <c r="AT1264" s="80">
        <v>0</v>
      </c>
      <c r="AU1264" s="80">
        <v>0</v>
      </c>
      <c r="AV1264" s="80">
        <v>0.0833333333333333</v>
      </c>
      <c r="AW1264" s="36"/>
      <c r="AX1264" s="34"/>
    </row>
    <row r="1265" ht="14.5" spans="1:50">
      <c r="A1265" s="32"/>
      <c r="B1265" s="36"/>
      <c r="C1265" s="91" t="s">
        <v>1105</v>
      </c>
      <c r="D1265" s="69" t="s">
        <v>25</v>
      </c>
      <c r="E1265" s="129" t="s">
        <v>1314</v>
      </c>
      <c r="F1265" s="129" t="s">
        <v>1314</v>
      </c>
      <c r="G1265" s="129" t="s">
        <v>1314</v>
      </c>
      <c r="H1265" s="129" t="s">
        <v>1314</v>
      </c>
      <c r="I1265" s="71">
        <v>0.9</v>
      </c>
      <c r="J1265" s="72">
        <v>0.921052631578947</v>
      </c>
      <c r="K1265" s="72">
        <v>0.925</v>
      </c>
      <c r="L1265" s="73">
        <v>0.904761904761905</v>
      </c>
      <c r="M1265" s="72">
        <v>0.861111111111111</v>
      </c>
      <c r="N1265" s="74">
        <v>0.9</v>
      </c>
      <c r="O1265" s="72">
        <v>0.931593159315932</v>
      </c>
      <c r="P1265" s="72">
        <v>0.985489220563847</v>
      </c>
      <c r="Q1265" s="72">
        <v>0.991501416430595</v>
      </c>
      <c r="R1265" s="72">
        <v>0.967895145453715</v>
      </c>
      <c r="S1265" s="74">
        <v>0.9</v>
      </c>
      <c r="T1265" s="72">
        <v>0.937893789378938</v>
      </c>
      <c r="U1265" s="72">
        <v>0.930762852404643</v>
      </c>
      <c r="V1265" s="72">
        <v>0.948603804127883</v>
      </c>
      <c r="W1265" s="72">
        <v>0.937160341599306</v>
      </c>
      <c r="X1265" s="74">
        <v>0.92</v>
      </c>
      <c r="Y1265" s="74">
        <v>0.922222222222222</v>
      </c>
      <c r="Z1265" s="74">
        <v>0.92032967032967</v>
      </c>
      <c r="AA1265" s="74">
        <v>0.927710843373494</v>
      </c>
      <c r="AB1265" s="74">
        <v>0.928799249530957</v>
      </c>
      <c r="AC1265" s="74">
        <v>0.92</v>
      </c>
      <c r="AD1265" s="72">
        <v>1</v>
      </c>
      <c r="AE1265" s="72">
        <v>1</v>
      </c>
      <c r="AF1265" s="72">
        <v>1</v>
      </c>
      <c r="AG1265" s="72">
        <v>1</v>
      </c>
      <c r="AH1265" s="74">
        <v>0.92</v>
      </c>
      <c r="AI1265" s="72">
        <v>0.956886898096305</v>
      </c>
      <c r="AJ1265" s="72">
        <v>0.958630527817404</v>
      </c>
      <c r="AK1265" s="72">
        <v>0.968849149120277</v>
      </c>
      <c r="AL1265" s="72">
        <v>0.964406363245501</v>
      </c>
      <c r="AM1265" s="71">
        <v>0.99</v>
      </c>
      <c r="AN1265" s="76">
        <v>1</v>
      </c>
      <c r="AO1265" s="76">
        <v>1</v>
      </c>
      <c r="AP1265" s="76">
        <v>1</v>
      </c>
      <c r="AQ1265" s="76">
        <v>1</v>
      </c>
      <c r="AR1265" s="96">
        <v>0.0721861525408278</v>
      </c>
      <c r="AS1265" s="80">
        <v>0.142857142857143</v>
      </c>
      <c r="AT1265" s="80">
        <v>0.142857142857143</v>
      </c>
      <c r="AU1265" s="80">
        <v>0</v>
      </c>
      <c r="AV1265" s="80">
        <v>0.0531914893617021</v>
      </c>
      <c r="AW1265" s="36"/>
      <c r="AX1265" s="34"/>
    </row>
    <row r="1266" ht="14.5" spans="1:50">
      <c r="A1266" s="32"/>
      <c r="B1266" s="36"/>
      <c r="C1266" s="91" t="s">
        <v>1105</v>
      </c>
      <c r="D1266" s="69" t="s">
        <v>25</v>
      </c>
      <c r="E1266" s="129" t="s">
        <v>1315</v>
      </c>
      <c r="F1266" s="129" t="s">
        <v>1315</v>
      </c>
      <c r="G1266" s="129" t="s">
        <v>1315</v>
      </c>
      <c r="H1266" s="129" t="s">
        <v>1315</v>
      </c>
      <c r="I1266" s="71">
        <v>0.9</v>
      </c>
      <c r="J1266" s="72">
        <v>1</v>
      </c>
      <c r="K1266" s="72">
        <v>0.962962962962963</v>
      </c>
      <c r="L1266" s="73">
        <v>0.931034482758621</v>
      </c>
      <c r="M1266" s="72">
        <v>0.9625</v>
      </c>
      <c r="N1266" s="74">
        <v>0.9</v>
      </c>
      <c r="O1266" s="72">
        <v>0.994968553459119</v>
      </c>
      <c r="P1266" s="72">
        <v>0.991875</v>
      </c>
      <c r="Q1266" s="72">
        <v>0.98716577540107</v>
      </c>
      <c r="R1266" s="72">
        <v>0.992940715079417</v>
      </c>
      <c r="S1266" s="74">
        <v>0.9</v>
      </c>
      <c r="T1266" s="72">
        <v>0.972955974842767</v>
      </c>
      <c r="U1266" s="72">
        <v>0.985</v>
      </c>
      <c r="V1266" s="72">
        <v>0.988235294117647</v>
      </c>
      <c r="W1266" s="72">
        <v>0.981567422707367</v>
      </c>
      <c r="X1266" s="74">
        <v>0.92</v>
      </c>
      <c r="Y1266" s="74">
        <v>0.981836528758829</v>
      </c>
      <c r="Z1266" s="74">
        <v>0.983668341708543</v>
      </c>
      <c r="AA1266" s="74">
        <v>0.989077669902913</v>
      </c>
      <c r="AB1266" s="74">
        <v>0.984183006535948</v>
      </c>
      <c r="AC1266" s="74">
        <v>0.92</v>
      </c>
      <c r="AD1266" s="72">
        <v>0.99766081871345</v>
      </c>
      <c r="AE1266" s="72">
        <v>0.99906629318394</v>
      </c>
      <c r="AF1266" s="72">
        <v>0.992253521126761</v>
      </c>
      <c r="AG1266" s="72">
        <v>0.996720303371938</v>
      </c>
      <c r="AH1266" s="74">
        <v>0.92</v>
      </c>
      <c r="AI1266" s="72">
        <v>0.984508133230054</v>
      </c>
      <c r="AJ1266" s="72">
        <v>0.990400667779633</v>
      </c>
      <c r="AK1266" s="72">
        <v>0.992947290274685</v>
      </c>
      <c r="AL1266" s="72">
        <v>0.99102474729871</v>
      </c>
      <c r="AM1266" s="71">
        <v>0.99</v>
      </c>
      <c r="AN1266" s="76">
        <v>1</v>
      </c>
      <c r="AO1266" s="76">
        <v>1</v>
      </c>
      <c r="AP1266" s="76">
        <v>1</v>
      </c>
      <c r="AQ1266" s="76">
        <v>1</v>
      </c>
      <c r="AR1266" s="96">
        <v>0.0721861525408278</v>
      </c>
      <c r="AS1266" s="80">
        <v>0</v>
      </c>
      <c r="AT1266" s="80">
        <v>0</v>
      </c>
      <c r="AU1266" s="80">
        <v>0</v>
      </c>
      <c r="AV1266" s="80">
        <v>0.0444444444444444</v>
      </c>
      <c r="AW1266" s="36"/>
      <c r="AX1266" s="34"/>
    </row>
    <row r="1267" ht="14.5" spans="1:50">
      <c r="A1267" s="32"/>
      <c r="B1267" s="36"/>
      <c r="C1267" s="91" t="s">
        <v>1105</v>
      </c>
      <c r="D1267" s="69" t="s">
        <v>25</v>
      </c>
      <c r="E1267" s="129" t="s">
        <v>1316</v>
      </c>
      <c r="F1267" s="129" t="s">
        <v>1316</v>
      </c>
      <c r="G1267" s="129" t="s">
        <v>1316</v>
      </c>
      <c r="H1267" s="129" t="s">
        <v>1316</v>
      </c>
      <c r="I1267" s="71">
        <v>0.9</v>
      </c>
      <c r="J1267" s="72">
        <v>0.944444444444444</v>
      </c>
      <c r="K1267" s="72">
        <v>1</v>
      </c>
      <c r="L1267" s="73">
        <v>1</v>
      </c>
      <c r="M1267" s="72">
        <v>0.952513966480447</v>
      </c>
      <c r="N1267" s="74">
        <v>0.9</v>
      </c>
      <c r="O1267" s="72">
        <v>0.983103601600711</v>
      </c>
      <c r="P1267" s="72">
        <v>0.989699955217197</v>
      </c>
      <c r="Q1267" s="72">
        <v>0.988421955403088</v>
      </c>
      <c r="R1267" s="72">
        <v>0.98782401902497</v>
      </c>
      <c r="S1267" s="74">
        <v>0.9</v>
      </c>
      <c r="T1267" s="72">
        <v>0.890173410404624</v>
      </c>
      <c r="U1267" s="72">
        <v>0.914464845499328</v>
      </c>
      <c r="V1267" s="72">
        <v>0.911234991423671</v>
      </c>
      <c r="W1267" s="72">
        <v>0.913483947681332</v>
      </c>
      <c r="X1267" s="74">
        <v>0.92</v>
      </c>
      <c r="Y1267" s="74">
        <v>0.853535353535353</v>
      </c>
      <c r="Z1267" s="74">
        <v>0.898522167487685</v>
      </c>
      <c r="AA1267" s="74">
        <v>0.894230769230769</v>
      </c>
      <c r="AB1267" s="74">
        <v>0.912247348409045</v>
      </c>
      <c r="AC1267" s="74">
        <v>0.92</v>
      </c>
      <c r="AD1267" s="72">
        <v>0.990228013029316</v>
      </c>
      <c r="AE1267" s="72">
        <v>1</v>
      </c>
      <c r="AF1267" s="72">
        <v>0.992932862190813</v>
      </c>
      <c r="AG1267" s="72">
        <v>0.99414398897692</v>
      </c>
      <c r="AH1267" s="74">
        <v>0.92</v>
      </c>
      <c r="AI1267" s="72">
        <v>0.911141678129298</v>
      </c>
      <c r="AJ1267" s="72">
        <v>0.943965517241379</v>
      </c>
      <c r="AK1267" s="72">
        <v>0.944002447980416</v>
      </c>
      <c r="AL1267" s="72">
        <v>0.951352396918018</v>
      </c>
      <c r="AM1267" s="71">
        <v>0.99</v>
      </c>
      <c r="AN1267" s="76">
        <v>1</v>
      </c>
      <c r="AO1267" s="76">
        <v>1</v>
      </c>
      <c r="AP1267" s="76">
        <v>1</v>
      </c>
      <c r="AQ1267" s="76">
        <v>1</v>
      </c>
      <c r="AR1267" s="96">
        <v>0.0721861525408278</v>
      </c>
      <c r="AS1267" s="80">
        <v>0.142857142857143</v>
      </c>
      <c r="AT1267" s="80">
        <v>0.2</v>
      </c>
      <c r="AU1267" s="80">
        <v>0</v>
      </c>
      <c r="AV1267" s="80">
        <v>0.0943396226415094</v>
      </c>
      <c r="AW1267" s="36"/>
      <c r="AX1267" s="34"/>
    </row>
    <row r="1268" ht="14.5" spans="1:50">
      <c r="A1268" s="32"/>
      <c r="B1268" s="36"/>
      <c r="C1268" s="91" t="s">
        <v>1105</v>
      </c>
      <c r="D1268" s="69" t="s">
        <v>25</v>
      </c>
      <c r="E1268" s="129" t="s">
        <v>1317</v>
      </c>
      <c r="F1268" s="129" t="s">
        <v>1317</v>
      </c>
      <c r="G1268" s="129" t="s">
        <v>1317</v>
      </c>
      <c r="H1268" s="129" t="s">
        <v>1317</v>
      </c>
      <c r="I1268" s="71">
        <v>0.9</v>
      </c>
      <c r="J1268" s="72">
        <v>1</v>
      </c>
      <c r="K1268" s="72">
        <v>0.964285714285714</v>
      </c>
      <c r="L1268" s="73">
        <v>1</v>
      </c>
      <c r="M1268" s="72">
        <v>0.97265625</v>
      </c>
      <c r="N1268" s="74">
        <v>0.9</v>
      </c>
      <c r="O1268" s="72">
        <v>0.987665600730927</v>
      </c>
      <c r="P1268" s="72">
        <v>0.976256983240223</v>
      </c>
      <c r="Q1268" s="72">
        <v>0.990034662045061</v>
      </c>
      <c r="R1268" s="72">
        <v>0.985213134815419</v>
      </c>
      <c r="S1268" s="74">
        <v>0.9</v>
      </c>
      <c r="T1268" s="72">
        <v>0.956144358154408</v>
      </c>
      <c r="U1268" s="72">
        <v>0.945996275605214</v>
      </c>
      <c r="V1268" s="72">
        <v>0.964038128249567</v>
      </c>
      <c r="W1268" s="72">
        <v>0.965072404650214</v>
      </c>
      <c r="X1268" s="74">
        <v>0.92</v>
      </c>
      <c r="Y1268" s="74">
        <v>0</v>
      </c>
      <c r="Z1268" s="74">
        <v>0</v>
      </c>
      <c r="AA1268" s="74">
        <v>0</v>
      </c>
      <c r="AB1268" s="74">
        <v>0</v>
      </c>
      <c r="AC1268" s="74">
        <v>0.92</v>
      </c>
      <c r="AD1268" s="72">
        <v>1</v>
      </c>
      <c r="AE1268" s="72">
        <v>1</v>
      </c>
      <c r="AF1268" s="72">
        <v>1</v>
      </c>
      <c r="AG1268" s="72">
        <v>0.996428571428571</v>
      </c>
      <c r="AH1268" s="74">
        <v>0.92</v>
      </c>
      <c r="AI1268" s="72">
        <v>0.966651439013248</v>
      </c>
      <c r="AJ1268" s="72">
        <v>0.956703910614525</v>
      </c>
      <c r="AK1268" s="72">
        <v>0.973570190641248</v>
      </c>
      <c r="AL1268" s="72">
        <v>0.977922806301943</v>
      </c>
      <c r="AM1268" s="71">
        <v>0.99</v>
      </c>
      <c r="AN1268" s="76">
        <v>1</v>
      </c>
      <c r="AO1268" s="76">
        <v>1</v>
      </c>
      <c r="AP1268" s="76">
        <v>1</v>
      </c>
      <c r="AQ1268" s="76">
        <v>1</v>
      </c>
      <c r="AR1268" s="96">
        <v>0.0721861525408278</v>
      </c>
      <c r="AS1268" s="80">
        <v>0.142857142857143</v>
      </c>
      <c r="AT1268" s="80">
        <v>0</v>
      </c>
      <c r="AU1268" s="80">
        <v>0</v>
      </c>
      <c r="AV1268" s="80">
        <v>0.0181818181818182</v>
      </c>
      <c r="AW1268" s="36"/>
      <c r="AX1268" s="34"/>
    </row>
    <row r="1269" ht="14.5" spans="1:50">
      <c r="A1269" s="32"/>
      <c r="B1269" s="36"/>
      <c r="C1269" s="91" t="s">
        <v>1105</v>
      </c>
      <c r="D1269" s="69" t="s">
        <v>25</v>
      </c>
      <c r="E1269" s="129" t="s">
        <v>1318</v>
      </c>
      <c r="F1269" s="129" t="s">
        <v>1318</v>
      </c>
      <c r="G1269" s="129" t="s">
        <v>1318</v>
      </c>
      <c r="H1269" s="129" t="s">
        <v>1318</v>
      </c>
      <c r="I1269" s="71">
        <v>0.9</v>
      </c>
      <c r="J1269" s="72">
        <v>0.846153846153846</v>
      </c>
      <c r="K1269" s="72">
        <v>1</v>
      </c>
      <c r="L1269" s="73">
        <v>1</v>
      </c>
      <c r="M1269" s="72">
        <v>0.956521739130435</v>
      </c>
      <c r="N1269" s="74">
        <v>0.9</v>
      </c>
      <c r="O1269" s="72">
        <v>0.980557903634827</v>
      </c>
      <c r="P1269" s="72">
        <v>0.987704918032787</v>
      </c>
      <c r="Q1269" s="72">
        <v>0.985657370517928</v>
      </c>
      <c r="R1269" s="72">
        <v>0.978504672897196</v>
      </c>
      <c r="S1269" s="74">
        <v>0.9</v>
      </c>
      <c r="T1269" s="72">
        <v>0.957734573119189</v>
      </c>
      <c r="U1269" s="72">
        <v>0.94344262295082</v>
      </c>
      <c r="V1269" s="72">
        <v>0.950597609561753</v>
      </c>
      <c r="W1269" s="72">
        <v>0.918521665250637</v>
      </c>
      <c r="X1269" s="74">
        <v>0.92</v>
      </c>
      <c r="Y1269" s="74">
        <v>0</v>
      </c>
      <c r="Z1269" s="74">
        <v>0</v>
      </c>
      <c r="AA1269" s="74">
        <v>1</v>
      </c>
      <c r="AB1269" s="74">
        <v>1</v>
      </c>
      <c r="AC1269" s="74">
        <v>0.92</v>
      </c>
      <c r="AD1269" s="72">
        <v>1</v>
      </c>
      <c r="AE1269" s="72">
        <v>1</v>
      </c>
      <c r="AF1269" s="72">
        <v>1</v>
      </c>
      <c r="AG1269" s="72">
        <v>0.99825327510917</v>
      </c>
      <c r="AH1269" s="74">
        <v>0.92</v>
      </c>
      <c r="AI1269" s="72">
        <v>0.972104818258664</v>
      </c>
      <c r="AJ1269" s="72">
        <v>0.976229508196721</v>
      </c>
      <c r="AK1269" s="72">
        <v>0.980891719745223</v>
      </c>
      <c r="AL1269" s="72">
        <v>0.972049953274998</v>
      </c>
      <c r="AM1269" s="71">
        <v>0.99</v>
      </c>
      <c r="AN1269" s="76">
        <v>1</v>
      </c>
      <c r="AO1269" s="76">
        <v>1</v>
      </c>
      <c r="AP1269" s="76">
        <v>1</v>
      </c>
      <c r="AQ1269" s="76">
        <v>1</v>
      </c>
      <c r="AR1269" s="96">
        <v>0.0721861525408278</v>
      </c>
      <c r="AS1269" s="80">
        <v>0</v>
      </c>
      <c r="AT1269" s="80">
        <v>0.333333333333333</v>
      </c>
      <c r="AU1269" s="80">
        <v>0</v>
      </c>
      <c r="AV1269" s="80">
        <v>0.0666666666666667</v>
      </c>
      <c r="AW1269" s="36"/>
      <c r="AX1269" s="34"/>
    </row>
    <row r="1270" ht="14.5" spans="1:50">
      <c r="A1270" s="32"/>
      <c r="B1270" s="36"/>
      <c r="C1270" s="91" t="s">
        <v>1105</v>
      </c>
      <c r="D1270" s="69" t="s">
        <v>25</v>
      </c>
      <c r="E1270" s="129" t="s">
        <v>1319</v>
      </c>
      <c r="F1270" s="129" t="s">
        <v>1319</v>
      </c>
      <c r="G1270" s="129" t="s">
        <v>1319</v>
      </c>
      <c r="H1270" s="129" t="s">
        <v>1319</v>
      </c>
      <c r="I1270" s="71">
        <v>0.9</v>
      </c>
      <c r="J1270" s="72">
        <v>1</v>
      </c>
      <c r="K1270" s="72">
        <v>1</v>
      </c>
      <c r="L1270" s="73">
        <v>1</v>
      </c>
      <c r="M1270" s="72">
        <v>1</v>
      </c>
      <c r="N1270" s="74">
        <v>0.9</v>
      </c>
      <c r="O1270" s="72">
        <v>0.944444444444444</v>
      </c>
      <c r="P1270" s="72">
        <v>0.943990665110852</v>
      </c>
      <c r="Q1270" s="72">
        <v>0.945533769063181</v>
      </c>
      <c r="R1270" s="72">
        <v>0.948356807511737</v>
      </c>
      <c r="S1270" s="74">
        <v>0.9</v>
      </c>
      <c r="T1270" s="72">
        <v>0.903333333333333</v>
      </c>
      <c r="U1270" s="72">
        <v>0.908984830805134</v>
      </c>
      <c r="V1270" s="72">
        <v>0.942265795206972</v>
      </c>
      <c r="W1270" s="72">
        <v>0.894613293797875</v>
      </c>
      <c r="X1270" s="74">
        <v>0.92</v>
      </c>
      <c r="Y1270" s="74">
        <v>0</v>
      </c>
      <c r="Z1270" s="74">
        <v>0</v>
      </c>
      <c r="AA1270" s="74">
        <v>0</v>
      </c>
      <c r="AB1270" s="74">
        <v>0</v>
      </c>
      <c r="AC1270" s="74">
        <v>0.92</v>
      </c>
      <c r="AD1270" s="72">
        <v>0.998919697515304</v>
      </c>
      <c r="AE1270" s="72">
        <v>0.963998714239794</v>
      </c>
      <c r="AF1270" s="72">
        <v>0.996558843771507</v>
      </c>
      <c r="AG1270" s="72">
        <v>0.989935298346513</v>
      </c>
      <c r="AH1270" s="74">
        <v>0.92</v>
      </c>
      <c r="AI1270" s="72">
        <v>0.95</v>
      </c>
      <c r="AJ1270" s="72">
        <v>0.944055944055944</v>
      </c>
      <c r="AK1270" s="72">
        <v>0.959694989106754</v>
      </c>
      <c r="AL1270" s="72">
        <v>0.95022233201581</v>
      </c>
      <c r="AM1270" s="71">
        <v>0.99</v>
      </c>
      <c r="AN1270" s="76">
        <v>1</v>
      </c>
      <c r="AO1270" s="76">
        <v>1</v>
      </c>
      <c r="AP1270" s="76">
        <v>1</v>
      </c>
      <c r="AQ1270" s="76">
        <v>1</v>
      </c>
      <c r="AR1270" s="96">
        <v>0.0721861525408278</v>
      </c>
      <c r="AS1270" s="80">
        <v>0</v>
      </c>
      <c r="AT1270" s="80">
        <v>0</v>
      </c>
      <c r="AU1270" s="80">
        <v>0</v>
      </c>
      <c r="AV1270" s="80">
        <v>0</v>
      </c>
      <c r="AW1270" s="36"/>
      <c r="AX1270" s="34"/>
    </row>
    <row r="1271" ht="14.5" spans="1:50">
      <c r="A1271" s="32"/>
      <c r="B1271" s="36"/>
      <c r="C1271" s="91" t="s">
        <v>1105</v>
      </c>
      <c r="D1271" s="69" t="s">
        <v>25</v>
      </c>
      <c r="E1271" s="129" t="s">
        <v>1320</v>
      </c>
      <c r="F1271" s="129" t="s">
        <v>1320</v>
      </c>
      <c r="G1271" s="129" t="s">
        <v>1320</v>
      </c>
      <c r="H1271" s="129" t="s">
        <v>1320</v>
      </c>
      <c r="I1271" s="71">
        <v>0.9</v>
      </c>
      <c r="J1271" s="72">
        <v>0.901639344262295</v>
      </c>
      <c r="K1271" s="72">
        <v>0.894736842105263</v>
      </c>
      <c r="L1271" s="73">
        <v>0.883333333333333</v>
      </c>
      <c r="M1271" s="72">
        <v>0.874538745387454</v>
      </c>
      <c r="N1271" s="74">
        <v>0.9</v>
      </c>
      <c r="O1271" s="72">
        <v>0.983662355343771</v>
      </c>
      <c r="P1271" s="72">
        <v>0.950095359186268</v>
      </c>
      <c r="Q1271" s="72">
        <v>0.989552726085537</v>
      </c>
      <c r="R1271" s="72">
        <v>0.98085359506283</v>
      </c>
      <c r="S1271" s="74">
        <v>0.9</v>
      </c>
      <c r="T1271" s="72">
        <v>0.903675970047651</v>
      </c>
      <c r="U1271" s="72">
        <v>0.909090909090909</v>
      </c>
      <c r="V1271" s="72">
        <v>0.936663401893568</v>
      </c>
      <c r="W1271" s="72">
        <v>0.924975834634545</v>
      </c>
      <c r="X1271" s="74">
        <v>0.92</v>
      </c>
      <c r="Y1271" s="74">
        <v>0.940658499234303</v>
      </c>
      <c r="Z1271" s="74">
        <v>0.932044198895028</v>
      </c>
      <c r="AA1271" s="74">
        <v>0.937216828478964</v>
      </c>
      <c r="AB1271" s="74">
        <v>0.943519228662211</v>
      </c>
      <c r="AC1271" s="74">
        <v>0.92</v>
      </c>
      <c r="AD1271" s="72">
        <v>1</v>
      </c>
      <c r="AE1271" s="72">
        <v>0.998805256869773</v>
      </c>
      <c r="AF1271" s="72">
        <v>0.999320190346703</v>
      </c>
      <c r="AG1271" s="72">
        <v>0.998000148137175</v>
      </c>
      <c r="AH1271" s="74">
        <v>0.92</v>
      </c>
      <c r="AI1271" s="72">
        <v>0.945965417867435</v>
      </c>
      <c r="AJ1271" s="72">
        <v>0.949959644874899</v>
      </c>
      <c r="AK1271" s="72">
        <v>0.965060763888889</v>
      </c>
      <c r="AL1271" s="72">
        <v>0.961822932813676</v>
      </c>
      <c r="AM1271" s="71">
        <v>0.99</v>
      </c>
      <c r="AN1271" s="76">
        <v>1</v>
      </c>
      <c r="AO1271" s="76">
        <v>1</v>
      </c>
      <c r="AP1271" s="76">
        <v>1</v>
      </c>
      <c r="AQ1271" s="76">
        <v>1</v>
      </c>
      <c r="AR1271" s="96">
        <v>0.0721861525408278</v>
      </c>
      <c r="AS1271" s="80">
        <v>0</v>
      </c>
      <c r="AT1271" s="80">
        <v>0</v>
      </c>
      <c r="AU1271" s="80">
        <v>0.0555555555555556</v>
      </c>
      <c r="AV1271" s="80">
        <v>0.00657894736842105</v>
      </c>
      <c r="AW1271" s="36"/>
      <c r="AX1271" s="34"/>
    </row>
    <row r="1272" ht="14.5" spans="1:50">
      <c r="A1272" s="32"/>
      <c r="B1272" s="36"/>
      <c r="C1272" s="91" t="s">
        <v>1105</v>
      </c>
      <c r="D1272" s="69" t="s">
        <v>25</v>
      </c>
      <c r="E1272" s="129" t="s">
        <v>1321</v>
      </c>
      <c r="F1272" s="129" t="s">
        <v>1321</v>
      </c>
      <c r="G1272" s="129" t="s">
        <v>1321</v>
      </c>
      <c r="H1272" s="129" t="s">
        <v>1321</v>
      </c>
      <c r="I1272" s="71">
        <v>0.9</v>
      </c>
      <c r="J1272" s="72">
        <v>0.953488372093023</v>
      </c>
      <c r="K1272" s="72">
        <v>0.979166666666667</v>
      </c>
      <c r="L1272" s="73">
        <v>0.945454545454545</v>
      </c>
      <c r="M1272" s="72">
        <v>0.952164009111617</v>
      </c>
      <c r="N1272" s="74">
        <v>0.9</v>
      </c>
      <c r="O1272" s="72">
        <v>0.988400702987698</v>
      </c>
      <c r="P1272" s="72">
        <v>0.930415617128463</v>
      </c>
      <c r="Q1272" s="72">
        <v>0.991572123176661</v>
      </c>
      <c r="R1272" s="72">
        <v>0.97705502339051</v>
      </c>
      <c r="S1272" s="74">
        <v>0.9</v>
      </c>
      <c r="T1272" s="72">
        <v>0.92688927943761</v>
      </c>
      <c r="U1272" s="72">
        <v>0.955289672544081</v>
      </c>
      <c r="V1272" s="72">
        <v>0.974716369529984</v>
      </c>
      <c r="W1272" s="72">
        <v>0.957748570579936</v>
      </c>
      <c r="X1272" s="74">
        <v>0.92</v>
      </c>
      <c r="Y1272" s="74">
        <v>0.92651632970451</v>
      </c>
      <c r="Z1272" s="74">
        <v>0.960482985729967</v>
      </c>
      <c r="AA1272" s="74">
        <v>0.970818505338078</v>
      </c>
      <c r="AB1272" s="74">
        <v>0.966965809612949</v>
      </c>
      <c r="AC1272" s="74">
        <v>0.92</v>
      </c>
      <c r="AD1272" s="72">
        <v>0.999700239808153</v>
      </c>
      <c r="AE1272" s="72">
        <v>0.999306197964847</v>
      </c>
      <c r="AF1272" s="72">
        <v>0.999650837988827</v>
      </c>
      <c r="AG1272" s="72">
        <v>0.999485166355621</v>
      </c>
      <c r="AH1272" s="74">
        <v>0.92</v>
      </c>
      <c r="AI1272" s="72">
        <v>0.944259874492433</v>
      </c>
      <c r="AJ1272" s="72">
        <v>0.976390556222489</v>
      </c>
      <c r="AK1272" s="72">
        <v>0.98619153674833</v>
      </c>
      <c r="AL1272" s="72">
        <v>0.978824364176589</v>
      </c>
      <c r="AM1272" s="71">
        <v>0.99</v>
      </c>
      <c r="AN1272" s="76">
        <v>1</v>
      </c>
      <c r="AO1272" s="76">
        <v>1</v>
      </c>
      <c r="AP1272" s="76">
        <v>1</v>
      </c>
      <c r="AQ1272" s="76">
        <v>1</v>
      </c>
      <c r="AR1272" s="96">
        <v>0.0721861525408278</v>
      </c>
      <c r="AS1272" s="80">
        <v>0</v>
      </c>
      <c r="AT1272" s="80">
        <v>0.0434782608695652</v>
      </c>
      <c r="AU1272" s="80">
        <v>0</v>
      </c>
      <c r="AV1272" s="80">
        <v>0.0338164251207729</v>
      </c>
      <c r="AW1272" s="36"/>
      <c r="AX1272" s="34"/>
    </row>
    <row r="1273" ht="14.5" spans="1:50">
      <c r="A1273" s="32"/>
      <c r="B1273" s="36"/>
      <c r="C1273" s="91" t="s">
        <v>1105</v>
      </c>
      <c r="D1273" s="69" t="s">
        <v>25</v>
      </c>
      <c r="E1273" s="129" t="s">
        <v>1322</v>
      </c>
      <c r="F1273" s="129" t="s">
        <v>1322</v>
      </c>
      <c r="G1273" s="129" t="s">
        <v>1322</v>
      </c>
      <c r="H1273" s="129" t="s">
        <v>1322</v>
      </c>
      <c r="I1273" s="71">
        <v>0.9</v>
      </c>
      <c r="J1273" s="72">
        <v>0.925925925925926</v>
      </c>
      <c r="K1273" s="72">
        <v>0.961538461538462</v>
      </c>
      <c r="L1273" s="73">
        <v>0.962962962962963</v>
      </c>
      <c r="M1273" s="72">
        <v>0.805785123966942</v>
      </c>
      <c r="N1273" s="74">
        <v>0.9</v>
      </c>
      <c r="O1273" s="72">
        <v>0.990748528174937</v>
      </c>
      <c r="P1273" s="72">
        <v>0.988556338028169</v>
      </c>
      <c r="Q1273" s="72">
        <v>0.993029930299303</v>
      </c>
      <c r="R1273" s="72">
        <v>0.982315039071425</v>
      </c>
      <c r="S1273" s="74">
        <v>0.9</v>
      </c>
      <c r="T1273" s="72">
        <v>0.894869638351556</v>
      </c>
      <c r="U1273" s="72">
        <v>0.895246478873239</v>
      </c>
      <c r="V1273" s="72">
        <v>0.892578925789258</v>
      </c>
      <c r="W1273" s="72">
        <v>0.902115797651145</v>
      </c>
      <c r="X1273" s="74">
        <v>0.92</v>
      </c>
      <c r="Y1273" s="74">
        <v>0</v>
      </c>
      <c r="Z1273" s="74">
        <v>0</v>
      </c>
      <c r="AA1273" s="74">
        <v>0</v>
      </c>
      <c r="AB1273" s="74">
        <v>0</v>
      </c>
      <c r="AC1273" s="74">
        <v>0.92</v>
      </c>
      <c r="AD1273" s="72">
        <v>0.999018645731109</v>
      </c>
      <c r="AE1273" s="72">
        <v>1</v>
      </c>
      <c r="AF1273" s="72">
        <v>1</v>
      </c>
      <c r="AG1273" s="72">
        <v>0.999828913601369</v>
      </c>
      <c r="AH1273" s="74">
        <v>0.92</v>
      </c>
      <c r="AI1273" s="72">
        <v>0.960487599831862</v>
      </c>
      <c r="AJ1273" s="72">
        <v>0.966989436619718</v>
      </c>
      <c r="AK1273" s="72">
        <v>0.978269782697827</v>
      </c>
      <c r="AL1273" s="72">
        <v>0.977106561871687</v>
      </c>
      <c r="AM1273" s="71">
        <v>0.99</v>
      </c>
      <c r="AN1273" s="76">
        <v>1</v>
      </c>
      <c r="AO1273" s="76">
        <v>1</v>
      </c>
      <c r="AP1273" s="76">
        <v>1</v>
      </c>
      <c r="AQ1273" s="76">
        <v>1</v>
      </c>
      <c r="AR1273" s="96">
        <v>0.0721861525408278</v>
      </c>
      <c r="AS1273" s="80">
        <v>0</v>
      </c>
      <c r="AT1273" s="80">
        <v>0</v>
      </c>
      <c r="AU1273" s="80">
        <v>0</v>
      </c>
      <c r="AV1273" s="80">
        <v>-0.0172413793103448</v>
      </c>
      <c r="AW1273" s="36"/>
      <c r="AX1273" s="34"/>
    </row>
    <row r="1274" ht="14.5" spans="1:50">
      <c r="A1274" s="32"/>
      <c r="B1274" s="36"/>
      <c r="C1274" s="91" t="s">
        <v>1105</v>
      </c>
      <c r="D1274" s="69" t="s">
        <v>25</v>
      </c>
      <c r="E1274" s="129" t="s">
        <v>1323</v>
      </c>
      <c r="F1274" s="129" t="s">
        <v>1323</v>
      </c>
      <c r="G1274" s="129" t="s">
        <v>1323</v>
      </c>
      <c r="H1274" s="129" t="s">
        <v>1323</v>
      </c>
      <c r="I1274" s="71">
        <v>0.9</v>
      </c>
      <c r="J1274" s="72">
        <v>0.976744186046512</v>
      </c>
      <c r="K1274" s="72">
        <v>1</v>
      </c>
      <c r="L1274" s="73">
        <v>1</v>
      </c>
      <c r="M1274" s="72">
        <v>0.997448979591837</v>
      </c>
      <c r="N1274" s="74">
        <v>0.9</v>
      </c>
      <c r="O1274" s="72">
        <v>0.990782122905028</v>
      </c>
      <c r="P1274" s="72">
        <v>0.993803481853054</v>
      </c>
      <c r="Q1274" s="72">
        <v>0.991235278006026</v>
      </c>
      <c r="R1274" s="72">
        <v>0.991067012858556</v>
      </c>
      <c r="S1274" s="74">
        <v>0.9</v>
      </c>
      <c r="T1274" s="72">
        <v>0.977932960893855</v>
      </c>
      <c r="U1274" s="72">
        <v>0.981410445559162</v>
      </c>
      <c r="V1274" s="72">
        <v>0.983566146261298</v>
      </c>
      <c r="W1274" s="72">
        <v>0.975921117705242</v>
      </c>
      <c r="X1274" s="74">
        <v>0.92</v>
      </c>
      <c r="Y1274" s="74">
        <v>0</v>
      </c>
      <c r="Z1274" s="74">
        <v>0</v>
      </c>
      <c r="AA1274" s="74">
        <v>0</v>
      </c>
      <c r="AB1274" s="74">
        <v>0</v>
      </c>
      <c r="AC1274" s="74">
        <v>0.92</v>
      </c>
      <c r="AD1274" s="72">
        <v>1</v>
      </c>
      <c r="AE1274" s="72">
        <v>0.996450754214729</v>
      </c>
      <c r="AF1274" s="72">
        <v>0.997495826377296</v>
      </c>
      <c r="AG1274" s="72">
        <v>0.998094149037545</v>
      </c>
      <c r="AH1274" s="74">
        <v>0.92</v>
      </c>
      <c r="AI1274" s="72">
        <v>0.981005586592179</v>
      </c>
      <c r="AJ1274" s="72">
        <v>0.986131602242549</v>
      </c>
      <c r="AK1274" s="72">
        <v>0.989317995069844</v>
      </c>
      <c r="AL1274" s="72">
        <v>0.987450544015826</v>
      </c>
      <c r="AM1274" s="71">
        <v>0.99</v>
      </c>
      <c r="AN1274" s="76">
        <v>1</v>
      </c>
      <c r="AO1274" s="76">
        <v>1</v>
      </c>
      <c r="AP1274" s="76">
        <v>1</v>
      </c>
      <c r="AQ1274" s="76">
        <v>1</v>
      </c>
      <c r="AR1274" s="96">
        <v>0.0721861525408278</v>
      </c>
      <c r="AS1274" s="80">
        <v>0.1</v>
      </c>
      <c r="AT1274" s="80">
        <v>0</v>
      </c>
      <c r="AU1274" s="80">
        <v>0</v>
      </c>
      <c r="AV1274" s="80">
        <v>0.0384615384615385</v>
      </c>
      <c r="AW1274" s="36"/>
      <c r="AX1274" s="34"/>
    </row>
    <row r="1275" ht="14.5" spans="1:50">
      <c r="A1275" s="32"/>
      <c r="B1275" s="36"/>
      <c r="C1275" s="91" t="s">
        <v>1105</v>
      </c>
      <c r="D1275" s="69" t="s">
        <v>25</v>
      </c>
      <c r="E1275" s="129" t="s">
        <v>1324</v>
      </c>
      <c r="F1275" s="129" t="s">
        <v>1324</v>
      </c>
      <c r="G1275" s="129" t="s">
        <v>1324</v>
      </c>
      <c r="H1275" s="129" t="s">
        <v>1324</v>
      </c>
      <c r="I1275" s="71">
        <v>0.9</v>
      </c>
      <c r="J1275" s="72">
        <v>0.857142857142857</v>
      </c>
      <c r="K1275" s="72">
        <v>0.826086956521739</v>
      </c>
      <c r="L1275" s="73">
        <v>0.916666666666667</v>
      </c>
      <c r="M1275" s="72">
        <v>0.865384615384615</v>
      </c>
      <c r="N1275" s="74">
        <v>0.9</v>
      </c>
      <c r="O1275" s="72">
        <v>0.852941176470588</v>
      </c>
      <c r="P1275" s="72">
        <v>0.978703703703704</v>
      </c>
      <c r="Q1275" s="72">
        <v>0.981587561374795</v>
      </c>
      <c r="R1275" s="72">
        <v>0.944600212704244</v>
      </c>
      <c r="S1275" s="74">
        <v>0.9</v>
      </c>
      <c r="T1275" s="72">
        <v>0.789592760180995</v>
      </c>
      <c r="U1275" s="72">
        <v>0.805092592592593</v>
      </c>
      <c r="V1275" s="72">
        <v>0.847790507364975</v>
      </c>
      <c r="W1275" s="72">
        <v>0.81760611041284</v>
      </c>
      <c r="X1275" s="74">
        <v>0.92</v>
      </c>
      <c r="Y1275" s="74">
        <v>0</v>
      </c>
      <c r="Z1275" s="74">
        <v>0</v>
      </c>
      <c r="AA1275" s="74">
        <v>0</v>
      </c>
      <c r="AB1275" s="74">
        <v>0</v>
      </c>
      <c r="AC1275" s="74">
        <v>0.92</v>
      </c>
      <c r="AD1275" s="72">
        <v>1</v>
      </c>
      <c r="AE1275" s="72">
        <v>0.993720565149137</v>
      </c>
      <c r="AF1275" s="72">
        <v>0.990950226244344</v>
      </c>
      <c r="AG1275" s="72">
        <v>0.989762011674899</v>
      </c>
      <c r="AH1275" s="74">
        <v>0.92</v>
      </c>
      <c r="AI1275" s="72">
        <v>0.936651583710407</v>
      </c>
      <c r="AJ1275" s="72">
        <v>0.946296296296296</v>
      </c>
      <c r="AK1275" s="72">
        <v>0.963584288052373</v>
      </c>
      <c r="AL1275" s="72">
        <v>0.953253408102098</v>
      </c>
      <c r="AM1275" s="71">
        <v>0.99</v>
      </c>
      <c r="AN1275" s="76">
        <v>1</v>
      </c>
      <c r="AO1275" s="76">
        <v>1</v>
      </c>
      <c r="AP1275" s="76">
        <v>1</v>
      </c>
      <c r="AQ1275" s="76">
        <v>1</v>
      </c>
      <c r="AR1275" s="96">
        <v>0.0721861525408278</v>
      </c>
      <c r="AS1275" s="80">
        <v>0</v>
      </c>
      <c r="AT1275" s="80">
        <v>0.0294117647058824</v>
      </c>
      <c r="AU1275" s="80">
        <v>0.0384615384615385</v>
      </c>
      <c r="AV1275" s="80">
        <v>0.029535864978903</v>
      </c>
      <c r="AW1275" s="36"/>
      <c r="AX1275" s="34"/>
    </row>
    <row r="1276" ht="14.5" spans="1:50">
      <c r="A1276" s="32"/>
      <c r="B1276" s="36"/>
      <c r="C1276" s="91" t="s">
        <v>1105</v>
      </c>
      <c r="D1276" s="69" t="s">
        <v>25</v>
      </c>
      <c r="E1276" s="129" t="s">
        <v>1325</v>
      </c>
      <c r="F1276" s="129" t="s">
        <v>1325</v>
      </c>
      <c r="G1276" s="129" t="s">
        <v>1325</v>
      </c>
      <c r="H1276" s="129" t="s">
        <v>1325</v>
      </c>
      <c r="I1276" s="71">
        <v>0.9</v>
      </c>
      <c r="J1276" s="72">
        <v>0.931034482758621</v>
      </c>
      <c r="K1276" s="72">
        <v>0.84375</v>
      </c>
      <c r="L1276" s="73">
        <v>0.964285714285714</v>
      </c>
      <c r="M1276" s="72">
        <v>0.919117647058823</v>
      </c>
      <c r="N1276" s="74">
        <v>0.9</v>
      </c>
      <c r="O1276" s="72">
        <v>0.986486486486487</v>
      </c>
      <c r="P1276" s="72">
        <v>0.953716065865599</v>
      </c>
      <c r="Q1276" s="72">
        <v>0.980511571254568</v>
      </c>
      <c r="R1276" s="72">
        <v>0.962995151404263</v>
      </c>
      <c r="S1276" s="74">
        <v>0.9</v>
      </c>
      <c r="T1276" s="72">
        <v>0.685388513513513</v>
      </c>
      <c r="U1276" s="72">
        <v>0.795727636849132</v>
      </c>
      <c r="V1276" s="72">
        <v>0.764920828258222</v>
      </c>
      <c r="W1276" s="72">
        <v>0.762144360076846</v>
      </c>
      <c r="X1276" s="74">
        <v>0.92</v>
      </c>
      <c r="Y1276" s="74">
        <v>0</v>
      </c>
      <c r="Z1276" s="74">
        <v>0</v>
      </c>
      <c r="AA1276" s="74">
        <v>0</v>
      </c>
      <c r="AB1276" s="74">
        <v>0</v>
      </c>
      <c r="AC1276" s="74">
        <v>0.92</v>
      </c>
      <c r="AD1276" s="72">
        <v>0.9939293598234</v>
      </c>
      <c r="AE1276" s="72">
        <v>0.996978851963746</v>
      </c>
      <c r="AF1276" s="72">
        <v>0.998513011152416</v>
      </c>
      <c r="AG1276" s="72">
        <v>0.997812476427548</v>
      </c>
      <c r="AH1276" s="74">
        <v>0.92</v>
      </c>
      <c r="AI1276" s="72">
        <v>0.889358108108108</v>
      </c>
      <c r="AJ1276" s="72">
        <v>0.916332888295505</v>
      </c>
      <c r="AK1276" s="72">
        <v>0.928136419001218</v>
      </c>
      <c r="AL1276" s="72">
        <v>0.926356234562254</v>
      </c>
      <c r="AM1276" s="71">
        <v>0.99</v>
      </c>
      <c r="AN1276" s="76">
        <v>1</v>
      </c>
      <c r="AO1276" s="76">
        <v>1</v>
      </c>
      <c r="AP1276" s="76">
        <v>1</v>
      </c>
      <c r="AQ1276" s="76">
        <v>1</v>
      </c>
      <c r="AR1276" s="96">
        <v>0.0721861525408278</v>
      </c>
      <c r="AS1276" s="80">
        <v>0.333333333333333</v>
      </c>
      <c r="AT1276" s="80">
        <v>0</v>
      </c>
      <c r="AU1276" s="80">
        <v>0</v>
      </c>
      <c r="AV1276" s="80">
        <v>0.102941176470588</v>
      </c>
      <c r="AW1276" s="36"/>
      <c r="AX1276" s="34"/>
    </row>
    <row r="1277" ht="14.5" spans="1:50">
      <c r="A1277" s="32"/>
      <c r="B1277" s="36"/>
      <c r="C1277" s="91" t="s">
        <v>1105</v>
      </c>
      <c r="D1277" s="69" t="s">
        <v>25</v>
      </c>
      <c r="E1277" s="129" t="s">
        <v>1326</v>
      </c>
      <c r="F1277" s="129" t="s">
        <v>1326</v>
      </c>
      <c r="G1277" s="129" t="s">
        <v>1326</v>
      </c>
      <c r="H1277" s="129" t="s">
        <v>1326</v>
      </c>
      <c r="I1277" s="71">
        <v>0.9</v>
      </c>
      <c r="J1277" s="72">
        <v>0.947368421052632</v>
      </c>
      <c r="K1277" s="72">
        <v>1</v>
      </c>
      <c r="L1277" s="73">
        <v>0.91304347826087</v>
      </c>
      <c r="M1277" s="72">
        <v>0.964102564102564</v>
      </c>
      <c r="N1277" s="74">
        <v>0.9</v>
      </c>
      <c r="O1277" s="72">
        <v>0.979964643488509</v>
      </c>
      <c r="P1277" s="72">
        <v>0.983225806451613</v>
      </c>
      <c r="Q1277" s="72">
        <v>0.984234234234234</v>
      </c>
      <c r="R1277" s="72">
        <v>0.962579978026239</v>
      </c>
      <c r="S1277" s="74">
        <v>0.9</v>
      </c>
      <c r="T1277" s="72">
        <v>0.807307012374779</v>
      </c>
      <c r="U1277" s="72">
        <v>0.956129032258065</v>
      </c>
      <c r="V1277" s="72">
        <v>0.931306306306306</v>
      </c>
      <c r="W1277" s="72">
        <v>0.904414140761326</v>
      </c>
      <c r="X1277" s="74">
        <v>0.92</v>
      </c>
      <c r="Y1277" s="74">
        <v>0</v>
      </c>
      <c r="Z1277" s="74">
        <v>0</v>
      </c>
      <c r="AA1277" s="74">
        <v>0</v>
      </c>
      <c r="AB1277" s="74">
        <v>0</v>
      </c>
      <c r="AC1277" s="74">
        <v>0.92</v>
      </c>
      <c r="AD1277" s="72">
        <v>1</v>
      </c>
      <c r="AE1277" s="72">
        <v>1</v>
      </c>
      <c r="AF1277" s="72">
        <v>1</v>
      </c>
      <c r="AG1277" s="72">
        <v>0.999520383693046</v>
      </c>
      <c r="AH1277" s="74">
        <v>0.92</v>
      </c>
      <c r="AI1277" s="72">
        <v>0.961697112551562</v>
      </c>
      <c r="AJ1277" s="72">
        <v>0.967741935483871</v>
      </c>
      <c r="AK1277" s="72">
        <v>0.97240990990991</v>
      </c>
      <c r="AL1277" s="72">
        <v>0.967362502423577</v>
      </c>
      <c r="AM1277" s="71">
        <v>0.99</v>
      </c>
      <c r="AN1277" s="76">
        <v>1</v>
      </c>
      <c r="AO1277" s="76">
        <v>1</v>
      </c>
      <c r="AP1277" s="76">
        <v>1</v>
      </c>
      <c r="AQ1277" s="76">
        <v>1</v>
      </c>
      <c r="AR1277" s="96">
        <v>0.0721861525408278</v>
      </c>
      <c r="AS1277" s="80">
        <v>0</v>
      </c>
      <c r="AT1277" s="80">
        <v>0</v>
      </c>
      <c r="AU1277" s="80">
        <v>0</v>
      </c>
      <c r="AV1277" s="80">
        <v>0.0222222222222222</v>
      </c>
      <c r="AW1277" s="36"/>
      <c r="AX1277" s="34"/>
    </row>
    <row r="1278" ht="14.5" spans="1:50">
      <c r="A1278" s="32"/>
      <c r="B1278" s="36"/>
      <c r="C1278" s="91" t="s">
        <v>1105</v>
      </c>
      <c r="D1278" s="69" t="s">
        <v>25</v>
      </c>
      <c r="E1278" s="129" t="s">
        <v>1327</v>
      </c>
      <c r="F1278" s="129" t="s">
        <v>1327</v>
      </c>
      <c r="G1278" s="129" t="s">
        <v>1327</v>
      </c>
      <c r="H1278" s="129" t="s">
        <v>1327</v>
      </c>
      <c r="I1278" s="71">
        <v>0.9</v>
      </c>
      <c r="J1278" s="72">
        <v>0.84</v>
      </c>
      <c r="K1278" s="72">
        <v>0.862068965517241</v>
      </c>
      <c r="L1278" s="73">
        <v>0.862068965517241</v>
      </c>
      <c r="M1278" s="72">
        <v>0.912280701754386</v>
      </c>
      <c r="N1278" s="74">
        <v>0.9</v>
      </c>
      <c r="O1278" s="72">
        <v>0.78984238178634</v>
      </c>
      <c r="P1278" s="72">
        <v>0.943262411347518</v>
      </c>
      <c r="Q1278" s="72">
        <v>0.826493506493507</v>
      </c>
      <c r="R1278" s="72">
        <v>0.784484893511639</v>
      </c>
      <c r="S1278" s="74">
        <v>0.9</v>
      </c>
      <c r="T1278" s="72">
        <v>0.754232340922358</v>
      </c>
      <c r="U1278" s="72">
        <v>0.872931442080378</v>
      </c>
      <c r="V1278" s="72">
        <v>0.902857142857143</v>
      </c>
      <c r="W1278" s="72">
        <v>0.79562902426944</v>
      </c>
      <c r="X1278" s="74">
        <v>0.92</v>
      </c>
      <c r="Y1278" s="74">
        <v>0</v>
      </c>
      <c r="Z1278" s="74">
        <v>0</v>
      </c>
      <c r="AA1278" s="74">
        <v>0</v>
      </c>
      <c r="AB1278" s="74">
        <v>0</v>
      </c>
      <c r="AC1278" s="74">
        <v>0.92</v>
      </c>
      <c r="AD1278" s="72">
        <v>1</v>
      </c>
      <c r="AE1278" s="72">
        <v>0.997987927565392</v>
      </c>
      <c r="AF1278" s="72">
        <v>1</v>
      </c>
      <c r="AG1278" s="72">
        <v>0.902593965060879</v>
      </c>
      <c r="AH1278" s="74">
        <v>0.92</v>
      </c>
      <c r="AI1278" s="72">
        <v>0.943957968476357</v>
      </c>
      <c r="AJ1278" s="72">
        <v>0.955673758865248</v>
      </c>
      <c r="AK1278" s="72">
        <v>0.97038961038961</v>
      </c>
      <c r="AL1278" s="72">
        <v>0.949603764239723</v>
      </c>
      <c r="AM1278" s="71">
        <v>0.99</v>
      </c>
      <c r="AN1278" s="76">
        <v>1</v>
      </c>
      <c r="AO1278" s="76">
        <v>1</v>
      </c>
      <c r="AP1278" s="76">
        <v>1</v>
      </c>
      <c r="AQ1278" s="76">
        <v>1</v>
      </c>
      <c r="AR1278" s="96">
        <v>0.0721861525408278</v>
      </c>
      <c r="AS1278" s="80">
        <v>0</v>
      </c>
      <c r="AT1278" s="80">
        <v>0.1</v>
      </c>
      <c r="AU1278" s="80">
        <v>0</v>
      </c>
      <c r="AV1278" s="80">
        <v>0.0588235294117647</v>
      </c>
      <c r="AW1278" s="36"/>
      <c r="AX1278" s="34"/>
    </row>
    <row r="1279" ht="14.5" spans="1:50">
      <c r="A1279" s="32"/>
      <c r="B1279" s="36"/>
      <c r="C1279" s="91" t="s">
        <v>1105</v>
      </c>
      <c r="D1279" s="69" t="s">
        <v>25</v>
      </c>
      <c r="E1279" s="129" t="s">
        <v>1328</v>
      </c>
      <c r="F1279" s="129" t="s">
        <v>1328</v>
      </c>
      <c r="G1279" s="129" t="s">
        <v>1328</v>
      </c>
      <c r="H1279" s="129" t="s">
        <v>1328</v>
      </c>
      <c r="I1279" s="71">
        <v>0.9</v>
      </c>
      <c r="J1279" s="72">
        <v>1</v>
      </c>
      <c r="K1279" s="72">
        <v>1</v>
      </c>
      <c r="L1279" s="73">
        <v>1</v>
      </c>
      <c r="M1279" s="72">
        <v>0.982456140350877</v>
      </c>
      <c r="N1279" s="74">
        <v>0.9</v>
      </c>
      <c r="O1279" s="72">
        <v>0.985781990521327</v>
      </c>
      <c r="P1279" s="72">
        <v>0.980716253443526</v>
      </c>
      <c r="Q1279" s="72">
        <v>0.987993996998499</v>
      </c>
      <c r="R1279" s="72">
        <v>0.978678157703285</v>
      </c>
      <c r="S1279" s="74">
        <v>0.9</v>
      </c>
      <c r="T1279" s="72">
        <v>0.942654028436019</v>
      </c>
      <c r="U1279" s="72">
        <v>0.947107438016529</v>
      </c>
      <c r="V1279" s="72">
        <v>0.974487243621811</v>
      </c>
      <c r="W1279" s="72">
        <v>0.953718730762773</v>
      </c>
      <c r="X1279" s="74">
        <v>0.92</v>
      </c>
      <c r="Y1279" s="74">
        <v>0</v>
      </c>
      <c r="Z1279" s="74">
        <v>0</v>
      </c>
      <c r="AA1279" s="74">
        <v>0</v>
      </c>
      <c r="AB1279" s="74">
        <v>0</v>
      </c>
      <c r="AC1279" s="74">
        <v>0.92</v>
      </c>
      <c r="AD1279" s="72">
        <v>1</v>
      </c>
      <c r="AE1279" s="72">
        <v>1</v>
      </c>
      <c r="AF1279" s="72">
        <v>1</v>
      </c>
      <c r="AG1279" s="72">
        <v>1</v>
      </c>
      <c r="AH1279" s="74">
        <v>0.92</v>
      </c>
      <c r="AI1279" s="72">
        <v>0.969668246445498</v>
      </c>
      <c r="AJ1279" s="72">
        <v>0.961432506887052</v>
      </c>
      <c r="AK1279" s="72">
        <v>0.985992996498249</v>
      </c>
      <c r="AL1279" s="72">
        <v>0.979069897588002</v>
      </c>
      <c r="AM1279" s="71">
        <v>0.99</v>
      </c>
      <c r="AN1279" s="76">
        <v>1</v>
      </c>
      <c r="AO1279" s="76">
        <v>1</v>
      </c>
      <c r="AP1279" s="76">
        <v>1</v>
      </c>
      <c r="AQ1279" s="76">
        <v>1</v>
      </c>
      <c r="AR1279" s="96">
        <v>0.0721861525408278</v>
      </c>
      <c r="AS1279" s="80">
        <v>0</v>
      </c>
      <c r="AT1279" s="80">
        <v>0</v>
      </c>
      <c r="AU1279" s="80">
        <v>0</v>
      </c>
      <c r="AV1279" s="80">
        <v>0.0517241379310345</v>
      </c>
      <c r="AW1279" s="36"/>
      <c r="AX1279" s="34"/>
    </row>
    <row r="1280" ht="14.5" spans="1:50">
      <c r="A1280" s="32"/>
      <c r="B1280" s="36"/>
      <c r="C1280" s="91" t="s">
        <v>1105</v>
      </c>
      <c r="D1280" s="69" t="s">
        <v>25</v>
      </c>
      <c r="E1280" s="129" t="s">
        <v>1329</v>
      </c>
      <c r="F1280" s="129" t="s">
        <v>1329</v>
      </c>
      <c r="G1280" s="129" t="s">
        <v>1329</v>
      </c>
      <c r="H1280" s="129" t="s">
        <v>1329</v>
      </c>
      <c r="I1280" s="71">
        <v>0.9</v>
      </c>
      <c r="J1280" s="72">
        <v>0.893617021276596</v>
      </c>
      <c r="K1280" s="72">
        <v>0.938775510204082</v>
      </c>
      <c r="L1280" s="73">
        <v>0.909090909090909</v>
      </c>
      <c r="M1280" s="72">
        <v>0.920940170940171</v>
      </c>
      <c r="N1280" s="74">
        <v>0.9</v>
      </c>
      <c r="O1280" s="72">
        <v>0.98533724340176</v>
      </c>
      <c r="P1280" s="72">
        <v>0.965770953294946</v>
      </c>
      <c r="Q1280" s="72">
        <v>0.983870967741935</v>
      </c>
      <c r="R1280" s="72">
        <v>0.976109215017065</v>
      </c>
      <c r="S1280" s="74">
        <v>0.9</v>
      </c>
      <c r="T1280" s="72">
        <v>0.900293255131965</v>
      </c>
      <c r="U1280" s="72">
        <v>0.923224568138196</v>
      </c>
      <c r="V1280" s="72">
        <v>0.938775510204082</v>
      </c>
      <c r="W1280" s="72">
        <v>0.918565818929135</v>
      </c>
      <c r="X1280" s="74">
        <v>0.92</v>
      </c>
      <c r="Y1280" s="74">
        <v>0.917813455657492</v>
      </c>
      <c r="Z1280" s="74">
        <v>0.931747673216132</v>
      </c>
      <c r="AA1280" s="74">
        <v>0.942939481268012</v>
      </c>
      <c r="AB1280" s="74">
        <v>0.938938670386865</v>
      </c>
      <c r="AC1280" s="74">
        <v>0.92</v>
      </c>
      <c r="AD1280" s="72">
        <v>1</v>
      </c>
      <c r="AE1280" s="72">
        <v>0.999074930619796</v>
      </c>
      <c r="AF1280" s="72">
        <v>1</v>
      </c>
      <c r="AG1280" s="72">
        <v>0.998396377700217</v>
      </c>
      <c r="AH1280" s="74">
        <v>0.92</v>
      </c>
      <c r="AI1280" s="72">
        <v>0.939345991561181</v>
      </c>
      <c r="AJ1280" s="72">
        <v>0.957114624505929</v>
      </c>
      <c r="AK1280" s="72">
        <v>0.969830295411691</v>
      </c>
      <c r="AL1280" s="72">
        <v>0.960994530517966</v>
      </c>
      <c r="AM1280" s="71">
        <v>0.99</v>
      </c>
      <c r="AN1280" s="76">
        <v>1</v>
      </c>
      <c r="AO1280" s="76">
        <v>1</v>
      </c>
      <c r="AP1280" s="76">
        <v>1</v>
      </c>
      <c r="AQ1280" s="76">
        <v>1</v>
      </c>
      <c r="AR1280" s="96">
        <v>0.0721861525408278</v>
      </c>
      <c r="AS1280" s="80">
        <v>0</v>
      </c>
      <c r="AT1280" s="80">
        <v>0.0476190476190476</v>
      </c>
      <c r="AU1280" s="80">
        <v>0.142857142857143</v>
      </c>
      <c r="AV1280" s="80">
        <v>0.0742857142857143</v>
      </c>
      <c r="AW1280" s="36"/>
      <c r="AX1280" s="34"/>
    </row>
    <row r="1281" ht="14.5" spans="1:50">
      <c r="A1281" s="32"/>
      <c r="B1281" s="36"/>
      <c r="C1281" s="91" t="s">
        <v>1105</v>
      </c>
      <c r="D1281" s="69" t="s">
        <v>25</v>
      </c>
      <c r="E1281" s="129" t="s">
        <v>1330</v>
      </c>
      <c r="F1281" s="129" t="s">
        <v>1330</v>
      </c>
      <c r="G1281" s="129" t="s">
        <v>1330</v>
      </c>
      <c r="H1281" s="129" t="s">
        <v>1330</v>
      </c>
      <c r="I1281" s="71">
        <v>0.9</v>
      </c>
      <c r="J1281" s="72">
        <v>0.974025974025974</v>
      </c>
      <c r="K1281" s="72">
        <v>0.963414634146341</v>
      </c>
      <c r="L1281" s="73">
        <v>0.962025316455696</v>
      </c>
      <c r="M1281" s="72">
        <v>0.957746478873239</v>
      </c>
      <c r="N1281" s="74">
        <v>0.9</v>
      </c>
      <c r="O1281" s="72">
        <v>0.983550523392438</v>
      </c>
      <c r="P1281" s="72">
        <v>0.978657910937821</v>
      </c>
      <c r="Q1281" s="72">
        <v>0.980825343893289</v>
      </c>
      <c r="R1281" s="72">
        <v>0.982479224376731</v>
      </c>
      <c r="S1281" s="74">
        <v>0.9</v>
      </c>
      <c r="T1281" s="72">
        <v>0.939329203161718</v>
      </c>
      <c r="U1281" s="72">
        <v>0.938436281551406</v>
      </c>
      <c r="V1281" s="72">
        <v>0.951438099208003</v>
      </c>
      <c r="W1281" s="72">
        <v>0.945960295475531</v>
      </c>
      <c r="X1281" s="74">
        <v>0.92</v>
      </c>
      <c r="Y1281" s="74">
        <v>0.934579439252336</v>
      </c>
      <c r="Z1281" s="74">
        <v>0.946117804551539</v>
      </c>
      <c r="AA1281" s="74">
        <v>0.960170146945089</v>
      </c>
      <c r="AB1281" s="74">
        <v>0.958289776291031</v>
      </c>
      <c r="AC1281" s="74">
        <v>0.92</v>
      </c>
      <c r="AD1281" s="72">
        <v>0.994301994301994</v>
      </c>
      <c r="AE1281" s="72">
        <v>0.992894655545258</v>
      </c>
      <c r="AF1281" s="72">
        <v>0.975751366120219</v>
      </c>
      <c r="AG1281" s="72">
        <v>0.988558828424031</v>
      </c>
      <c r="AH1281" s="74">
        <v>0.92</v>
      </c>
      <c r="AI1281" s="72">
        <v>0.954881050041017</v>
      </c>
      <c r="AJ1281" s="72">
        <v>0.964767234800305</v>
      </c>
      <c r="AK1281" s="72">
        <v>0.976570964247021</v>
      </c>
      <c r="AL1281" s="72">
        <v>0.972798844749302</v>
      </c>
      <c r="AM1281" s="71">
        <v>0.99</v>
      </c>
      <c r="AN1281" s="76">
        <v>1</v>
      </c>
      <c r="AO1281" s="76">
        <v>1</v>
      </c>
      <c r="AP1281" s="76">
        <v>1</v>
      </c>
      <c r="AQ1281" s="76">
        <v>1</v>
      </c>
      <c r="AR1281" s="96">
        <v>0.0721861525408278</v>
      </c>
      <c r="AS1281" s="80">
        <v>0.0909090909090909</v>
      </c>
      <c r="AT1281" s="80">
        <v>0</v>
      </c>
      <c r="AU1281" s="80">
        <v>0.12</v>
      </c>
      <c r="AV1281" s="80">
        <v>0.0327868852459016</v>
      </c>
      <c r="AW1281" s="36"/>
      <c r="AX1281" s="34"/>
    </row>
    <row r="1282" ht="14.5" spans="1:50">
      <c r="A1282" s="32"/>
      <c r="B1282" s="36"/>
      <c r="C1282" s="91" t="s">
        <v>1105</v>
      </c>
      <c r="D1282" s="69" t="s">
        <v>25</v>
      </c>
      <c r="E1282" s="129" t="s">
        <v>1331</v>
      </c>
      <c r="F1282" s="129" t="s">
        <v>1331</v>
      </c>
      <c r="G1282" s="129" t="s">
        <v>1331</v>
      </c>
      <c r="H1282" s="129" t="s">
        <v>1331</v>
      </c>
      <c r="I1282" s="71">
        <v>0.9</v>
      </c>
      <c r="J1282" s="72">
        <v>1</v>
      </c>
      <c r="K1282" s="72">
        <v>1</v>
      </c>
      <c r="L1282" s="73">
        <v>1</v>
      </c>
      <c r="M1282" s="72">
        <v>0.867704280155642</v>
      </c>
      <c r="N1282" s="74">
        <v>0.9</v>
      </c>
      <c r="O1282" s="72">
        <v>0.945502879929109</v>
      </c>
      <c r="P1282" s="72">
        <v>0.933899062081286</v>
      </c>
      <c r="Q1282" s="72">
        <v>0.994507815800591</v>
      </c>
      <c r="R1282" s="72">
        <v>0.961175582602132</v>
      </c>
      <c r="S1282" s="74">
        <v>0.9</v>
      </c>
      <c r="T1282" s="72">
        <v>0.697828976517501</v>
      </c>
      <c r="U1282" s="72">
        <v>0.659669495310406</v>
      </c>
      <c r="V1282" s="72">
        <v>0.733840304182509</v>
      </c>
      <c r="W1282" s="72">
        <v>0.706245872252099</v>
      </c>
      <c r="X1282" s="74">
        <v>0.92</v>
      </c>
      <c r="Y1282" s="74">
        <v>0</v>
      </c>
      <c r="Z1282" s="74">
        <v>0</v>
      </c>
      <c r="AA1282" s="74">
        <v>0</v>
      </c>
      <c r="AB1282" s="74">
        <v>0</v>
      </c>
      <c r="AC1282" s="74">
        <v>0.92</v>
      </c>
      <c r="AD1282" s="72">
        <v>0.997737556561086</v>
      </c>
      <c r="AE1282" s="72">
        <v>1</v>
      </c>
      <c r="AF1282" s="72">
        <v>1</v>
      </c>
      <c r="AG1282" s="72">
        <v>0.999081445192897</v>
      </c>
      <c r="AH1282" s="74">
        <v>0.92</v>
      </c>
      <c r="AI1282" s="72">
        <v>0.890611160318866</v>
      </c>
      <c r="AJ1282" s="72">
        <v>0.887896382313533</v>
      </c>
      <c r="AK1282" s="72">
        <v>0.945923109421208</v>
      </c>
      <c r="AL1282" s="72">
        <v>0.914103773584906</v>
      </c>
      <c r="AM1282" s="71">
        <v>0.99</v>
      </c>
      <c r="AN1282" s="76">
        <v>1</v>
      </c>
      <c r="AO1282" s="76">
        <v>1</v>
      </c>
      <c r="AP1282" s="76">
        <v>1</v>
      </c>
      <c r="AQ1282" s="76">
        <v>1</v>
      </c>
      <c r="AR1282" s="96">
        <v>0.0721861525408278</v>
      </c>
      <c r="AS1282" s="80">
        <v>0</v>
      </c>
      <c r="AT1282" s="80">
        <v>0.2</v>
      </c>
      <c r="AU1282" s="80">
        <v>0</v>
      </c>
      <c r="AV1282" s="80">
        <v>0.115384615384615</v>
      </c>
      <c r="AW1282" s="36"/>
      <c r="AX1282" s="34"/>
    </row>
    <row r="1283" ht="14.5" spans="1:50">
      <c r="A1283" s="32"/>
      <c r="B1283" s="36"/>
      <c r="C1283" s="91" t="s">
        <v>1105</v>
      </c>
      <c r="D1283" s="69" t="s">
        <v>25</v>
      </c>
      <c r="E1283" s="129" t="s">
        <v>1332</v>
      </c>
      <c r="F1283" s="129" t="s">
        <v>1332</v>
      </c>
      <c r="G1283" s="129" t="s">
        <v>1332</v>
      </c>
      <c r="H1283" s="129" t="s">
        <v>1332</v>
      </c>
      <c r="I1283" s="71">
        <v>0.9</v>
      </c>
      <c r="J1283" s="72">
        <v>0.901960784313726</v>
      </c>
      <c r="K1283" s="72">
        <v>0.942307692307692</v>
      </c>
      <c r="L1283" s="73">
        <v>0.925925925925926</v>
      </c>
      <c r="M1283" s="72">
        <v>0.9002079002079</v>
      </c>
      <c r="N1283" s="74">
        <v>0.9</v>
      </c>
      <c r="O1283" s="72">
        <v>0.952569169960474</v>
      </c>
      <c r="P1283" s="72">
        <v>0.956352765321375</v>
      </c>
      <c r="Q1283" s="72">
        <v>0.946548564447159</v>
      </c>
      <c r="R1283" s="72">
        <v>0.958463843115893</v>
      </c>
      <c r="S1283" s="74">
        <v>0.9</v>
      </c>
      <c r="T1283" s="72">
        <v>0.818485861964123</v>
      </c>
      <c r="U1283" s="72">
        <v>0.817339312406577</v>
      </c>
      <c r="V1283" s="72">
        <v>0.80421502748931</v>
      </c>
      <c r="W1283" s="72">
        <v>0.825003404603023</v>
      </c>
      <c r="X1283" s="74">
        <v>0.92</v>
      </c>
      <c r="Y1283" s="74">
        <v>0.883150183150183</v>
      </c>
      <c r="Z1283" s="74">
        <v>0.90749354005168</v>
      </c>
      <c r="AA1283" s="74">
        <v>0.920679886685552</v>
      </c>
      <c r="AB1283" s="74">
        <v>0.927528675703858</v>
      </c>
      <c r="AC1283" s="74">
        <v>0.92</v>
      </c>
      <c r="AD1283" s="72">
        <v>1</v>
      </c>
      <c r="AE1283" s="72">
        <v>0.998574821852732</v>
      </c>
      <c r="AF1283" s="72">
        <v>0.989199491740788</v>
      </c>
      <c r="AG1283" s="72">
        <v>0.996637701410419</v>
      </c>
      <c r="AH1283" s="74">
        <v>0.92</v>
      </c>
      <c r="AI1283" s="72">
        <v>0.917441860465116</v>
      </c>
      <c r="AJ1283" s="72">
        <v>0.935227272727273</v>
      </c>
      <c r="AK1283" s="72">
        <v>0.944653838524102</v>
      </c>
      <c r="AL1283" s="72">
        <v>0.94981156166979</v>
      </c>
      <c r="AM1283" s="71">
        <v>0.99</v>
      </c>
      <c r="AN1283" s="76">
        <v>1</v>
      </c>
      <c r="AO1283" s="76">
        <v>1</v>
      </c>
      <c r="AP1283" s="76">
        <v>1</v>
      </c>
      <c r="AQ1283" s="76">
        <v>1</v>
      </c>
      <c r="AR1283" s="96">
        <v>0.0721861525408278</v>
      </c>
      <c r="AS1283" s="80">
        <v>0.0833333333333333</v>
      </c>
      <c r="AT1283" s="80">
        <v>0</v>
      </c>
      <c r="AU1283" s="80">
        <v>0.0727272727272727</v>
      </c>
      <c r="AV1283" s="80">
        <v>0.0393700787401575</v>
      </c>
      <c r="AW1283" s="36"/>
      <c r="AX1283" s="34"/>
    </row>
    <row r="1284" ht="14.5" spans="1:50">
      <c r="A1284" s="32"/>
      <c r="B1284" s="36"/>
      <c r="C1284" s="91" t="s">
        <v>1105</v>
      </c>
      <c r="D1284" s="69" t="s">
        <v>25</v>
      </c>
      <c r="E1284" s="129" t="s">
        <v>1333</v>
      </c>
      <c r="F1284" s="129" t="s">
        <v>1333</v>
      </c>
      <c r="G1284" s="129" t="s">
        <v>1333</v>
      </c>
      <c r="H1284" s="129" t="s">
        <v>1333</v>
      </c>
      <c r="I1284" s="71">
        <v>0.9</v>
      </c>
      <c r="J1284" s="72">
        <v>1</v>
      </c>
      <c r="K1284" s="72">
        <v>0.9375</v>
      </c>
      <c r="L1284" s="73">
        <v>0.970588235294118</v>
      </c>
      <c r="M1284" s="72">
        <v>0.983388704318937</v>
      </c>
      <c r="N1284" s="74">
        <v>0.9</v>
      </c>
      <c r="O1284" s="72">
        <v>0.999392097264438</v>
      </c>
      <c r="P1284" s="72">
        <v>0.996740547588005</v>
      </c>
      <c r="Q1284" s="72">
        <v>0.988823529411765</v>
      </c>
      <c r="R1284" s="72">
        <v>0.996305093692267</v>
      </c>
      <c r="S1284" s="74">
        <v>0.9</v>
      </c>
      <c r="T1284" s="72">
        <v>0.972644376899696</v>
      </c>
      <c r="U1284" s="72">
        <v>0.967405475880052</v>
      </c>
      <c r="V1284" s="72">
        <v>0.975294117647059</v>
      </c>
      <c r="W1284" s="72">
        <v>0.974267616785432</v>
      </c>
      <c r="X1284" s="74">
        <v>0.92</v>
      </c>
      <c r="Y1284" s="74">
        <v>0.97634691195795</v>
      </c>
      <c r="Z1284" s="74">
        <v>0.988816402609506</v>
      </c>
      <c r="AA1284" s="74">
        <v>0.987138263665595</v>
      </c>
      <c r="AB1284" s="74">
        <v>0.986629001883239</v>
      </c>
      <c r="AC1284" s="74">
        <v>0.92</v>
      </c>
      <c r="AD1284" s="72">
        <v>0.997429305912596</v>
      </c>
      <c r="AE1284" s="72">
        <v>1</v>
      </c>
      <c r="AF1284" s="72">
        <v>1</v>
      </c>
      <c r="AG1284" s="72">
        <v>0.998366775548297</v>
      </c>
      <c r="AH1284" s="74">
        <v>0.92</v>
      </c>
      <c r="AI1284" s="72">
        <v>0.982638888888889</v>
      </c>
      <c r="AJ1284" s="72">
        <v>0.98849252013809</v>
      </c>
      <c r="AK1284" s="72">
        <v>0.99164451196354</v>
      </c>
      <c r="AL1284" s="72">
        <v>0.990340600512065</v>
      </c>
      <c r="AM1284" s="71">
        <v>0.99</v>
      </c>
      <c r="AN1284" s="76">
        <v>1</v>
      </c>
      <c r="AO1284" s="76">
        <v>1</v>
      </c>
      <c r="AP1284" s="76">
        <v>1</v>
      </c>
      <c r="AQ1284" s="76">
        <v>1</v>
      </c>
      <c r="AR1284" s="96">
        <v>0.0721861525408278</v>
      </c>
      <c r="AS1284" s="80">
        <v>0</v>
      </c>
      <c r="AT1284" s="80">
        <v>0</v>
      </c>
      <c r="AU1284" s="80">
        <v>0</v>
      </c>
      <c r="AV1284" s="80">
        <v>0</v>
      </c>
      <c r="AW1284" s="36"/>
      <c r="AX1284" s="34"/>
    </row>
    <row r="1285" ht="14.5" spans="1:50">
      <c r="A1285" s="32"/>
      <c r="B1285" s="36"/>
      <c r="C1285" s="91" t="s">
        <v>1105</v>
      </c>
      <c r="D1285" s="69" t="s">
        <v>25</v>
      </c>
      <c r="E1285" s="129" t="s">
        <v>1334</v>
      </c>
      <c r="F1285" s="129" t="s">
        <v>1334</v>
      </c>
      <c r="G1285" s="129" t="s">
        <v>1334</v>
      </c>
      <c r="H1285" s="129" t="s">
        <v>1334</v>
      </c>
      <c r="I1285" s="71">
        <v>0.9</v>
      </c>
      <c r="J1285" s="72">
        <v>0.894736842105263</v>
      </c>
      <c r="K1285" s="72">
        <v>0.915254237288136</v>
      </c>
      <c r="L1285" s="73">
        <v>0.924242424242424</v>
      </c>
      <c r="M1285" s="72">
        <v>0.907608695652174</v>
      </c>
      <c r="N1285" s="74">
        <v>0.9</v>
      </c>
      <c r="O1285" s="72">
        <v>0.916742909423605</v>
      </c>
      <c r="P1285" s="72">
        <v>0.982572877059569</v>
      </c>
      <c r="Q1285" s="72">
        <v>0.988553259141494</v>
      </c>
      <c r="R1285" s="72">
        <v>0.968999929223583</v>
      </c>
      <c r="S1285" s="74">
        <v>0.9</v>
      </c>
      <c r="T1285" s="72">
        <v>0.907593778591034</v>
      </c>
      <c r="U1285" s="72">
        <v>0.931875792141952</v>
      </c>
      <c r="V1285" s="72">
        <v>0.948489666136725</v>
      </c>
      <c r="W1285" s="72">
        <v>0.937645976360677</v>
      </c>
      <c r="X1285" s="74">
        <v>0.92</v>
      </c>
      <c r="Y1285" s="74">
        <v>0.94578313253012</v>
      </c>
      <c r="Z1285" s="74">
        <v>0.962253829321663</v>
      </c>
      <c r="AA1285" s="74">
        <v>0.967109059434507</v>
      </c>
      <c r="AB1285" s="74">
        <v>0.963318639798489</v>
      </c>
      <c r="AC1285" s="74">
        <v>0.92</v>
      </c>
      <c r="AD1285" s="72">
        <v>0.998517786561265</v>
      </c>
      <c r="AE1285" s="72">
        <v>0.998449612403101</v>
      </c>
      <c r="AF1285" s="72">
        <v>0.995482778091474</v>
      </c>
      <c r="AG1285" s="72">
        <v>0.996638850254984</v>
      </c>
      <c r="AH1285" s="74">
        <v>0.92</v>
      </c>
      <c r="AI1285" s="72">
        <v>0.959737196765499</v>
      </c>
      <c r="AJ1285" s="72">
        <v>0.975120385232745</v>
      </c>
      <c r="AK1285" s="72">
        <v>0.981344813448135</v>
      </c>
      <c r="AL1285" s="72">
        <v>0.976710273263309</v>
      </c>
      <c r="AM1285" s="71">
        <v>0.99</v>
      </c>
      <c r="AN1285" s="76">
        <v>1</v>
      </c>
      <c r="AO1285" s="76">
        <v>1</v>
      </c>
      <c r="AP1285" s="76">
        <v>1</v>
      </c>
      <c r="AQ1285" s="76">
        <v>1</v>
      </c>
      <c r="AR1285" s="96">
        <v>0.0721861525408278</v>
      </c>
      <c r="AS1285" s="80">
        <v>0</v>
      </c>
      <c r="AT1285" s="80">
        <v>0.117647058823529</v>
      </c>
      <c r="AU1285" s="80">
        <v>0.0625</v>
      </c>
      <c r="AV1285" s="80">
        <v>0.0518518518518519</v>
      </c>
      <c r="AW1285" s="36"/>
      <c r="AX1285" s="34"/>
    </row>
    <row r="1286" ht="14.5" spans="1:50">
      <c r="A1286" s="32"/>
      <c r="B1286" s="36"/>
      <c r="C1286" s="91" t="s">
        <v>1105</v>
      </c>
      <c r="D1286" s="69" t="s">
        <v>25</v>
      </c>
      <c r="E1286" s="129" t="s">
        <v>1335</v>
      </c>
      <c r="F1286" s="129" t="s">
        <v>1335</v>
      </c>
      <c r="G1286" s="129" t="s">
        <v>1335</v>
      </c>
      <c r="H1286" s="129" t="s">
        <v>1335</v>
      </c>
      <c r="I1286" s="71">
        <v>0.9</v>
      </c>
      <c r="J1286" s="72">
        <v>0.9375</v>
      </c>
      <c r="K1286" s="72">
        <v>0.9375</v>
      </c>
      <c r="L1286" s="73">
        <v>0.941176470588235</v>
      </c>
      <c r="M1286" s="72">
        <v>0.945392491467577</v>
      </c>
      <c r="N1286" s="74">
        <v>0.9</v>
      </c>
      <c r="O1286" s="72">
        <v>0.991591928251121</v>
      </c>
      <c r="P1286" s="72">
        <v>0.986022131624927</v>
      </c>
      <c r="Q1286" s="72">
        <v>0.989110707803993</v>
      </c>
      <c r="R1286" s="72">
        <v>0.979242241031842</v>
      </c>
      <c r="S1286" s="74">
        <v>0.9</v>
      </c>
      <c r="T1286" s="72">
        <v>0.960201793721973</v>
      </c>
      <c r="U1286" s="72">
        <v>0.960978450786255</v>
      </c>
      <c r="V1286" s="72">
        <v>0.961887477313975</v>
      </c>
      <c r="W1286" s="72">
        <v>0.947870482332393</v>
      </c>
      <c r="X1286" s="74">
        <v>0.92</v>
      </c>
      <c r="Y1286" s="74">
        <v>0.971058644325971</v>
      </c>
      <c r="Z1286" s="74">
        <v>0.985507246376812</v>
      </c>
      <c r="AA1286" s="74">
        <v>0.979619565217391</v>
      </c>
      <c r="AB1286" s="74">
        <v>0.975897044388701</v>
      </c>
      <c r="AC1286" s="74">
        <v>0.92</v>
      </c>
      <c r="AD1286" s="72">
        <v>0.998831775700935</v>
      </c>
      <c r="AE1286" s="72">
        <v>0.999494438827098</v>
      </c>
      <c r="AF1286" s="72">
        <v>0.999431818181818</v>
      </c>
      <c r="AG1286" s="72">
        <v>0.999250468457214</v>
      </c>
      <c r="AH1286" s="74">
        <v>0.92</v>
      </c>
      <c r="AI1286" s="72">
        <v>0.978373143963848</v>
      </c>
      <c r="AJ1286" s="72">
        <v>0.989095315024233</v>
      </c>
      <c r="AK1286" s="72">
        <v>0.985768103809125</v>
      </c>
      <c r="AL1286" s="72">
        <v>0.983582027515691</v>
      </c>
      <c r="AM1286" s="71">
        <v>0.99</v>
      </c>
      <c r="AN1286" s="76">
        <v>1</v>
      </c>
      <c r="AO1286" s="76">
        <v>1</v>
      </c>
      <c r="AP1286" s="76">
        <v>1</v>
      </c>
      <c r="AQ1286" s="76">
        <v>1</v>
      </c>
      <c r="AR1286" s="96">
        <v>0.0721861525408278</v>
      </c>
      <c r="AS1286" s="80">
        <v>0</v>
      </c>
      <c r="AT1286" s="80">
        <v>0</v>
      </c>
      <c r="AU1286" s="80">
        <v>0</v>
      </c>
      <c r="AV1286" s="80">
        <v>0</v>
      </c>
      <c r="AW1286" s="36"/>
      <c r="AX1286" s="34"/>
    </row>
    <row r="1287" ht="14.5" spans="1:50">
      <c r="A1287" s="32"/>
      <c r="B1287" s="36"/>
      <c r="C1287" s="91" t="s">
        <v>1105</v>
      </c>
      <c r="D1287" s="69" t="s">
        <v>25</v>
      </c>
      <c r="E1287" s="129" t="s">
        <v>1336</v>
      </c>
      <c r="F1287" s="129" t="s">
        <v>1336</v>
      </c>
      <c r="G1287" s="129" t="s">
        <v>1336</v>
      </c>
      <c r="H1287" s="129" t="s">
        <v>1336</v>
      </c>
      <c r="I1287" s="71">
        <v>0.9</v>
      </c>
      <c r="J1287" s="72">
        <v>0.967741935483871</v>
      </c>
      <c r="K1287" s="72">
        <v>0.935483870967742</v>
      </c>
      <c r="L1287" s="73">
        <v>0.935483870967742</v>
      </c>
      <c r="M1287" s="72">
        <v>0.928825622775801</v>
      </c>
      <c r="N1287" s="74">
        <v>0.9</v>
      </c>
      <c r="O1287" s="72">
        <v>0.989923558026407</v>
      </c>
      <c r="P1287" s="72">
        <v>0.995919881305638</v>
      </c>
      <c r="Q1287" s="72">
        <v>0.994464944649446</v>
      </c>
      <c r="R1287" s="72">
        <v>0.993171501874877</v>
      </c>
      <c r="S1287" s="74">
        <v>0.9</v>
      </c>
      <c r="T1287" s="72">
        <v>0.940236275191105</v>
      </c>
      <c r="U1287" s="72">
        <v>0.97106824925816</v>
      </c>
      <c r="V1287" s="72">
        <v>0.964944649446494</v>
      </c>
      <c r="W1287" s="72">
        <v>0.958634300374975</v>
      </c>
      <c r="X1287" s="74">
        <v>0.92</v>
      </c>
      <c r="Y1287" s="74">
        <v>0</v>
      </c>
      <c r="Z1287" s="74">
        <v>0</v>
      </c>
      <c r="AA1287" s="74">
        <v>0</v>
      </c>
      <c r="AB1287" s="74">
        <v>0</v>
      </c>
      <c r="AC1287" s="74">
        <v>0.92</v>
      </c>
      <c r="AD1287" s="72">
        <v>0.998144712430427</v>
      </c>
      <c r="AE1287" s="72">
        <v>0.997363216875412</v>
      </c>
      <c r="AF1287" s="72">
        <v>0.998233215547703</v>
      </c>
      <c r="AG1287" s="72">
        <v>0.997411796757935</v>
      </c>
      <c r="AH1287" s="74">
        <v>0.92</v>
      </c>
      <c r="AI1287" s="72">
        <v>0.975677553856845</v>
      </c>
      <c r="AJ1287" s="72">
        <v>0.980712166172107</v>
      </c>
      <c r="AK1287" s="72">
        <v>0.981549815498155</v>
      </c>
      <c r="AL1287" s="72">
        <v>0.981251233471482</v>
      </c>
      <c r="AM1287" s="71">
        <v>0.99</v>
      </c>
      <c r="AN1287" s="76">
        <v>1</v>
      </c>
      <c r="AO1287" s="76">
        <v>1</v>
      </c>
      <c r="AP1287" s="76">
        <v>1</v>
      </c>
      <c r="AQ1287" s="76">
        <v>1</v>
      </c>
      <c r="AR1287" s="96">
        <v>0.0721861525408278</v>
      </c>
      <c r="AS1287" s="80">
        <v>0</v>
      </c>
      <c r="AT1287" s="80">
        <v>0.1</v>
      </c>
      <c r="AU1287" s="80">
        <v>0</v>
      </c>
      <c r="AV1287" s="80">
        <v>0.0454545454545455</v>
      </c>
      <c r="AW1287" s="36"/>
      <c r="AX1287" s="34"/>
    </row>
    <row r="1288" ht="14.5" spans="1:50">
      <c r="A1288" s="32"/>
      <c r="B1288" s="36"/>
      <c r="C1288" s="91" t="s">
        <v>1105</v>
      </c>
      <c r="D1288" s="69" t="s">
        <v>25</v>
      </c>
      <c r="E1288" s="129" t="s">
        <v>1337</v>
      </c>
      <c r="F1288" s="129" t="s">
        <v>1337</v>
      </c>
      <c r="G1288" s="129" t="s">
        <v>1337</v>
      </c>
      <c r="H1288" s="129" t="s">
        <v>1337</v>
      </c>
      <c r="I1288" s="71">
        <v>0.9</v>
      </c>
      <c r="J1288" s="72">
        <v>0.942857142857143</v>
      </c>
      <c r="K1288" s="72">
        <v>0.974358974358974</v>
      </c>
      <c r="L1288" s="73">
        <v>0.975</v>
      </c>
      <c r="M1288" s="72">
        <v>0.963172804532578</v>
      </c>
      <c r="N1288" s="74">
        <v>0.9</v>
      </c>
      <c r="O1288" s="72">
        <v>0.984077841662981</v>
      </c>
      <c r="P1288" s="72">
        <v>0.955814922884535</v>
      </c>
      <c r="Q1288" s="72">
        <v>0.981756470089096</v>
      </c>
      <c r="R1288" s="72">
        <v>0.955615428247306</v>
      </c>
      <c r="S1288" s="74">
        <v>0.9</v>
      </c>
      <c r="T1288" s="72">
        <v>0.938080495356037</v>
      </c>
      <c r="U1288" s="72">
        <v>0.944977073780742</v>
      </c>
      <c r="V1288" s="72">
        <v>0.962240135765804</v>
      </c>
      <c r="W1288" s="72">
        <v>0.941293250141804</v>
      </c>
      <c r="X1288" s="74">
        <v>0.92</v>
      </c>
      <c r="Y1288" s="74">
        <v>0.935897435897436</v>
      </c>
      <c r="Z1288" s="74">
        <v>0.905338078291815</v>
      </c>
      <c r="AA1288" s="74">
        <v>0.961068702290076</v>
      </c>
      <c r="AB1288" s="74">
        <v>0.95269179476381</v>
      </c>
      <c r="AC1288" s="74">
        <v>0.92</v>
      </c>
      <c r="AD1288" s="72">
        <v>0.998878504672897</v>
      </c>
      <c r="AE1288" s="72">
        <v>1</v>
      </c>
      <c r="AF1288" s="72">
        <v>0.998787388843977</v>
      </c>
      <c r="AG1288" s="72">
        <v>0.998795961841252</v>
      </c>
      <c r="AH1288" s="74">
        <v>0.92</v>
      </c>
      <c r="AI1288" s="72">
        <v>0.958679648539539</v>
      </c>
      <c r="AJ1288" s="72">
        <v>0.951104100946372</v>
      </c>
      <c r="AK1288" s="72">
        <v>0.97682028906463</v>
      </c>
      <c r="AL1288" s="72">
        <v>0.97127686615641</v>
      </c>
      <c r="AM1288" s="71">
        <v>0.99</v>
      </c>
      <c r="AN1288" s="76">
        <v>1</v>
      </c>
      <c r="AO1288" s="76">
        <v>1</v>
      </c>
      <c r="AP1288" s="76">
        <v>1</v>
      </c>
      <c r="AQ1288" s="76">
        <v>1</v>
      </c>
      <c r="AR1288" s="96">
        <v>0.0721861525408278</v>
      </c>
      <c r="AS1288" s="80">
        <v>0.125</v>
      </c>
      <c r="AT1288" s="80">
        <v>0.0833333333333333</v>
      </c>
      <c r="AU1288" s="80">
        <v>0</v>
      </c>
      <c r="AV1288" s="80">
        <v>0.0476190476190476</v>
      </c>
      <c r="AW1288" s="36"/>
      <c r="AX1288" s="34"/>
    </row>
    <row r="1289" ht="14.5" spans="1:50">
      <c r="A1289" s="32"/>
      <c r="B1289" s="36"/>
      <c r="C1289" s="91" t="s">
        <v>1105</v>
      </c>
      <c r="D1289" s="69" t="s">
        <v>25</v>
      </c>
      <c r="E1289" s="129" t="s">
        <v>1338</v>
      </c>
      <c r="F1289" s="129" t="s">
        <v>1338</v>
      </c>
      <c r="G1289" s="129" t="s">
        <v>1338</v>
      </c>
      <c r="H1289" s="129" t="s">
        <v>1338</v>
      </c>
      <c r="I1289" s="71">
        <v>0.9</v>
      </c>
      <c r="J1289" s="72">
        <v>0.91304347826087</v>
      </c>
      <c r="K1289" s="72">
        <v>0.869565217391304</v>
      </c>
      <c r="L1289" s="73">
        <v>0.956521739130435</v>
      </c>
      <c r="M1289" s="72">
        <v>0.91866028708134</v>
      </c>
      <c r="N1289" s="74">
        <v>0.9</v>
      </c>
      <c r="O1289" s="72">
        <v>0.949790794979079</v>
      </c>
      <c r="P1289" s="72">
        <v>0.975510204081633</v>
      </c>
      <c r="Q1289" s="72">
        <v>0.981033355134075</v>
      </c>
      <c r="R1289" s="72">
        <v>0.95297341331556</v>
      </c>
      <c r="S1289" s="74">
        <v>0.9</v>
      </c>
      <c r="T1289" s="72">
        <v>0.889121338912134</v>
      </c>
      <c r="U1289" s="72">
        <v>0.910204081632653</v>
      </c>
      <c r="V1289" s="72">
        <v>0.912361020274689</v>
      </c>
      <c r="W1289" s="72">
        <v>0.897504258312968</v>
      </c>
      <c r="X1289" s="74">
        <v>0.92</v>
      </c>
      <c r="Y1289" s="74">
        <v>0.935015290519878</v>
      </c>
      <c r="Z1289" s="74">
        <v>0.959266802443992</v>
      </c>
      <c r="AA1289" s="74">
        <v>0.956937799043062</v>
      </c>
      <c r="AB1289" s="74">
        <v>0.954431209703858</v>
      </c>
      <c r="AC1289" s="74">
        <v>0.92</v>
      </c>
      <c r="AD1289" s="72">
        <v>0.997835497835498</v>
      </c>
      <c r="AE1289" s="72">
        <v>0.999032882011605</v>
      </c>
      <c r="AF1289" s="72">
        <v>0.980392156862745</v>
      </c>
      <c r="AG1289" s="72">
        <v>0.996196196196196</v>
      </c>
      <c r="AH1289" s="74">
        <v>0.92</v>
      </c>
      <c r="AI1289" s="72">
        <v>0.956965718453683</v>
      </c>
      <c r="AJ1289" s="72">
        <v>0.968597063621533</v>
      </c>
      <c r="AK1289" s="72">
        <v>0.972093023255814</v>
      </c>
      <c r="AL1289" s="72">
        <v>0.969321091198022</v>
      </c>
      <c r="AM1289" s="71">
        <v>0.99</v>
      </c>
      <c r="AN1289" s="76">
        <v>1</v>
      </c>
      <c r="AO1289" s="76">
        <v>1</v>
      </c>
      <c r="AP1289" s="76">
        <v>1</v>
      </c>
      <c r="AQ1289" s="76">
        <v>1</v>
      </c>
      <c r="AR1289" s="96">
        <v>0.0721861525408278</v>
      </c>
      <c r="AS1289" s="80">
        <v>0</v>
      </c>
      <c r="AT1289" s="80">
        <v>0</v>
      </c>
      <c r="AU1289" s="80">
        <v>0</v>
      </c>
      <c r="AV1289" s="80">
        <v>0.0606060606060606</v>
      </c>
      <c r="AW1289" s="36"/>
      <c r="AX1289" s="34"/>
    </row>
    <row r="1290" ht="14.5" spans="1:50">
      <c r="A1290" s="32"/>
      <c r="B1290" s="36"/>
      <c r="C1290" s="91" t="s">
        <v>1105</v>
      </c>
      <c r="D1290" s="69" t="s">
        <v>25</v>
      </c>
      <c r="E1290" s="129" t="s">
        <v>1339</v>
      </c>
      <c r="F1290" s="129" t="s">
        <v>1339</v>
      </c>
      <c r="G1290" s="129" t="s">
        <v>1339</v>
      </c>
      <c r="H1290" s="129" t="s">
        <v>1339</v>
      </c>
      <c r="I1290" s="71">
        <v>0.9</v>
      </c>
      <c r="J1290" s="72">
        <v>0.844444444444444</v>
      </c>
      <c r="K1290" s="72">
        <v>0.808510638297872</v>
      </c>
      <c r="L1290" s="73">
        <v>0.833333333333333</v>
      </c>
      <c r="M1290" s="72">
        <v>0.809638554216867</v>
      </c>
      <c r="N1290" s="74">
        <v>0.9</v>
      </c>
      <c r="O1290" s="72">
        <v>0.985325506937033</v>
      </c>
      <c r="P1290" s="72">
        <v>0.990181923187987</v>
      </c>
      <c r="Q1290" s="72">
        <v>0.979575596816976</v>
      </c>
      <c r="R1290" s="72">
        <v>0.980617029537377</v>
      </c>
      <c r="S1290" s="74">
        <v>0.9</v>
      </c>
      <c r="T1290" s="72">
        <v>0.851120597652081</v>
      </c>
      <c r="U1290" s="72">
        <v>0.863124458561941</v>
      </c>
      <c r="V1290" s="72">
        <v>0.892838196286472</v>
      </c>
      <c r="W1290" s="72">
        <v>0.875339724636383</v>
      </c>
      <c r="X1290" s="74">
        <v>0.92</v>
      </c>
      <c r="Y1290" s="74">
        <v>0</v>
      </c>
      <c r="Z1290" s="74">
        <v>0</v>
      </c>
      <c r="AA1290" s="74">
        <v>0</v>
      </c>
      <c r="AB1290" s="74">
        <v>0</v>
      </c>
      <c r="AC1290" s="74">
        <v>0.92</v>
      </c>
      <c r="AD1290" s="72">
        <v>0.998384491114701</v>
      </c>
      <c r="AE1290" s="72">
        <v>0.996894409937888</v>
      </c>
      <c r="AF1290" s="72">
        <v>1</v>
      </c>
      <c r="AG1290" s="72">
        <v>0.997721623860812</v>
      </c>
      <c r="AH1290" s="74">
        <v>0.92</v>
      </c>
      <c r="AI1290" s="72">
        <v>0.95837780149413</v>
      </c>
      <c r="AJ1290" s="72">
        <v>0.975454807969968</v>
      </c>
      <c r="AK1290" s="72">
        <v>0.973474801061008</v>
      </c>
      <c r="AL1290" s="72">
        <v>0.970791147746618</v>
      </c>
      <c r="AM1290" s="71">
        <v>0.99</v>
      </c>
      <c r="AN1290" s="76">
        <v>1</v>
      </c>
      <c r="AO1290" s="76">
        <v>1</v>
      </c>
      <c r="AP1290" s="76">
        <v>1</v>
      </c>
      <c r="AQ1290" s="76">
        <v>1</v>
      </c>
      <c r="AR1290" s="96">
        <v>0.0721861525408278</v>
      </c>
      <c r="AS1290" s="80">
        <v>0.0909090909090909</v>
      </c>
      <c r="AT1290" s="80">
        <v>0</v>
      </c>
      <c r="AU1290" s="80">
        <v>0</v>
      </c>
      <c r="AV1290" s="80">
        <v>0.0235294117647059</v>
      </c>
      <c r="AW1290" s="36"/>
      <c r="AX1290" s="34"/>
    </row>
    <row r="1291" ht="14.5" spans="1:50">
      <c r="A1291" s="32"/>
      <c r="B1291" s="36"/>
      <c r="C1291" s="91" t="s">
        <v>1105</v>
      </c>
      <c r="D1291" s="69" t="s">
        <v>25</v>
      </c>
      <c r="E1291" s="129" t="s">
        <v>1340</v>
      </c>
      <c r="F1291" s="129" t="s">
        <v>1340</v>
      </c>
      <c r="G1291" s="129" t="s">
        <v>1340</v>
      </c>
      <c r="H1291" s="129" t="s">
        <v>1340</v>
      </c>
      <c r="I1291" s="71">
        <v>0.9</v>
      </c>
      <c r="J1291" s="72">
        <v>0.9375</v>
      </c>
      <c r="K1291" s="72">
        <v>0.789473684210526</v>
      </c>
      <c r="L1291" s="73">
        <v>0.894736842105263</v>
      </c>
      <c r="M1291" s="72">
        <v>0.855345911949686</v>
      </c>
      <c r="N1291" s="74">
        <v>0.9</v>
      </c>
      <c r="O1291" s="72">
        <v>0.977880184331797</v>
      </c>
      <c r="P1291" s="72">
        <v>0.978300180831826</v>
      </c>
      <c r="Q1291" s="72">
        <v>0.984390243902439</v>
      </c>
      <c r="R1291" s="72">
        <v>0.959660297239915</v>
      </c>
      <c r="S1291" s="74">
        <v>0.9</v>
      </c>
      <c r="T1291" s="72">
        <v>0.937327188940092</v>
      </c>
      <c r="U1291" s="72">
        <v>0.937613019891501</v>
      </c>
      <c r="V1291" s="72">
        <v>0.91609756097561</v>
      </c>
      <c r="W1291" s="72">
        <v>0.929193205944798</v>
      </c>
      <c r="X1291" s="74">
        <v>0.92</v>
      </c>
      <c r="Y1291" s="74">
        <v>0.952158693115519</v>
      </c>
      <c r="Z1291" s="74">
        <v>0.94636678200692</v>
      </c>
      <c r="AA1291" s="74">
        <v>0.961389961389961</v>
      </c>
      <c r="AB1291" s="74">
        <v>0.963116109824677</v>
      </c>
      <c r="AC1291" s="74">
        <v>0.92</v>
      </c>
      <c r="AD1291" s="72">
        <v>1</v>
      </c>
      <c r="AE1291" s="72">
        <v>1</v>
      </c>
      <c r="AF1291" s="72">
        <v>1</v>
      </c>
      <c r="AG1291" s="72">
        <v>0.99185730903451</v>
      </c>
      <c r="AH1291" s="74">
        <v>0.92</v>
      </c>
      <c r="AI1291" s="72">
        <v>0.967559217301751</v>
      </c>
      <c r="AJ1291" s="72">
        <v>0.967339667458432</v>
      </c>
      <c r="AK1291" s="72">
        <v>0.974724562540506</v>
      </c>
      <c r="AL1291" s="72">
        <v>0.974654079917238</v>
      </c>
      <c r="AM1291" s="71">
        <v>0.99</v>
      </c>
      <c r="AN1291" s="76">
        <v>1</v>
      </c>
      <c r="AO1291" s="76">
        <v>1</v>
      </c>
      <c r="AP1291" s="76">
        <v>1</v>
      </c>
      <c r="AQ1291" s="76">
        <v>1</v>
      </c>
      <c r="AR1291" s="96">
        <v>0.0721861525408278</v>
      </c>
      <c r="AS1291" s="80">
        <v>0.166666666666667</v>
      </c>
      <c r="AT1291" s="80">
        <v>0.1</v>
      </c>
      <c r="AU1291" s="80">
        <v>0</v>
      </c>
      <c r="AV1291" s="80">
        <v>0.0517241379310345</v>
      </c>
      <c r="AW1291" s="36"/>
      <c r="AX1291" s="34"/>
    </row>
    <row r="1292" ht="14.5" spans="1:50">
      <c r="A1292" s="32"/>
      <c r="B1292" s="36"/>
      <c r="C1292" s="91" t="s">
        <v>1105</v>
      </c>
      <c r="D1292" s="69" t="s">
        <v>25</v>
      </c>
      <c r="E1292" s="129" t="s">
        <v>1341</v>
      </c>
      <c r="F1292" s="129" t="s">
        <v>1341</v>
      </c>
      <c r="G1292" s="129" t="s">
        <v>1341</v>
      </c>
      <c r="H1292" s="129" t="s">
        <v>1341</v>
      </c>
      <c r="I1292" s="71">
        <v>0.9</v>
      </c>
      <c r="J1292" s="72">
        <v>0</v>
      </c>
      <c r="K1292" s="72">
        <v>0</v>
      </c>
      <c r="L1292" s="73">
        <v>0</v>
      </c>
      <c r="M1292" s="72">
        <v>0</v>
      </c>
      <c r="N1292" s="74">
        <v>0.9</v>
      </c>
      <c r="O1292" s="72">
        <v>0</v>
      </c>
      <c r="P1292" s="72">
        <v>0</v>
      </c>
      <c r="Q1292" s="72">
        <v>0</v>
      </c>
      <c r="R1292" s="72">
        <v>0</v>
      </c>
      <c r="S1292" s="74">
        <v>0.9</v>
      </c>
      <c r="T1292" s="72">
        <v>0</v>
      </c>
      <c r="U1292" s="72">
        <v>0</v>
      </c>
      <c r="V1292" s="72">
        <v>0</v>
      </c>
      <c r="W1292" s="72">
        <v>0</v>
      </c>
      <c r="X1292" s="74">
        <v>0.92</v>
      </c>
      <c r="Y1292" s="74">
        <v>0</v>
      </c>
      <c r="Z1292" s="74">
        <v>0</v>
      </c>
      <c r="AA1292" s="74">
        <v>0</v>
      </c>
      <c r="AB1292" s="74">
        <v>0</v>
      </c>
      <c r="AC1292" s="74">
        <v>0.92</v>
      </c>
      <c r="AD1292" s="72">
        <v>0.996815286624204</v>
      </c>
      <c r="AE1292" s="72">
        <v>0.990783410138249</v>
      </c>
      <c r="AF1292" s="72">
        <v>0.99830220713073</v>
      </c>
      <c r="AG1292" s="72">
        <v>0.99734802121583</v>
      </c>
      <c r="AH1292" s="74">
        <v>0.92</v>
      </c>
      <c r="AI1292" s="72">
        <v>0</v>
      </c>
      <c r="AJ1292" s="72">
        <v>0</v>
      </c>
      <c r="AK1292" s="72">
        <v>0</v>
      </c>
      <c r="AL1292" s="72">
        <v>0</v>
      </c>
      <c r="AM1292" s="71">
        <v>0.99</v>
      </c>
      <c r="AN1292" s="76">
        <v>1</v>
      </c>
      <c r="AO1292" s="76">
        <v>1</v>
      </c>
      <c r="AP1292" s="76">
        <v>1</v>
      </c>
      <c r="AQ1292" s="76">
        <v>1</v>
      </c>
      <c r="AR1292" s="96">
        <v>0.0721861525408278</v>
      </c>
      <c r="AS1292" s="80">
        <v>0</v>
      </c>
      <c r="AT1292" s="80">
        <v>0</v>
      </c>
      <c r="AU1292" s="80">
        <v>0</v>
      </c>
      <c r="AV1292" s="80">
        <v>0</v>
      </c>
      <c r="AW1292" s="36"/>
      <c r="AX1292" s="34"/>
    </row>
    <row r="1293" ht="14.5" spans="1:50">
      <c r="A1293" s="32"/>
      <c r="B1293" s="36"/>
      <c r="C1293" s="91" t="s">
        <v>1105</v>
      </c>
      <c r="D1293" s="69" t="s">
        <v>25</v>
      </c>
      <c r="E1293" s="129" t="s">
        <v>1342</v>
      </c>
      <c r="F1293" s="129" t="s">
        <v>1342</v>
      </c>
      <c r="G1293" s="129" t="s">
        <v>1342</v>
      </c>
      <c r="H1293" s="129" t="s">
        <v>1342</v>
      </c>
      <c r="I1293" s="71">
        <v>0.9</v>
      </c>
      <c r="J1293" s="72">
        <v>0.96078431372549</v>
      </c>
      <c r="K1293" s="72">
        <v>0.962264150943396</v>
      </c>
      <c r="L1293" s="73">
        <v>0.983050847457627</v>
      </c>
      <c r="M1293" s="72">
        <v>0.93167701863354</v>
      </c>
      <c r="N1293" s="74">
        <v>0.9</v>
      </c>
      <c r="O1293" s="72">
        <v>0.98613713001124</v>
      </c>
      <c r="P1293" s="72">
        <v>0.989326765188834</v>
      </c>
      <c r="Q1293" s="72">
        <v>0.992066010790225</v>
      </c>
      <c r="R1293" s="72">
        <v>0.975638051044084</v>
      </c>
      <c r="S1293" s="74">
        <v>0.9</v>
      </c>
      <c r="T1293" s="72">
        <v>0.952416635443986</v>
      </c>
      <c r="U1293" s="72">
        <v>0.963054187192118</v>
      </c>
      <c r="V1293" s="72">
        <v>0.970168200571247</v>
      </c>
      <c r="W1293" s="72">
        <v>0.951972157772622</v>
      </c>
      <c r="X1293" s="74">
        <v>0.92</v>
      </c>
      <c r="Y1293" s="74">
        <v>0.949579831932773</v>
      </c>
      <c r="Z1293" s="74">
        <v>0.964511041009464</v>
      </c>
      <c r="AA1293" s="74">
        <v>0.968284789644013</v>
      </c>
      <c r="AB1293" s="74">
        <v>0.963804655660703</v>
      </c>
      <c r="AC1293" s="74">
        <v>0.92</v>
      </c>
      <c r="AD1293" s="72">
        <v>1</v>
      </c>
      <c r="AE1293" s="72">
        <v>0.987468671679198</v>
      </c>
      <c r="AF1293" s="72">
        <v>0.981785063752277</v>
      </c>
      <c r="AG1293" s="72">
        <v>0.993631640690464</v>
      </c>
      <c r="AH1293" s="74">
        <v>0.92</v>
      </c>
      <c r="AI1293" s="72">
        <v>0.966322406825326</v>
      </c>
      <c r="AJ1293" s="72">
        <v>0.973002159827214</v>
      </c>
      <c r="AK1293" s="72">
        <v>0.982538330494037</v>
      </c>
      <c r="AL1293" s="72">
        <v>0.978112683736956</v>
      </c>
      <c r="AM1293" s="71">
        <v>0.99</v>
      </c>
      <c r="AN1293" s="76">
        <v>1</v>
      </c>
      <c r="AO1293" s="76">
        <v>1</v>
      </c>
      <c r="AP1293" s="76">
        <v>1</v>
      </c>
      <c r="AQ1293" s="76">
        <v>1</v>
      </c>
      <c r="AR1293" s="96">
        <v>0.0721861525408278</v>
      </c>
      <c r="AS1293" s="80">
        <v>0</v>
      </c>
      <c r="AT1293" s="80">
        <v>0</v>
      </c>
      <c r="AU1293" s="80">
        <v>0</v>
      </c>
      <c r="AV1293" s="80">
        <v>0.0275229357798165</v>
      </c>
      <c r="AW1293" s="36"/>
      <c r="AX1293" s="34"/>
    </row>
    <row r="1294" ht="14.5" spans="1:50">
      <c r="A1294" s="32"/>
      <c r="B1294" s="36"/>
      <c r="C1294" s="91" t="s">
        <v>1105</v>
      </c>
      <c r="D1294" s="69" t="s">
        <v>25</v>
      </c>
      <c r="E1294" s="129" t="s">
        <v>1343</v>
      </c>
      <c r="F1294" s="129" t="s">
        <v>1343</v>
      </c>
      <c r="G1294" s="129" t="s">
        <v>1343</v>
      </c>
      <c r="H1294" s="129" t="s">
        <v>1343</v>
      </c>
      <c r="I1294" s="71">
        <v>0.9</v>
      </c>
      <c r="J1294" s="72">
        <v>0.821428571428571</v>
      </c>
      <c r="K1294" s="72">
        <v>0.813559322033898</v>
      </c>
      <c r="L1294" s="73">
        <v>0.865671641791045</v>
      </c>
      <c r="M1294" s="72">
        <v>0.871143375680581</v>
      </c>
      <c r="N1294" s="74">
        <v>0.9</v>
      </c>
      <c r="O1294" s="72">
        <v>0.984944293887383</v>
      </c>
      <c r="P1294" s="72">
        <v>0.986675549633578</v>
      </c>
      <c r="Q1294" s="72">
        <v>0.988199780461032</v>
      </c>
      <c r="R1294" s="72">
        <v>0.987854910132847</v>
      </c>
      <c r="S1294" s="74">
        <v>0.9</v>
      </c>
      <c r="T1294" s="72">
        <v>0.934357121348991</v>
      </c>
      <c r="U1294" s="72">
        <v>0.938374417055296</v>
      </c>
      <c r="V1294" s="72">
        <v>0.944017563117453</v>
      </c>
      <c r="W1294" s="72">
        <v>0.945754102630893</v>
      </c>
      <c r="X1294" s="74">
        <v>0.92</v>
      </c>
      <c r="Y1294" s="74">
        <v>0.954215775158658</v>
      </c>
      <c r="Z1294" s="74">
        <v>0.968499427262314</v>
      </c>
      <c r="AA1294" s="74">
        <v>0.970010341261634</v>
      </c>
      <c r="AB1294" s="74">
        <v>0.964536199095023</v>
      </c>
      <c r="AC1294" s="74">
        <v>0.92</v>
      </c>
      <c r="AD1294" s="72">
        <v>0.990509878353895</v>
      </c>
      <c r="AE1294" s="72">
        <v>0.95592972181552</v>
      </c>
      <c r="AF1294" s="72">
        <v>0.967747984249016</v>
      </c>
      <c r="AG1294" s="72">
        <v>0.954731512376814</v>
      </c>
      <c r="AH1294" s="74">
        <v>0.92</v>
      </c>
      <c r="AI1294" s="72">
        <v>0.965810419681621</v>
      </c>
      <c r="AJ1294" s="72">
        <v>0.9776795114761</v>
      </c>
      <c r="AK1294" s="72">
        <v>0.97830763714593</v>
      </c>
      <c r="AL1294" s="72">
        <v>0.977810375818681</v>
      </c>
      <c r="AM1294" s="71">
        <v>0.99</v>
      </c>
      <c r="AN1294" s="76">
        <v>1</v>
      </c>
      <c r="AO1294" s="76">
        <v>1</v>
      </c>
      <c r="AP1294" s="76">
        <v>1</v>
      </c>
      <c r="AQ1294" s="76">
        <v>1</v>
      </c>
      <c r="AR1294" s="96">
        <v>0.0721861525408278</v>
      </c>
      <c r="AS1294" s="80">
        <v>0</v>
      </c>
      <c r="AT1294" s="80">
        <v>0</v>
      </c>
      <c r="AU1294" s="80">
        <v>0.0384615384615385</v>
      </c>
      <c r="AV1294" s="80">
        <v>0.0103092783505155</v>
      </c>
      <c r="AW1294" s="36"/>
      <c r="AX1294" s="34"/>
    </row>
    <row r="1295" ht="14.5" spans="1:50">
      <c r="A1295" s="32"/>
      <c r="B1295" s="36"/>
      <c r="C1295" s="91" t="s">
        <v>1105</v>
      </c>
      <c r="D1295" s="69" t="s">
        <v>25</v>
      </c>
      <c r="E1295" s="129" t="s">
        <v>1344</v>
      </c>
      <c r="F1295" s="129" t="s">
        <v>1344</v>
      </c>
      <c r="G1295" s="129" t="s">
        <v>1344</v>
      </c>
      <c r="H1295" s="129" t="s">
        <v>1344</v>
      </c>
      <c r="I1295" s="71">
        <v>0.9</v>
      </c>
      <c r="J1295" s="72">
        <v>0.87</v>
      </c>
      <c r="K1295" s="72">
        <v>0.9</v>
      </c>
      <c r="L1295" s="73">
        <v>0.904347826086957</v>
      </c>
      <c r="M1295" s="72">
        <v>0.891078838174274</v>
      </c>
      <c r="N1295" s="74">
        <v>0.9</v>
      </c>
      <c r="O1295" s="72">
        <v>0.985074626865672</v>
      </c>
      <c r="P1295" s="72">
        <v>0.993901156677182</v>
      </c>
      <c r="Q1295" s="72">
        <v>0.992867332382311</v>
      </c>
      <c r="R1295" s="72">
        <v>0.990882629911823</v>
      </c>
      <c r="S1295" s="74">
        <v>0.9</v>
      </c>
      <c r="T1295" s="72">
        <v>0.940298507462687</v>
      </c>
      <c r="U1295" s="72">
        <v>0.956466876971609</v>
      </c>
      <c r="V1295" s="72">
        <v>0.959700427960057</v>
      </c>
      <c r="W1295" s="72">
        <v>0.957302456981423</v>
      </c>
      <c r="X1295" s="74">
        <v>0.92</v>
      </c>
      <c r="Y1295" s="74">
        <v>0.945353815159909</v>
      </c>
      <c r="Z1295" s="74">
        <v>0.964448793215916</v>
      </c>
      <c r="AA1295" s="74">
        <v>0.985747527632344</v>
      </c>
      <c r="AB1295" s="74">
        <v>0.970284982388729</v>
      </c>
      <c r="AC1295" s="74">
        <v>0.92</v>
      </c>
      <c r="AD1295" s="72">
        <v>0.994436717663421</v>
      </c>
      <c r="AE1295" s="72">
        <v>0.993947858472998</v>
      </c>
      <c r="AF1295" s="72">
        <v>0.993306239540999</v>
      </c>
      <c r="AG1295" s="72">
        <v>0.984240366443512</v>
      </c>
      <c r="AH1295" s="74">
        <v>0.92</v>
      </c>
      <c r="AI1295" s="72">
        <v>0.963439404197698</v>
      </c>
      <c r="AJ1295" s="72">
        <v>0.97788854805726</v>
      </c>
      <c r="AK1295" s="72">
        <v>0.989721485411141</v>
      </c>
      <c r="AL1295" s="72">
        <v>0.981326869557411</v>
      </c>
      <c r="AM1295" s="71">
        <v>0.99</v>
      </c>
      <c r="AN1295" s="76">
        <v>1</v>
      </c>
      <c r="AO1295" s="76">
        <v>1</v>
      </c>
      <c r="AP1295" s="76">
        <v>1</v>
      </c>
      <c r="AQ1295" s="76">
        <v>1</v>
      </c>
      <c r="AR1295" s="96">
        <v>0.0721861525408278</v>
      </c>
      <c r="AS1295" s="80">
        <v>0.0227272727272727</v>
      </c>
      <c r="AT1295" s="80">
        <v>0</v>
      </c>
      <c r="AU1295" s="80">
        <v>-0.03125</v>
      </c>
      <c r="AV1295" s="80">
        <v>-0.00894854586129754</v>
      </c>
      <c r="AW1295" s="36"/>
      <c r="AX1295" s="34"/>
    </row>
    <row r="1296" ht="14.5" spans="1:50">
      <c r="A1296" s="32"/>
      <c r="B1296" s="36"/>
      <c r="C1296" s="91" t="s">
        <v>1105</v>
      </c>
      <c r="D1296" s="69" t="s">
        <v>25</v>
      </c>
      <c r="E1296" s="129" t="s">
        <v>1345</v>
      </c>
      <c r="F1296" s="129" t="s">
        <v>1345</v>
      </c>
      <c r="G1296" s="129" t="s">
        <v>1345</v>
      </c>
      <c r="H1296" s="129" t="s">
        <v>1345</v>
      </c>
      <c r="I1296" s="71">
        <v>0.9</v>
      </c>
      <c r="J1296" s="72">
        <v>0.969230769230769</v>
      </c>
      <c r="K1296" s="72">
        <v>0.941176470588235</v>
      </c>
      <c r="L1296" s="73">
        <v>0.930555555555556</v>
      </c>
      <c r="M1296" s="72">
        <v>0.956521739130435</v>
      </c>
      <c r="N1296" s="74">
        <v>0.9</v>
      </c>
      <c r="O1296" s="72">
        <v>0.961287313432836</v>
      </c>
      <c r="P1296" s="72">
        <v>0.938806346008562</v>
      </c>
      <c r="Q1296" s="72">
        <v>0.972447671935071</v>
      </c>
      <c r="R1296" s="72">
        <v>0.965467925215175</v>
      </c>
      <c r="S1296" s="74">
        <v>0.9</v>
      </c>
      <c r="T1296" s="72">
        <v>0.945429104477612</v>
      </c>
      <c r="U1296" s="72">
        <v>0.941072777637875</v>
      </c>
      <c r="V1296" s="72">
        <v>0.943186672362238</v>
      </c>
      <c r="W1296" s="72">
        <v>0.943469329380867</v>
      </c>
      <c r="X1296" s="74">
        <v>0.92</v>
      </c>
      <c r="Y1296" s="74">
        <v>0.925599435825106</v>
      </c>
      <c r="Z1296" s="74">
        <v>0.954283177984909</v>
      </c>
      <c r="AA1296" s="74">
        <v>0.94488188976378</v>
      </c>
      <c r="AB1296" s="74">
        <v>0.945656433703462</v>
      </c>
      <c r="AC1296" s="74">
        <v>0.92</v>
      </c>
      <c r="AD1296" s="72">
        <v>0.999160897839312</v>
      </c>
      <c r="AE1296" s="72">
        <v>0.993337140681515</v>
      </c>
      <c r="AF1296" s="72">
        <v>0.99734395750332</v>
      </c>
      <c r="AG1296" s="72">
        <v>0.996819507023589</v>
      </c>
      <c r="AH1296" s="74">
        <v>0.92</v>
      </c>
      <c r="AI1296" s="72">
        <v>0.952975856260528</v>
      </c>
      <c r="AJ1296" s="72">
        <v>0.9728470437018</v>
      </c>
      <c r="AK1296" s="72">
        <v>0.970608246019867</v>
      </c>
      <c r="AL1296" s="72">
        <v>0.968937223235217</v>
      </c>
      <c r="AM1296" s="71">
        <v>0.99</v>
      </c>
      <c r="AN1296" s="76">
        <v>1</v>
      </c>
      <c r="AO1296" s="76">
        <v>1</v>
      </c>
      <c r="AP1296" s="76">
        <v>1</v>
      </c>
      <c r="AQ1296" s="76">
        <v>1</v>
      </c>
      <c r="AR1296" s="96">
        <v>0.0721861525408278</v>
      </c>
      <c r="AS1296" s="80">
        <v>0.0416666666666667</v>
      </c>
      <c r="AT1296" s="80">
        <v>0.03125</v>
      </c>
      <c r="AU1296" s="80">
        <v>0</v>
      </c>
      <c r="AV1296" s="80">
        <v>0.0603015075376884</v>
      </c>
      <c r="AW1296" s="36"/>
      <c r="AX1296" s="34"/>
    </row>
    <row r="1297" ht="14.5" spans="1:50">
      <c r="A1297" s="32"/>
      <c r="B1297" s="36"/>
      <c r="C1297" s="91" t="s">
        <v>1105</v>
      </c>
      <c r="D1297" s="69" t="s">
        <v>25</v>
      </c>
      <c r="E1297" s="129" t="s">
        <v>1346</v>
      </c>
      <c r="F1297" s="129" t="s">
        <v>1346</v>
      </c>
      <c r="G1297" s="129" t="s">
        <v>1346</v>
      </c>
      <c r="H1297" s="129" t="s">
        <v>1346</v>
      </c>
      <c r="I1297" s="71">
        <v>0.9</v>
      </c>
      <c r="J1297" s="72">
        <v>1</v>
      </c>
      <c r="K1297" s="72">
        <v>0.966666666666667</v>
      </c>
      <c r="L1297" s="73">
        <v>0.96551724137931</v>
      </c>
      <c r="M1297" s="72">
        <v>0.959409594095941</v>
      </c>
      <c r="N1297" s="74">
        <v>0.9</v>
      </c>
      <c r="O1297" s="72">
        <v>0.982700892857143</v>
      </c>
      <c r="P1297" s="72">
        <v>0.984728804634018</v>
      </c>
      <c r="Q1297" s="72">
        <v>0.987266939517963</v>
      </c>
      <c r="R1297" s="72">
        <v>0.986658647274318</v>
      </c>
      <c r="S1297" s="74">
        <v>0.9</v>
      </c>
      <c r="T1297" s="72">
        <v>0.943638392857143</v>
      </c>
      <c r="U1297" s="72">
        <v>0.945234333859926</v>
      </c>
      <c r="V1297" s="72">
        <v>0.929968167348795</v>
      </c>
      <c r="W1297" s="72">
        <v>0.952375744983323</v>
      </c>
      <c r="X1297" s="74">
        <v>0.92</v>
      </c>
      <c r="Y1297" s="74">
        <v>0</v>
      </c>
      <c r="Z1297" s="74">
        <v>0</v>
      </c>
      <c r="AA1297" s="74">
        <v>0</v>
      </c>
      <c r="AB1297" s="74">
        <v>0</v>
      </c>
      <c r="AC1297" s="74">
        <v>0.92</v>
      </c>
      <c r="AD1297" s="72">
        <v>0.981481481481482</v>
      </c>
      <c r="AE1297" s="72">
        <v>0.964912280701754</v>
      </c>
      <c r="AF1297" s="72">
        <v>1</v>
      </c>
      <c r="AG1297" s="72">
        <v>0.991434689507495</v>
      </c>
      <c r="AH1297" s="74">
        <v>0.92</v>
      </c>
      <c r="AI1297" s="72">
        <v>0.978236607142857</v>
      </c>
      <c r="AJ1297" s="72">
        <v>0.97577672459189</v>
      </c>
      <c r="AK1297" s="72">
        <v>0.97862664847658</v>
      </c>
      <c r="AL1297" s="72">
        <v>0.986385258898792</v>
      </c>
      <c r="AM1297" s="71">
        <v>0.99</v>
      </c>
      <c r="AN1297" s="76">
        <v>1</v>
      </c>
      <c r="AO1297" s="76">
        <v>1</v>
      </c>
      <c r="AP1297" s="76">
        <v>1</v>
      </c>
      <c r="AQ1297" s="76">
        <v>1</v>
      </c>
      <c r="AR1297" s="96">
        <v>0.0721861525408278</v>
      </c>
      <c r="AS1297" s="80">
        <v>0</v>
      </c>
      <c r="AT1297" s="80">
        <v>0</v>
      </c>
      <c r="AU1297" s="80">
        <v>0.5</v>
      </c>
      <c r="AV1297" s="80">
        <v>0.0540540540540541</v>
      </c>
      <c r="AW1297" s="36"/>
      <c r="AX1297" s="34"/>
    </row>
    <row r="1298" ht="14.5" spans="1:50">
      <c r="A1298" s="32"/>
      <c r="B1298" s="36"/>
      <c r="C1298" s="91" t="s">
        <v>1105</v>
      </c>
      <c r="D1298" s="69" t="s">
        <v>25</v>
      </c>
      <c r="E1298" s="129" t="s">
        <v>1347</v>
      </c>
      <c r="F1298" s="129" t="s">
        <v>1347</v>
      </c>
      <c r="G1298" s="129" t="s">
        <v>1347</v>
      </c>
      <c r="H1298" s="129" t="s">
        <v>1347</v>
      </c>
      <c r="I1298" s="71">
        <v>0.9</v>
      </c>
      <c r="J1298" s="72">
        <v>0.956521739130435</v>
      </c>
      <c r="K1298" s="72">
        <v>0.958333333333333</v>
      </c>
      <c r="L1298" s="73">
        <v>0.961538461538462</v>
      </c>
      <c r="M1298" s="72">
        <v>0.973913043478261</v>
      </c>
      <c r="N1298" s="74">
        <v>0.9</v>
      </c>
      <c r="O1298" s="72">
        <v>0.99054820415879</v>
      </c>
      <c r="P1298" s="72">
        <v>0.988907849829352</v>
      </c>
      <c r="Q1298" s="72">
        <v>0.963908450704225</v>
      </c>
      <c r="R1298" s="72">
        <v>0.98793035219628</v>
      </c>
      <c r="S1298" s="74">
        <v>0.9</v>
      </c>
      <c r="T1298" s="72">
        <v>0.93289224952741</v>
      </c>
      <c r="U1298" s="72">
        <v>0.950511945392492</v>
      </c>
      <c r="V1298" s="72">
        <v>0.925176056338028</v>
      </c>
      <c r="W1298" s="72">
        <v>0.941828254847645</v>
      </c>
      <c r="X1298" s="74">
        <v>0.92</v>
      </c>
      <c r="Y1298" s="74">
        <v>0.925343811394892</v>
      </c>
      <c r="Z1298" s="74">
        <v>0.929046563192905</v>
      </c>
      <c r="AA1298" s="74">
        <v>0.958188153310105</v>
      </c>
      <c r="AB1298" s="74">
        <v>0.951879010082493</v>
      </c>
      <c r="AC1298" s="74">
        <v>0.92</v>
      </c>
      <c r="AD1298" s="72">
        <v>1</v>
      </c>
      <c r="AE1298" s="72">
        <v>1</v>
      </c>
      <c r="AF1298" s="72">
        <v>1</v>
      </c>
      <c r="AG1298" s="72">
        <v>0.999153259949196</v>
      </c>
      <c r="AH1298" s="74">
        <v>0.92</v>
      </c>
      <c r="AI1298" s="72">
        <v>0.956604977664327</v>
      </c>
      <c r="AJ1298" s="72">
        <v>0.972889710412816</v>
      </c>
      <c r="AK1298" s="72">
        <v>0.981026001405481</v>
      </c>
      <c r="AL1298" s="72">
        <v>0.974364289662797</v>
      </c>
      <c r="AM1298" s="71">
        <v>0.99</v>
      </c>
      <c r="AN1298" s="76">
        <v>1</v>
      </c>
      <c r="AO1298" s="76">
        <v>1</v>
      </c>
      <c r="AP1298" s="76">
        <v>1</v>
      </c>
      <c r="AQ1298" s="76">
        <v>1</v>
      </c>
      <c r="AR1298" s="96">
        <v>0.0721861525408278</v>
      </c>
      <c r="AS1298" s="80">
        <v>0</v>
      </c>
      <c r="AT1298" s="80">
        <v>0.25</v>
      </c>
      <c r="AU1298" s="80">
        <v>0</v>
      </c>
      <c r="AV1298" s="80">
        <v>0.0294117647058824</v>
      </c>
      <c r="AW1298" s="36"/>
      <c r="AX1298" s="34"/>
    </row>
    <row r="1299" ht="14.5" spans="1:50">
      <c r="A1299" s="32"/>
      <c r="B1299" s="36"/>
      <c r="C1299" s="91" t="s">
        <v>1105</v>
      </c>
      <c r="D1299" s="69" t="s">
        <v>25</v>
      </c>
      <c r="E1299" s="129" t="s">
        <v>1348</v>
      </c>
      <c r="F1299" s="129" t="s">
        <v>1348</v>
      </c>
      <c r="G1299" s="129" t="s">
        <v>1348</v>
      </c>
      <c r="H1299" s="129" t="s">
        <v>1348</v>
      </c>
      <c r="I1299" s="71">
        <v>0.9</v>
      </c>
      <c r="J1299" s="72">
        <v>0.823529411764706</v>
      </c>
      <c r="K1299" s="72">
        <v>1</v>
      </c>
      <c r="L1299" s="73">
        <v>1</v>
      </c>
      <c r="M1299" s="72">
        <v>0.958823529411765</v>
      </c>
      <c r="N1299" s="74">
        <v>0.9</v>
      </c>
      <c r="O1299" s="72">
        <v>0.977955911823647</v>
      </c>
      <c r="P1299" s="72">
        <v>0.994722955145119</v>
      </c>
      <c r="Q1299" s="72">
        <v>0.982924226254002</v>
      </c>
      <c r="R1299" s="72">
        <v>0.985360871538811</v>
      </c>
      <c r="S1299" s="74">
        <v>0.9</v>
      </c>
      <c r="T1299" s="72">
        <v>0.897795591182365</v>
      </c>
      <c r="U1299" s="72">
        <v>0.948109058927001</v>
      </c>
      <c r="V1299" s="72">
        <v>0.931696905016009</v>
      </c>
      <c r="W1299" s="72">
        <v>0.932137993645029</v>
      </c>
      <c r="X1299" s="74">
        <v>0.92</v>
      </c>
      <c r="Y1299" s="74">
        <v>0.924764890282132</v>
      </c>
      <c r="Z1299" s="74">
        <v>0.925925925925926</v>
      </c>
      <c r="AA1299" s="74">
        <v>0.9375</v>
      </c>
      <c r="AB1299" s="74">
        <v>0.931894192763758</v>
      </c>
      <c r="AC1299" s="74">
        <v>0.92</v>
      </c>
      <c r="AD1299" s="72">
        <v>1</v>
      </c>
      <c r="AE1299" s="72">
        <v>1</v>
      </c>
      <c r="AF1299" s="72">
        <v>0.964285714285714</v>
      </c>
      <c r="AG1299" s="72">
        <v>0.982658959537572</v>
      </c>
      <c r="AH1299" s="74">
        <v>0.92</v>
      </c>
      <c r="AI1299" s="72">
        <v>0.962034927866363</v>
      </c>
      <c r="AJ1299" s="72">
        <v>0.969086021505376</v>
      </c>
      <c r="AK1299" s="72">
        <v>0.978742249778565</v>
      </c>
      <c r="AL1299" s="72">
        <v>0.968682862336804</v>
      </c>
      <c r="AM1299" s="71">
        <v>0.99</v>
      </c>
      <c r="AN1299" s="76">
        <v>1</v>
      </c>
      <c r="AO1299" s="76">
        <v>1</v>
      </c>
      <c r="AP1299" s="76">
        <v>1</v>
      </c>
      <c r="AQ1299" s="76">
        <v>1</v>
      </c>
      <c r="AR1299" s="96">
        <v>0.0721861525408278</v>
      </c>
      <c r="AS1299" s="80">
        <v>0</v>
      </c>
      <c r="AT1299" s="80">
        <v>0.5</v>
      </c>
      <c r="AU1299" s="80">
        <v>0</v>
      </c>
      <c r="AV1299" s="80">
        <v>0.0555555555555556</v>
      </c>
      <c r="AW1299" s="36"/>
      <c r="AX1299" s="34"/>
    </row>
    <row r="1300" ht="14.5" spans="1:50">
      <c r="A1300" s="32"/>
      <c r="B1300" s="36"/>
      <c r="C1300" s="91" t="s">
        <v>1105</v>
      </c>
      <c r="D1300" s="69" t="s">
        <v>25</v>
      </c>
      <c r="E1300" s="129" t="s">
        <v>1349</v>
      </c>
      <c r="F1300" s="129" t="s">
        <v>1349</v>
      </c>
      <c r="G1300" s="129" t="s">
        <v>1349</v>
      </c>
      <c r="H1300" s="129" t="s">
        <v>1349</v>
      </c>
      <c r="I1300" s="71">
        <v>0.9</v>
      </c>
      <c r="J1300" s="72">
        <v>0.92</v>
      </c>
      <c r="K1300" s="72">
        <v>0.886792452830189</v>
      </c>
      <c r="L1300" s="73">
        <v>0.927272727272727</v>
      </c>
      <c r="M1300" s="72">
        <v>0.916492693110647</v>
      </c>
      <c r="N1300" s="74">
        <v>0.9</v>
      </c>
      <c r="O1300" s="72">
        <v>0.989736572015053</v>
      </c>
      <c r="P1300" s="72">
        <v>0.99120556980579</v>
      </c>
      <c r="Q1300" s="72">
        <v>0.989326014028667</v>
      </c>
      <c r="R1300" s="72">
        <v>0.977692751949177</v>
      </c>
      <c r="S1300" s="74">
        <v>0.9</v>
      </c>
      <c r="T1300" s="72">
        <v>0.941498460485802</v>
      </c>
      <c r="U1300" s="72">
        <v>0.935507511909124</v>
      </c>
      <c r="V1300" s="72">
        <v>0.959438853308936</v>
      </c>
      <c r="W1300" s="72">
        <v>0.949537972855905</v>
      </c>
      <c r="X1300" s="74">
        <v>0.92</v>
      </c>
      <c r="Y1300" s="74">
        <v>0.943425076452599</v>
      </c>
      <c r="Z1300" s="74">
        <v>0.942019543973941</v>
      </c>
      <c r="AA1300" s="74">
        <v>0.97024504084014</v>
      </c>
      <c r="AB1300" s="74">
        <v>0.960293104528089</v>
      </c>
      <c r="AC1300" s="74">
        <v>0.92</v>
      </c>
      <c r="AD1300" s="72">
        <v>0.998538011695906</v>
      </c>
      <c r="AE1300" s="72">
        <v>0.986143187066975</v>
      </c>
      <c r="AF1300" s="72">
        <v>0.987987987987988</v>
      </c>
      <c r="AG1300" s="72">
        <v>0.990955041234371</v>
      </c>
      <c r="AH1300" s="74">
        <v>0.92</v>
      </c>
      <c r="AI1300" s="72">
        <v>0.966427840327533</v>
      </c>
      <c r="AJ1300" s="72">
        <v>0.970457209847597</v>
      </c>
      <c r="AK1300" s="72">
        <v>0.981181181181181</v>
      </c>
      <c r="AL1300" s="72">
        <v>0.977036494344979</v>
      </c>
      <c r="AM1300" s="71">
        <v>0.99</v>
      </c>
      <c r="AN1300" s="76">
        <v>1</v>
      </c>
      <c r="AO1300" s="76">
        <v>1</v>
      </c>
      <c r="AP1300" s="76">
        <v>1</v>
      </c>
      <c r="AQ1300" s="76">
        <v>1</v>
      </c>
      <c r="AR1300" s="96">
        <v>0.0721861525408278</v>
      </c>
      <c r="AS1300" s="80">
        <v>0</v>
      </c>
      <c r="AT1300" s="80">
        <v>0</v>
      </c>
      <c r="AU1300" s="80">
        <v>0.125</v>
      </c>
      <c r="AV1300" s="80">
        <v>0.0843373493975904</v>
      </c>
      <c r="AW1300" s="36"/>
      <c r="AX1300" s="34"/>
    </row>
    <row r="1301" ht="14.5" spans="1:50">
      <c r="A1301" s="32"/>
      <c r="B1301" s="36"/>
      <c r="C1301" s="91" t="s">
        <v>1105</v>
      </c>
      <c r="D1301" s="69" t="s">
        <v>25</v>
      </c>
      <c r="E1301" s="129" t="s">
        <v>1350</v>
      </c>
      <c r="F1301" s="129" t="s">
        <v>1350</v>
      </c>
      <c r="G1301" s="129" t="s">
        <v>1350</v>
      </c>
      <c r="H1301" s="129" t="s">
        <v>1350</v>
      </c>
      <c r="I1301" s="71">
        <v>0.9</v>
      </c>
      <c r="J1301" s="72">
        <v>1</v>
      </c>
      <c r="K1301" s="72">
        <v>0.947368421052632</v>
      </c>
      <c r="L1301" s="73">
        <v>1</v>
      </c>
      <c r="M1301" s="72">
        <v>0.936170212765957</v>
      </c>
      <c r="N1301" s="74">
        <v>0.9</v>
      </c>
      <c r="O1301" s="72">
        <v>0.991029023746702</v>
      </c>
      <c r="P1301" s="72">
        <v>0.994456762749446</v>
      </c>
      <c r="Q1301" s="72">
        <v>0.990954319312528</v>
      </c>
      <c r="R1301" s="72">
        <v>0.988527829619058</v>
      </c>
      <c r="S1301" s="74">
        <v>0.9</v>
      </c>
      <c r="T1301" s="72">
        <v>0.959366754617414</v>
      </c>
      <c r="U1301" s="72">
        <v>0.973392461197339</v>
      </c>
      <c r="V1301" s="72">
        <v>0.977838082315694</v>
      </c>
      <c r="W1301" s="72">
        <v>0.970139422549127</v>
      </c>
      <c r="X1301" s="74">
        <v>0.92</v>
      </c>
      <c r="Y1301" s="74">
        <v>0.950074515648286</v>
      </c>
      <c r="Z1301" s="74">
        <v>0.974515800203874</v>
      </c>
      <c r="AA1301" s="74">
        <v>0.976336546888694</v>
      </c>
      <c r="AB1301" s="74">
        <v>0.961568859909109</v>
      </c>
      <c r="AC1301" s="74">
        <v>0.92</v>
      </c>
      <c r="AD1301" s="72">
        <v>1</v>
      </c>
      <c r="AE1301" s="72">
        <v>0.99645390070922</v>
      </c>
      <c r="AF1301" s="72">
        <v>0.995391705069124</v>
      </c>
      <c r="AG1301" s="72">
        <v>0.996673873274572</v>
      </c>
      <c r="AH1301" s="74">
        <v>0.92</v>
      </c>
      <c r="AI1301" s="72">
        <v>0.970033982082175</v>
      </c>
      <c r="AJ1301" s="72">
        <v>0.985278276481149</v>
      </c>
      <c r="AK1301" s="72">
        <v>0.988372093023256</v>
      </c>
      <c r="AL1301" s="72">
        <v>0.981864370898313</v>
      </c>
      <c r="AM1301" s="71">
        <v>0.99</v>
      </c>
      <c r="AN1301" s="76">
        <v>1</v>
      </c>
      <c r="AO1301" s="76">
        <v>1</v>
      </c>
      <c r="AP1301" s="76">
        <v>1</v>
      </c>
      <c r="AQ1301" s="76">
        <v>1</v>
      </c>
      <c r="AR1301" s="96">
        <v>0.0721861525408278</v>
      </c>
      <c r="AS1301" s="80">
        <v>0</v>
      </c>
      <c r="AT1301" s="80">
        <v>0</v>
      </c>
      <c r="AU1301" s="80">
        <v>0</v>
      </c>
      <c r="AV1301" s="80">
        <v>0.0289855072463768</v>
      </c>
      <c r="AW1301" s="36"/>
      <c r="AX1301" s="34"/>
    </row>
    <row r="1302" ht="14.5" spans="1:50">
      <c r="A1302" s="32"/>
      <c r="B1302" s="36"/>
      <c r="C1302" s="91" t="s">
        <v>1105</v>
      </c>
      <c r="D1302" s="69" t="s">
        <v>25</v>
      </c>
      <c r="E1302" s="129" t="s">
        <v>1351</v>
      </c>
      <c r="F1302" s="129" t="s">
        <v>1351</v>
      </c>
      <c r="G1302" s="129" t="s">
        <v>1351</v>
      </c>
      <c r="H1302" s="129" t="s">
        <v>1351</v>
      </c>
      <c r="I1302" s="71">
        <v>0.9</v>
      </c>
      <c r="J1302" s="72">
        <v>0.934782608695652</v>
      </c>
      <c r="K1302" s="72">
        <v>0.963636363636364</v>
      </c>
      <c r="L1302" s="73">
        <v>1</v>
      </c>
      <c r="M1302" s="72">
        <v>0.968287526427061</v>
      </c>
      <c r="N1302" s="74">
        <v>0.9</v>
      </c>
      <c r="O1302" s="72">
        <v>0.987135922330097</v>
      </c>
      <c r="P1302" s="72">
        <v>0.991471215351812</v>
      </c>
      <c r="Q1302" s="72">
        <v>0.97544080604534</v>
      </c>
      <c r="R1302" s="72">
        <v>0.98869915865983</v>
      </c>
      <c r="S1302" s="74">
        <v>0.9</v>
      </c>
      <c r="T1302" s="72">
        <v>0.854854368932039</v>
      </c>
      <c r="U1302" s="72">
        <v>0.86377635631367</v>
      </c>
      <c r="V1302" s="72">
        <v>0.853484466834593</v>
      </c>
      <c r="W1302" s="72">
        <v>0.876661522377657</v>
      </c>
      <c r="X1302" s="74">
        <v>0.92</v>
      </c>
      <c r="Y1302" s="74">
        <v>0</v>
      </c>
      <c r="Z1302" s="74">
        <v>0</v>
      </c>
      <c r="AA1302" s="74">
        <v>0</v>
      </c>
      <c r="AB1302" s="74">
        <v>0</v>
      </c>
      <c r="AC1302" s="74">
        <v>0.92</v>
      </c>
      <c r="AD1302" s="72">
        <v>1</v>
      </c>
      <c r="AE1302" s="72">
        <v>0.993399339933993</v>
      </c>
      <c r="AF1302" s="72">
        <v>0.994791666666667</v>
      </c>
      <c r="AG1302" s="72">
        <v>0.995826086956522</v>
      </c>
      <c r="AH1302" s="74">
        <v>0.92</v>
      </c>
      <c r="AI1302" s="72">
        <v>0.945158942004368</v>
      </c>
      <c r="AJ1302" s="72">
        <v>0.961146647713812</v>
      </c>
      <c r="AK1302" s="72">
        <v>0.946893366918556</v>
      </c>
      <c r="AL1302" s="72">
        <v>0.963161169881767</v>
      </c>
      <c r="AM1302" s="71">
        <v>0.99</v>
      </c>
      <c r="AN1302" s="76">
        <v>1</v>
      </c>
      <c r="AO1302" s="76">
        <v>1</v>
      </c>
      <c r="AP1302" s="76">
        <v>1</v>
      </c>
      <c r="AQ1302" s="76">
        <v>1</v>
      </c>
      <c r="AR1302" s="96">
        <v>0.0721861525408278</v>
      </c>
      <c r="AS1302" s="80">
        <v>0</v>
      </c>
      <c r="AT1302" s="80">
        <v>0</v>
      </c>
      <c r="AU1302" s="80">
        <v>0</v>
      </c>
      <c r="AV1302" s="80">
        <v>0.0222222222222222</v>
      </c>
      <c r="AW1302" s="36"/>
      <c r="AX1302" s="34"/>
    </row>
    <row r="1303" ht="14.5" spans="1:50">
      <c r="A1303" s="32"/>
      <c r="B1303" s="36"/>
      <c r="C1303" s="91" t="s">
        <v>1105</v>
      </c>
      <c r="D1303" s="69" t="s">
        <v>25</v>
      </c>
      <c r="E1303" s="129" t="s">
        <v>1352</v>
      </c>
      <c r="F1303" s="129" t="s">
        <v>1352</v>
      </c>
      <c r="G1303" s="129" t="s">
        <v>1352</v>
      </c>
      <c r="H1303" s="129" t="s">
        <v>1352</v>
      </c>
      <c r="I1303" s="71">
        <v>0.9</v>
      </c>
      <c r="J1303" s="72">
        <v>0</v>
      </c>
      <c r="K1303" s="72">
        <v>0</v>
      </c>
      <c r="L1303" s="73">
        <v>0</v>
      </c>
      <c r="M1303" s="72">
        <v>0</v>
      </c>
      <c r="N1303" s="74">
        <v>0.9</v>
      </c>
      <c r="O1303" s="72">
        <v>0</v>
      </c>
      <c r="P1303" s="72">
        <v>0</v>
      </c>
      <c r="Q1303" s="72">
        <v>0</v>
      </c>
      <c r="R1303" s="72">
        <v>0</v>
      </c>
      <c r="S1303" s="74">
        <v>0.9</v>
      </c>
      <c r="T1303" s="72">
        <v>0</v>
      </c>
      <c r="U1303" s="72">
        <v>0</v>
      </c>
      <c r="V1303" s="72">
        <v>0</v>
      </c>
      <c r="W1303" s="72">
        <v>0</v>
      </c>
      <c r="X1303" s="74">
        <v>0.92</v>
      </c>
      <c r="Y1303" s="74">
        <v>0</v>
      </c>
      <c r="Z1303" s="74">
        <v>0</v>
      </c>
      <c r="AA1303" s="74">
        <v>0</v>
      </c>
      <c r="AB1303" s="74">
        <v>0</v>
      </c>
      <c r="AC1303" s="74">
        <v>0.92</v>
      </c>
      <c r="AD1303" s="72">
        <v>0.949152542372881</v>
      </c>
      <c r="AE1303" s="72">
        <v>0.98719590268886</v>
      </c>
      <c r="AF1303" s="72">
        <v>0.995508982035928</v>
      </c>
      <c r="AG1303" s="72">
        <v>0.992818671454219</v>
      </c>
      <c r="AH1303" s="74">
        <v>0.92</v>
      </c>
      <c r="AI1303" s="72">
        <v>0</v>
      </c>
      <c r="AJ1303" s="72">
        <v>0</v>
      </c>
      <c r="AK1303" s="72">
        <v>0</v>
      </c>
      <c r="AL1303" s="72">
        <v>0</v>
      </c>
      <c r="AM1303" s="71">
        <v>0.99</v>
      </c>
      <c r="AN1303" s="76">
        <v>1</v>
      </c>
      <c r="AO1303" s="76">
        <v>1</v>
      </c>
      <c r="AP1303" s="76">
        <v>1</v>
      </c>
      <c r="AQ1303" s="76">
        <v>1</v>
      </c>
      <c r="AR1303" s="96">
        <v>0.0721861525408278</v>
      </c>
      <c r="AS1303" s="80">
        <v>0</v>
      </c>
      <c r="AT1303" s="80">
        <v>0</v>
      </c>
      <c r="AU1303" s="80">
        <v>0</v>
      </c>
      <c r="AV1303" s="80">
        <v>0</v>
      </c>
      <c r="AW1303" s="36"/>
      <c r="AX1303" s="34"/>
    </row>
    <row r="1304" ht="14.5" spans="1:50">
      <c r="A1304" s="32"/>
      <c r="B1304" s="36"/>
      <c r="C1304" s="91" t="s">
        <v>1105</v>
      </c>
      <c r="D1304" s="69" t="s">
        <v>25</v>
      </c>
      <c r="E1304" s="129" t="s">
        <v>1353</v>
      </c>
      <c r="F1304" s="129" t="s">
        <v>1353</v>
      </c>
      <c r="G1304" s="129" t="s">
        <v>1353</v>
      </c>
      <c r="H1304" s="129" t="s">
        <v>1353</v>
      </c>
      <c r="I1304" s="71">
        <v>0.9</v>
      </c>
      <c r="J1304" s="72">
        <v>1</v>
      </c>
      <c r="K1304" s="72">
        <v>0.925925925925926</v>
      </c>
      <c r="L1304" s="73">
        <v>1</v>
      </c>
      <c r="M1304" s="72">
        <v>0.956331877729258</v>
      </c>
      <c r="N1304" s="74">
        <v>0.9</v>
      </c>
      <c r="O1304" s="72">
        <v>0.995141700404858</v>
      </c>
      <c r="P1304" s="72">
        <v>0.997560975609756</v>
      </c>
      <c r="Q1304" s="72">
        <v>0.987491313412092</v>
      </c>
      <c r="R1304" s="72">
        <v>0.991897200851203</v>
      </c>
      <c r="S1304" s="74">
        <v>0.9</v>
      </c>
      <c r="T1304" s="72">
        <v>0.956275303643725</v>
      </c>
      <c r="U1304" s="72">
        <v>0.969918699186992</v>
      </c>
      <c r="V1304" s="72">
        <v>0.971507991660876</v>
      </c>
      <c r="W1304" s="72">
        <v>0.965951874283844</v>
      </c>
      <c r="X1304" s="74">
        <v>0.92</v>
      </c>
      <c r="Y1304" s="74">
        <v>0.970873786407767</v>
      </c>
      <c r="Z1304" s="74">
        <v>0.954887218045113</v>
      </c>
      <c r="AA1304" s="74">
        <v>0.970886075949367</v>
      </c>
      <c r="AB1304" s="74">
        <v>0.965860805860806</v>
      </c>
      <c r="AC1304" s="74">
        <v>0.92</v>
      </c>
      <c r="AD1304" s="72">
        <v>0.996515679442509</v>
      </c>
      <c r="AE1304" s="72">
        <v>0.961538461538462</v>
      </c>
      <c r="AF1304" s="72">
        <v>1</v>
      </c>
      <c r="AG1304" s="72">
        <v>0.986792452830189</v>
      </c>
      <c r="AH1304" s="74">
        <v>0.92</v>
      </c>
      <c r="AI1304" s="72">
        <v>0.979116075764934</v>
      </c>
      <c r="AJ1304" s="72">
        <v>0.977308707124011</v>
      </c>
      <c r="AK1304" s="72">
        <v>0.982503364737551</v>
      </c>
      <c r="AL1304" s="72">
        <v>0.980782357574166</v>
      </c>
      <c r="AM1304" s="71">
        <v>0.99</v>
      </c>
      <c r="AN1304" s="76">
        <v>1</v>
      </c>
      <c r="AO1304" s="76">
        <v>1</v>
      </c>
      <c r="AP1304" s="76">
        <v>1</v>
      </c>
      <c r="AQ1304" s="76">
        <v>1</v>
      </c>
      <c r="AR1304" s="96">
        <v>0.0721861525408278</v>
      </c>
      <c r="AS1304" s="80">
        <v>0</v>
      </c>
      <c r="AT1304" s="80">
        <v>0.25</v>
      </c>
      <c r="AU1304" s="80">
        <v>0.25</v>
      </c>
      <c r="AV1304" s="80">
        <v>0.103448275862069</v>
      </c>
      <c r="AW1304" s="36"/>
      <c r="AX1304" s="34"/>
    </row>
    <row r="1305" ht="14.5" spans="1:50">
      <c r="A1305" s="32"/>
      <c r="B1305" s="36"/>
      <c r="C1305" s="91" t="s">
        <v>1105</v>
      </c>
      <c r="D1305" s="69" t="s">
        <v>25</v>
      </c>
      <c r="E1305" s="129" t="s">
        <v>1354</v>
      </c>
      <c r="F1305" s="129" t="s">
        <v>1354</v>
      </c>
      <c r="G1305" s="129" t="s">
        <v>1354</v>
      </c>
      <c r="H1305" s="129" t="s">
        <v>1354</v>
      </c>
      <c r="I1305" s="71">
        <v>0.9</v>
      </c>
      <c r="J1305" s="72">
        <v>0.872727272727273</v>
      </c>
      <c r="K1305" s="72">
        <v>0.882352941176471</v>
      </c>
      <c r="L1305" s="73">
        <v>0.964285714285714</v>
      </c>
      <c r="M1305" s="72">
        <v>0.925619834710744</v>
      </c>
      <c r="N1305" s="74">
        <v>0.9</v>
      </c>
      <c r="O1305" s="72">
        <v>0.986731986119616</v>
      </c>
      <c r="P1305" s="72">
        <v>0.96895922093731</v>
      </c>
      <c r="Q1305" s="72">
        <v>0.985773118682142</v>
      </c>
      <c r="R1305" s="72">
        <v>0.977404983693219</v>
      </c>
      <c r="S1305" s="74">
        <v>0.9</v>
      </c>
      <c r="T1305" s="72">
        <v>0.934476423759951</v>
      </c>
      <c r="U1305" s="72">
        <v>0.849462365591398</v>
      </c>
      <c r="V1305" s="72">
        <v>0.925121677274429</v>
      </c>
      <c r="W1305" s="72">
        <v>0.896190821307527</v>
      </c>
      <c r="X1305" s="74">
        <v>0.92</v>
      </c>
      <c r="Y1305" s="74">
        <v>0</v>
      </c>
      <c r="Z1305" s="74">
        <v>0</v>
      </c>
      <c r="AA1305" s="74">
        <v>0</v>
      </c>
      <c r="AB1305" s="74">
        <v>0</v>
      </c>
      <c r="AC1305" s="74">
        <v>0.92</v>
      </c>
      <c r="AD1305" s="72">
        <v>0.994720168954593</v>
      </c>
      <c r="AE1305" s="72">
        <v>0.990140845070423</v>
      </c>
      <c r="AF1305" s="72">
        <v>0.987204724409449</v>
      </c>
      <c r="AG1305" s="72">
        <v>0.993738711619506</v>
      </c>
      <c r="AH1305" s="74">
        <v>0.92</v>
      </c>
      <c r="AI1305" s="72">
        <v>0.971218616044091</v>
      </c>
      <c r="AJ1305" s="72">
        <v>0.97585717184013</v>
      </c>
      <c r="AK1305" s="72">
        <v>0.986709097716211</v>
      </c>
      <c r="AL1305" s="72">
        <v>0.982712680920001</v>
      </c>
      <c r="AM1305" s="71">
        <v>0.99</v>
      </c>
      <c r="AN1305" s="76">
        <v>1</v>
      </c>
      <c r="AO1305" s="76">
        <v>1</v>
      </c>
      <c r="AP1305" s="76">
        <v>1</v>
      </c>
      <c r="AQ1305" s="76">
        <v>1</v>
      </c>
      <c r="AR1305" s="96">
        <v>0.0721861525408278</v>
      </c>
      <c r="AS1305" s="80">
        <v>0</v>
      </c>
      <c r="AT1305" s="80">
        <v>0.0588235294117647</v>
      </c>
      <c r="AU1305" s="80">
        <v>0.04</v>
      </c>
      <c r="AV1305" s="80">
        <v>0.0280898876404494</v>
      </c>
      <c r="AW1305" s="36"/>
      <c r="AX1305" s="34"/>
    </row>
    <row r="1306" ht="14.5" spans="1:50">
      <c r="A1306" s="32"/>
      <c r="B1306" s="36"/>
      <c r="C1306" s="91" t="s">
        <v>1105</v>
      </c>
      <c r="D1306" s="69" t="s">
        <v>25</v>
      </c>
      <c r="E1306" s="129" t="s">
        <v>1355</v>
      </c>
      <c r="F1306" s="129" t="s">
        <v>1355</v>
      </c>
      <c r="G1306" s="129" t="s">
        <v>1355</v>
      </c>
      <c r="H1306" s="129" t="s">
        <v>1355</v>
      </c>
      <c r="I1306" s="71">
        <v>0.9</v>
      </c>
      <c r="J1306" s="72">
        <v>0.911111111111111</v>
      </c>
      <c r="K1306" s="72">
        <v>0.931818181818182</v>
      </c>
      <c r="L1306" s="73">
        <v>0.955555555555556</v>
      </c>
      <c r="M1306" s="72">
        <v>0.910891089108911</v>
      </c>
      <c r="N1306" s="74">
        <v>0.9</v>
      </c>
      <c r="O1306" s="72">
        <v>0.990697674418605</v>
      </c>
      <c r="P1306" s="72">
        <v>0.988561107766406</v>
      </c>
      <c r="Q1306" s="72">
        <v>0.986339559520491</v>
      </c>
      <c r="R1306" s="72">
        <v>0.988721324046265</v>
      </c>
      <c r="S1306" s="74">
        <v>0.9</v>
      </c>
      <c r="T1306" s="72">
        <v>0.942325581395349</v>
      </c>
      <c r="U1306" s="72">
        <v>0.934376881396749</v>
      </c>
      <c r="V1306" s="72">
        <v>0.945637022581544</v>
      </c>
      <c r="W1306" s="72">
        <v>0.939357147421561</v>
      </c>
      <c r="X1306" s="74">
        <v>0.92</v>
      </c>
      <c r="Y1306" s="74">
        <v>0</v>
      </c>
      <c r="Z1306" s="74">
        <v>0</v>
      </c>
      <c r="AA1306" s="74">
        <v>0</v>
      </c>
      <c r="AB1306" s="74">
        <v>0</v>
      </c>
      <c r="AC1306" s="74">
        <v>0.92</v>
      </c>
      <c r="AD1306" s="72">
        <v>1</v>
      </c>
      <c r="AE1306" s="72">
        <v>0.997647058823529</v>
      </c>
      <c r="AF1306" s="72">
        <v>0.99740932642487</v>
      </c>
      <c r="AG1306" s="72">
        <v>0.992621222768798</v>
      </c>
      <c r="AH1306" s="74">
        <v>0.92</v>
      </c>
      <c r="AI1306" s="72">
        <v>0.965282083075016</v>
      </c>
      <c r="AJ1306" s="72">
        <v>0.969596628537026</v>
      </c>
      <c r="AK1306" s="72">
        <v>0.970448843044327</v>
      </c>
      <c r="AL1306" s="72">
        <v>0.974120578932234</v>
      </c>
      <c r="AM1306" s="71">
        <v>0.99</v>
      </c>
      <c r="AN1306" s="76">
        <v>1</v>
      </c>
      <c r="AO1306" s="76">
        <v>1</v>
      </c>
      <c r="AP1306" s="76">
        <v>1</v>
      </c>
      <c r="AQ1306" s="76">
        <v>1</v>
      </c>
      <c r="AR1306" s="96">
        <v>0.0721861525408278</v>
      </c>
      <c r="AS1306" s="80">
        <v>0.0714285714285714</v>
      </c>
      <c r="AT1306" s="80">
        <v>0.0833333333333333</v>
      </c>
      <c r="AU1306" s="80">
        <v>0</v>
      </c>
      <c r="AV1306" s="80">
        <v>0.0348837209302326</v>
      </c>
      <c r="AW1306" s="36"/>
      <c r="AX1306" s="34"/>
    </row>
    <row r="1307" ht="14.5" spans="1:50">
      <c r="A1307" s="32"/>
      <c r="B1307" s="36"/>
      <c r="C1307" s="91" t="s">
        <v>1105</v>
      </c>
      <c r="D1307" s="69" t="s">
        <v>25</v>
      </c>
      <c r="E1307" s="129" t="s">
        <v>1356</v>
      </c>
      <c r="F1307" s="129" t="s">
        <v>1356</v>
      </c>
      <c r="G1307" s="129" t="s">
        <v>1356</v>
      </c>
      <c r="H1307" s="129" t="s">
        <v>1356</v>
      </c>
      <c r="I1307" s="71">
        <v>0.9</v>
      </c>
      <c r="J1307" s="72">
        <v>0.941176470588235</v>
      </c>
      <c r="K1307" s="72">
        <v>1</v>
      </c>
      <c r="L1307" s="73">
        <v>0.972972972972973</v>
      </c>
      <c r="M1307" s="72">
        <v>0.957792207792208</v>
      </c>
      <c r="N1307" s="74">
        <v>0.9</v>
      </c>
      <c r="O1307" s="72">
        <v>0.981409001956947</v>
      </c>
      <c r="P1307" s="72">
        <v>0.981268882175227</v>
      </c>
      <c r="Q1307" s="72">
        <v>0.977714285714286</v>
      </c>
      <c r="R1307" s="72">
        <v>0.979752756431674</v>
      </c>
      <c r="S1307" s="74">
        <v>0.9</v>
      </c>
      <c r="T1307" s="72">
        <v>0.970645792563601</v>
      </c>
      <c r="U1307" s="72">
        <v>0.945619335347432</v>
      </c>
      <c r="V1307" s="72">
        <v>0.977428571428571</v>
      </c>
      <c r="W1307" s="72">
        <v>0.962913464751086</v>
      </c>
      <c r="X1307" s="74">
        <v>0.92</v>
      </c>
      <c r="Y1307" s="74">
        <v>0</v>
      </c>
      <c r="Z1307" s="74">
        <v>0</v>
      </c>
      <c r="AA1307" s="74">
        <v>0</v>
      </c>
      <c r="AB1307" s="74">
        <v>0</v>
      </c>
      <c r="AC1307" s="74">
        <v>0.92</v>
      </c>
      <c r="AD1307" s="72">
        <v>1</v>
      </c>
      <c r="AE1307" s="72">
        <v>1</v>
      </c>
      <c r="AF1307" s="72">
        <v>0.995824634655532</v>
      </c>
      <c r="AG1307" s="72">
        <v>0.987040037028466</v>
      </c>
      <c r="AH1307" s="74">
        <v>0.92</v>
      </c>
      <c r="AI1307" s="72">
        <v>0.983692106979778</v>
      </c>
      <c r="AJ1307" s="72">
        <v>0.975226586102719</v>
      </c>
      <c r="AK1307" s="72">
        <v>0.987714285714286</v>
      </c>
      <c r="AL1307" s="72">
        <v>0.984831272970264</v>
      </c>
      <c r="AM1307" s="71">
        <v>0.99</v>
      </c>
      <c r="AN1307" s="76">
        <v>1</v>
      </c>
      <c r="AO1307" s="76">
        <v>1</v>
      </c>
      <c r="AP1307" s="76">
        <v>1</v>
      </c>
      <c r="AQ1307" s="76">
        <v>1</v>
      </c>
      <c r="AR1307" s="96">
        <v>0.0721861525408278</v>
      </c>
      <c r="AS1307" s="80">
        <v>0</v>
      </c>
      <c r="AT1307" s="80">
        <v>0</v>
      </c>
      <c r="AU1307" s="80">
        <v>0.0833333333333333</v>
      </c>
      <c r="AV1307" s="80">
        <v>0.0769230769230769</v>
      </c>
      <c r="AW1307" s="36"/>
      <c r="AX1307" s="34"/>
    </row>
    <row r="1308" ht="14.5" spans="1:50">
      <c r="A1308" s="32"/>
      <c r="B1308" s="36"/>
      <c r="C1308" s="91" t="s">
        <v>1105</v>
      </c>
      <c r="D1308" s="69" t="s">
        <v>25</v>
      </c>
      <c r="E1308" s="129" t="s">
        <v>1357</v>
      </c>
      <c r="F1308" s="129" t="s">
        <v>1357</v>
      </c>
      <c r="G1308" s="129" t="s">
        <v>1357</v>
      </c>
      <c r="H1308" s="129" t="s">
        <v>1357</v>
      </c>
      <c r="I1308" s="71">
        <v>0.9</v>
      </c>
      <c r="J1308" s="72">
        <v>1</v>
      </c>
      <c r="K1308" s="72">
        <v>0.923076923076923</v>
      </c>
      <c r="L1308" s="73">
        <v>0.96</v>
      </c>
      <c r="M1308" s="72">
        <v>0.960698689956332</v>
      </c>
      <c r="N1308" s="74">
        <v>0.9</v>
      </c>
      <c r="O1308" s="72">
        <v>0.988157894736842</v>
      </c>
      <c r="P1308" s="72">
        <v>0.960270498732037</v>
      </c>
      <c r="Q1308" s="72">
        <v>0.98715953307393</v>
      </c>
      <c r="R1308" s="72">
        <v>0.98501957927329</v>
      </c>
      <c r="S1308" s="74">
        <v>0.9</v>
      </c>
      <c r="T1308" s="72">
        <v>0.911842105263158</v>
      </c>
      <c r="U1308" s="72">
        <v>0.868131868131868</v>
      </c>
      <c r="V1308" s="72">
        <v>0.924124513618677</v>
      </c>
      <c r="W1308" s="72">
        <v>0.909161278572079</v>
      </c>
      <c r="X1308" s="74">
        <v>0.92</v>
      </c>
      <c r="Y1308" s="74">
        <v>0</v>
      </c>
      <c r="Z1308" s="74">
        <v>0</v>
      </c>
      <c r="AA1308" s="74">
        <v>0</v>
      </c>
      <c r="AB1308" s="74">
        <v>0</v>
      </c>
      <c r="AC1308" s="74">
        <v>0.92</v>
      </c>
      <c r="AD1308" s="72">
        <v>0.994011976047904</v>
      </c>
      <c r="AE1308" s="72">
        <v>1</v>
      </c>
      <c r="AF1308" s="72">
        <v>0.995918367346939</v>
      </c>
      <c r="AG1308" s="72">
        <v>0.990503323836657</v>
      </c>
      <c r="AH1308" s="74">
        <v>0.92</v>
      </c>
      <c r="AI1308" s="72">
        <v>0.957894736842105</v>
      </c>
      <c r="AJ1308" s="72">
        <v>0.949704142011834</v>
      </c>
      <c r="AK1308" s="72">
        <v>0.973151750972763</v>
      </c>
      <c r="AL1308" s="72">
        <v>0.969857025771788</v>
      </c>
      <c r="AM1308" s="71">
        <v>0.99</v>
      </c>
      <c r="AN1308" s="76">
        <v>1</v>
      </c>
      <c r="AO1308" s="76">
        <v>1</v>
      </c>
      <c r="AP1308" s="76">
        <v>1</v>
      </c>
      <c r="AQ1308" s="76">
        <v>1</v>
      </c>
      <c r="AR1308" s="96">
        <v>0.0721861525408278</v>
      </c>
      <c r="AS1308" s="80">
        <v>0</v>
      </c>
      <c r="AT1308" s="80">
        <v>0</v>
      </c>
      <c r="AU1308" s="80">
        <v>0</v>
      </c>
      <c r="AV1308" s="80">
        <v>0.0434782608695652</v>
      </c>
      <c r="AW1308" s="36"/>
      <c r="AX1308" s="34"/>
    </row>
    <row r="1309" ht="14.5" spans="1:50">
      <c r="A1309" s="32"/>
      <c r="B1309" s="36"/>
      <c r="C1309" s="91" t="s">
        <v>1105</v>
      </c>
      <c r="D1309" s="69" t="s">
        <v>25</v>
      </c>
      <c r="E1309" s="129" t="s">
        <v>1358</v>
      </c>
      <c r="F1309" s="129" t="s">
        <v>1358</v>
      </c>
      <c r="G1309" s="129" t="s">
        <v>1358</v>
      </c>
      <c r="H1309" s="129" t="s">
        <v>1358</v>
      </c>
      <c r="I1309" s="71">
        <v>0.9</v>
      </c>
      <c r="J1309" s="72">
        <v>0.948717948717949</v>
      </c>
      <c r="K1309" s="72">
        <v>0.926829268292683</v>
      </c>
      <c r="L1309" s="73">
        <v>1</v>
      </c>
      <c r="M1309" s="72">
        <v>0.949602122015915</v>
      </c>
      <c r="N1309" s="74">
        <v>0.9</v>
      </c>
      <c r="O1309" s="72">
        <v>0.941062176165803</v>
      </c>
      <c r="P1309" s="72">
        <v>0.974334295797241</v>
      </c>
      <c r="Q1309" s="72">
        <v>0.965436438195665</v>
      </c>
      <c r="R1309" s="72">
        <v>0.961235038084875</v>
      </c>
      <c r="S1309" s="74">
        <v>0.9</v>
      </c>
      <c r="T1309" s="72">
        <v>0.942033678756477</v>
      </c>
      <c r="U1309" s="72">
        <v>0.936477382098171</v>
      </c>
      <c r="V1309" s="72">
        <v>0.967486818980668</v>
      </c>
      <c r="W1309" s="72">
        <v>0.942770674646355</v>
      </c>
      <c r="X1309" s="74">
        <v>0.92</v>
      </c>
      <c r="Y1309" s="74">
        <v>0</v>
      </c>
      <c r="Z1309" s="74">
        <v>0</v>
      </c>
      <c r="AA1309" s="74">
        <v>0</v>
      </c>
      <c r="AB1309" s="74">
        <v>0</v>
      </c>
      <c r="AC1309" s="74">
        <v>0.92</v>
      </c>
      <c r="AD1309" s="72">
        <v>1</v>
      </c>
      <c r="AE1309" s="72">
        <v>0.997101449275362</v>
      </c>
      <c r="AF1309" s="72">
        <v>1</v>
      </c>
      <c r="AG1309" s="72">
        <v>0.99380704041721</v>
      </c>
      <c r="AH1309" s="74">
        <v>0.92</v>
      </c>
      <c r="AI1309" s="72">
        <v>0.963730569948187</v>
      </c>
      <c r="AJ1309" s="72">
        <v>0.976580044914982</v>
      </c>
      <c r="AK1309" s="72">
        <v>0.978617457527827</v>
      </c>
      <c r="AL1309" s="72">
        <v>0.974870783460283</v>
      </c>
      <c r="AM1309" s="71">
        <v>0.99</v>
      </c>
      <c r="AN1309" s="76">
        <v>1</v>
      </c>
      <c r="AO1309" s="76">
        <v>1</v>
      </c>
      <c r="AP1309" s="76">
        <v>1</v>
      </c>
      <c r="AQ1309" s="76">
        <v>1</v>
      </c>
      <c r="AR1309" s="96">
        <v>0.0721861525408278</v>
      </c>
      <c r="AS1309" s="80">
        <v>0.166666666666667</v>
      </c>
      <c r="AT1309" s="80">
        <v>0</v>
      </c>
      <c r="AU1309" s="80">
        <v>0</v>
      </c>
      <c r="AV1309" s="80">
        <v>0.078125</v>
      </c>
      <c r="AW1309" s="36"/>
      <c r="AX1309" s="34"/>
    </row>
    <row r="1310" ht="14.5" spans="1:50">
      <c r="A1310" s="32"/>
      <c r="B1310" s="36"/>
      <c r="C1310" s="91" t="s">
        <v>1105</v>
      </c>
      <c r="D1310" s="69" t="s">
        <v>25</v>
      </c>
      <c r="E1310" s="129" t="s">
        <v>1359</v>
      </c>
      <c r="F1310" s="129" t="s">
        <v>1359</v>
      </c>
      <c r="G1310" s="129" t="s">
        <v>1359</v>
      </c>
      <c r="H1310" s="129" t="s">
        <v>1359</v>
      </c>
      <c r="I1310" s="71">
        <v>0.9</v>
      </c>
      <c r="J1310" s="72">
        <v>0.954545454545455</v>
      </c>
      <c r="K1310" s="72">
        <v>0.958333333333333</v>
      </c>
      <c r="L1310" s="73">
        <v>0.791666666666667</v>
      </c>
      <c r="M1310" s="72">
        <v>0.927884615384615</v>
      </c>
      <c r="N1310" s="74">
        <v>0.9</v>
      </c>
      <c r="O1310" s="72">
        <v>0.946726572528883</v>
      </c>
      <c r="P1310" s="72">
        <v>0.989215098861594</v>
      </c>
      <c r="Q1310" s="72">
        <v>0.979580260918888</v>
      </c>
      <c r="R1310" s="72">
        <v>0.977340337996076</v>
      </c>
      <c r="S1310" s="74">
        <v>0.9</v>
      </c>
      <c r="T1310" s="72">
        <v>0.906290115532734</v>
      </c>
      <c r="U1310" s="72">
        <v>0.964050329538646</v>
      </c>
      <c r="V1310" s="72">
        <v>0.941009642654566</v>
      </c>
      <c r="W1310" s="72">
        <v>0.948034685739604</v>
      </c>
      <c r="X1310" s="74">
        <v>0.92</v>
      </c>
      <c r="Y1310" s="74">
        <v>0</v>
      </c>
      <c r="Z1310" s="74">
        <v>0</v>
      </c>
      <c r="AA1310" s="74">
        <v>0</v>
      </c>
      <c r="AB1310" s="74">
        <v>0</v>
      </c>
      <c r="AC1310" s="74">
        <v>0.92</v>
      </c>
      <c r="AD1310" s="72">
        <v>1</v>
      </c>
      <c r="AE1310" s="72">
        <v>0.988888888888889</v>
      </c>
      <c r="AF1310" s="72">
        <v>0.986512524084778</v>
      </c>
      <c r="AG1310" s="72">
        <v>0.990466101694915</v>
      </c>
      <c r="AH1310" s="74">
        <v>0.92</v>
      </c>
      <c r="AI1310" s="72">
        <v>0.949293966623877</v>
      </c>
      <c r="AJ1310" s="72">
        <v>0.979628520071899</v>
      </c>
      <c r="AK1310" s="72">
        <v>0.990924560408395</v>
      </c>
      <c r="AL1310" s="72">
        <v>0.98227735932654</v>
      </c>
      <c r="AM1310" s="71">
        <v>0.99</v>
      </c>
      <c r="AN1310" s="76">
        <v>1</v>
      </c>
      <c r="AO1310" s="76">
        <v>1</v>
      </c>
      <c r="AP1310" s="76">
        <v>1</v>
      </c>
      <c r="AQ1310" s="76">
        <v>1</v>
      </c>
      <c r="AR1310" s="96">
        <v>0.0721861525408278</v>
      </c>
      <c r="AS1310" s="80">
        <v>0</v>
      </c>
      <c r="AT1310" s="80">
        <v>0</v>
      </c>
      <c r="AU1310" s="80">
        <v>0.125</v>
      </c>
      <c r="AV1310" s="80">
        <v>0.0588235294117647</v>
      </c>
      <c r="AW1310" s="36"/>
      <c r="AX1310" s="34"/>
    </row>
    <row r="1311" ht="14.5" spans="1:50">
      <c r="A1311" s="32"/>
      <c r="B1311" s="36"/>
      <c r="C1311" s="91" t="s">
        <v>1105</v>
      </c>
      <c r="D1311" s="69" t="s">
        <v>25</v>
      </c>
      <c r="E1311" s="129" t="s">
        <v>1360</v>
      </c>
      <c r="F1311" s="129" t="s">
        <v>1360</v>
      </c>
      <c r="G1311" s="129" t="s">
        <v>1360</v>
      </c>
      <c r="H1311" s="129" t="s">
        <v>1360</v>
      </c>
      <c r="I1311" s="71">
        <v>0.9</v>
      </c>
      <c r="J1311" s="72">
        <v>0.954545454545455</v>
      </c>
      <c r="K1311" s="72">
        <v>1</v>
      </c>
      <c r="L1311" s="73">
        <v>0.954545454545455</v>
      </c>
      <c r="M1311" s="72">
        <v>0.974489795918367</v>
      </c>
      <c r="N1311" s="74">
        <v>0.9</v>
      </c>
      <c r="O1311" s="72">
        <v>0.991660875608061</v>
      </c>
      <c r="P1311" s="72">
        <v>0.988157894736842</v>
      </c>
      <c r="Q1311" s="72">
        <v>0.99165175909362</v>
      </c>
      <c r="R1311" s="72">
        <v>0.988698531528937</v>
      </c>
      <c r="S1311" s="74">
        <v>0.9</v>
      </c>
      <c r="T1311" s="72">
        <v>0.963863794301598</v>
      </c>
      <c r="U1311" s="72">
        <v>0.972368421052632</v>
      </c>
      <c r="V1311" s="72">
        <v>0.911747167561121</v>
      </c>
      <c r="W1311" s="72">
        <v>0.956665706881659</v>
      </c>
      <c r="X1311" s="74">
        <v>0.92</v>
      </c>
      <c r="Y1311" s="74">
        <v>0</v>
      </c>
      <c r="Z1311" s="74">
        <v>0</v>
      </c>
      <c r="AA1311" s="74">
        <v>0</v>
      </c>
      <c r="AB1311" s="74">
        <v>0</v>
      </c>
      <c r="AC1311" s="74">
        <v>0.92</v>
      </c>
      <c r="AD1311" s="72">
        <v>1</v>
      </c>
      <c r="AE1311" s="72">
        <v>1</v>
      </c>
      <c r="AF1311" s="72">
        <v>1</v>
      </c>
      <c r="AG1311" s="72">
        <v>0.998212157330155</v>
      </c>
      <c r="AH1311" s="74">
        <v>0.92</v>
      </c>
      <c r="AI1311" s="72">
        <v>0.972897845726199</v>
      </c>
      <c r="AJ1311" s="72">
        <v>0.982894736842105</v>
      </c>
      <c r="AK1311" s="72">
        <v>0.983899821109123</v>
      </c>
      <c r="AL1311" s="72">
        <v>0.983227756982436</v>
      </c>
      <c r="AM1311" s="71">
        <v>0.99</v>
      </c>
      <c r="AN1311" s="76">
        <v>1</v>
      </c>
      <c r="AO1311" s="76">
        <v>1</v>
      </c>
      <c r="AP1311" s="76">
        <v>1</v>
      </c>
      <c r="AQ1311" s="76">
        <v>1</v>
      </c>
      <c r="AR1311" s="96">
        <v>0.0721861525408278</v>
      </c>
      <c r="AS1311" s="80">
        <v>0</v>
      </c>
      <c r="AT1311" s="80">
        <v>0</v>
      </c>
      <c r="AU1311" s="80">
        <v>0</v>
      </c>
      <c r="AV1311" s="80">
        <v>0.0303030303030303</v>
      </c>
      <c r="AW1311" s="36"/>
      <c r="AX1311" s="34"/>
    </row>
    <row r="1312" ht="14.5" spans="1:50">
      <c r="A1312" s="32"/>
      <c r="B1312" s="36"/>
      <c r="C1312" s="91" t="s">
        <v>1105</v>
      </c>
      <c r="D1312" s="69" t="s">
        <v>25</v>
      </c>
      <c r="E1312" s="129" t="s">
        <v>1361</v>
      </c>
      <c r="F1312" s="129" t="s">
        <v>1361</v>
      </c>
      <c r="G1312" s="129" t="s">
        <v>1361</v>
      </c>
      <c r="H1312" s="129" t="s">
        <v>1361</v>
      </c>
      <c r="I1312" s="71">
        <v>0.9</v>
      </c>
      <c r="J1312" s="72">
        <v>0.92</v>
      </c>
      <c r="K1312" s="72">
        <v>0.75</v>
      </c>
      <c r="L1312" s="73">
        <v>0.958333333333333</v>
      </c>
      <c r="M1312" s="72">
        <v>0.898617511520737</v>
      </c>
      <c r="N1312" s="74">
        <v>0.9</v>
      </c>
      <c r="O1312" s="72">
        <v>0.992566681241801</v>
      </c>
      <c r="P1312" s="72">
        <v>0.97289156626506</v>
      </c>
      <c r="Q1312" s="72">
        <v>0.989015631601183</v>
      </c>
      <c r="R1312" s="72">
        <v>0.97762160162752</v>
      </c>
      <c r="S1312" s="74">
        <v>0.9</v>
      </c>
      <c r="T1312" s="72">
        <v>0.786182772190643</v>
      </c>
      <c r="U1312" s="72">
        <v>0.771084337349398</v>
      </c>
      <c r="V1312" s="72">
        <v>0.768483312209548</v>
      </c>
      <c r="W1312" s="72">
        <v>0.771592380247827</v>
      </c>
      <c r="X1312" s="74">
        <v>0.92</v>
      </c>
      <c r="Y1312" s="74">
        <v>0</v>
      </c>
      <c r="Z1312" s="74">
        <v>0</v>
      </c>
      <c r="AA1312" s="74">
        <v>0</v>
      </c>
      <c r="AB1312" s="74">
        <v>0</v>
      </c>
      <c r="AC1312" s="74">
        <v>0.92</v>
      </c>
      <c r="AD1312" s="72">
        <v>1</v>
      </c>
      <c r="AE1312" s="72">
        <v>0.989583333333333</v>
      </c>
      <c r="AF1312" s="72">
        <v>0.970588235294118</v>
      </c>
      <c r="AG1312" s="72">
        <v>0.991197183098592</v>
      </c>
      <c r="AH1312" s="74">
        <v>0.92</v>
      </c>
      <c r="AI1312" s="72">
        <v>0.963707914298207</v>
      </c>
      <c r="AJ1312" s="72">
        <v>0.962134251290878</v>
      </c>
      <c r="AK1312" s="72">
        <v>0.98141106886354</v>
      </c>
      <c r="AL1312" s="72">
        <v>0.973506565563159</v>
      </c>
      <c r="AM1312" s="71">
        <v>0.99</v>
      </c>
      <c r="AN1312" s="76">
        <v>1</v>
      </c>
      <c r="AO1312" s="76">
        <v>1</v>
      </c>
      <c r="AP1312" s="76">
        <v>1</v>
      </c>
      <c r="AQ1312" s="76">
        <v>1</v>
      </c>
      <c r="AR1312" s="96">
        <v>0.0721861525408278</v>
      </c>
      <c r="AS1312" s="80">
        <v>0</v>
      </c>
      <c r="AT1312" s="80">
        <v>0</v>
      </c>
      <c r="AU1312" s="80">
        <v>0</v>
      </c>
      <c r="AV1312" s="80">
        <v>0.0967741935483871</v>
      </c>
      <c r="AW1312" s="36"/>
      <c r="AX1312" s="34"/>
    </row>
    <row r="1313" ht="14.5" spans="1:50">
      <c r="A1313" s="32"/>
      <c r="B1313" s="36"/>
      <c r="C1313" s="91" t="s">
        <v>1105</v>
      </c>
      <c r="D1313" s="69" t="s">
        <v>25</v>
      </c>
      <c r="E1313" s="129" t="s">
        <v>1362</v>
      </c>
      <c r="F1313" s="129" t="s">
        <v>1362</v>
      </c>
      <c r="G1313" s="129" t="s">
        <v>1362</v>
      </c>
      <c r="H1313" s="129" t="s">
        <v>1362</v>
      </c>
      <c r="I1313" s="71">
        <v>0.9</v>
      </c>
      <c r="J1313" s="72">
        <v>0.8</v>
      </c>
      <c r="K1313" s="72">
        <v>0.961538461538462</v>
      </c>
      <c r="L1313" s="73">
        <v>0.88</v>
      </c>
      <c r="M1313" s="72">
        <v>0.903361344537815</v>
      </c>
      <c r="N1313" s="74">
        <v>0.9</v>
      </c>
      <c r="O1313" s="72">
        <v>0.968103448275862</v>
      </c>
      <c r="P1313" s="72">
        <v>0.982294072363356</v>
      </c>
      <c r="Q1313" s="72">
        <v>0.968670076726343</v>
      </c>
      <c r="R1313" s="72">
        <v>0.959909706546275</v>
      </c>
      <c r="S1313" s="74">
        <v>0.9</v>
      </c>
      <c r="T1313" s="72">
        <v>0.922413793103448</v>
      </c>
      <c r="U1313" s="72">
        <v>0.946112394149346</v>
      </c>
      <c r="V1313" s="72">
        <v>0.940537084398977</v>
      </c>
      <c r="W1313" s="72">
        <v>0.937516930022573</v>
      </c>
      <c r="X1313" s="74">
        <v>0.92</v>
      </c>
      <c r="Y1313" s="74">
        <v>0.935064935064935</v>
      </c>
      <c r="Z1313" s="74">
        <v>0.972551928783383</v>
      </c>
      <c r="AA1313" s="74">
        <v>0.962923728813559</v>
      </c>
      <c r="AB1313" s="74">
        <v>0.962628236443576</v>
      </c>
      <c r="AC1313" s="74">
        <v>0.92</v>
      </c>
      <c r="AD1313" s="72">
        <v>0.982707509881423</v>
      </c>
      <c r="AE1313" s="72">
        <v>0.993125572868928</v>
      </c>
      <c r="AF1313" s="72">
        <v>0.995738636363636</v>
      </c>
      <c r="AG1313" s="72">
        <v>0.987857179765411</v>
      </c>
      <c r="AH1313" s="74">
        <v>0.92</v>
      </c>
      <c r="AI1313" s="72">
        <v>0.94989488437281</v>
      </c>
      <c r="AJ1313" s="72">
        <v>0.975821684926332</v>
      </c>
      <c r="AK1313" s="72">
        <v>0.978070175438597</v>
      </c>
      <c r="AL1313" s="72">
        <v>0.973156948368867</v>
      </c>
      <c r="AM1313" s="71">
        <v>0.99</v>
      </c>
      <c r="AN1313" s="76">
        <v>1</v>
      </c>
      <c r="AO1313" s="76">
        <v>1</v>
      </c>
      <c r="AP1313" s="76">
        <v>1</v>
      </c>
      <c r="AQ1313" s="76">
        <v>1</v>
      </c>
      <c r="AR1313" s="96">
        <v>0.0721861525408278</v>
      </c>
      <c r="AS1313" s="80">
        <v>0</v>
      </c>
      <c r="AT1313" s="80">
        <v>0</v>
      </c>
      <c r="AU1313" s="80">
        <v>0</v>
      </c>
      <c r="AV1313" s="80">
        <v>0.0428571428571429</v>
      </c>
      <c r="AW1313" s="36"/>
      <c r="AX1313" s="34"/>
    </row>
    <row r="1314" ht="14.5" spans="1:50">
      <c r="A1314" s="32"/>
      <c r="B1314" s="36"/>
      <c r="C1314" s="91" t="s">
        <v>1105</v>
      </c>
      <c r="D1314" s="69" t="s">
        <v>25</v>
      </c>
      <c r="E1314" s="129" t="s">
        <v>1363</v>
      </c>
      <c r="F1314" s="129" t="s">
        <v>1363</v>
      </c>
      <c r="G1314" s="129" t="s">
        <v>1363</v>
      </c>
      <c r="H1314" s="129" t="s">
        <v>1363</v>
      </c>
      <c r="I1314" s="71">
        <v>0.9</v>
      </c>
      <c r="J1314" s="72">
        <v>0.628571428571429</v>
      </c>
      <c r="K1314" s="72">
        <v>0.891891891891892</v>
      </c>
      <c r="L1314" s="73">
        <v>0.868421052631579</v>
      </c>
      <c r="M1314" s="72">
        <v>0.83030303030303</v>
      </c>
      <c r="N1314" s="74">
        <v>0.9</v>
      </c>
      <c r="O1314" s="72">
        <v>0.865168539325843</v>
      </c>
      <c r="P1314" s="72">
        <v>0.913565426170468</v>
      </c>
      <c r="Q1314" s="72">
        <v>0.827930174563591</v>
      </c>
      <c r="R1314" s="72">
        <v>0.837353039973127</v>
      </c>
      <c r="S1314" s="74">
        <v>0.9</v>
      </c>
      <c r="T1314" s="72">
        <v>0.954395241242564</v>
      </c>
      <c r="U1314" s="72">
        <v>0.975990396158463</v>
      </c>
      <c r="V1314" s="72">
        <v>0.964089775561097</v>
      </c>
      <c r="W1314" s="72">
        <v>0.954585152838428</v>
      </c>
      <c r="X1314" s="74">
        <v>0.92</v>
      </c>
      <c r="Y1314" s="74">
        <v>0.975457170356112</v>
      </c>
      <c r="Z1314" s="74">
        <v>0.98578811369509</v>
      </c>
      <c r="AA1314" s="74">
        <v>0.987971130713713</v>
      </c>
      <c r="AB1314" s="74">
        <v>0.979672042282152</v>
      </c>
      <c r="AC1314" s="74">
        <v>0.92</v>
      </c>
      <c r="AD1314" s="72">
        <v>0.99882491186839</v>
      </c>
      <c r="AE1314" s="72">
        <v>0.994736842105263</v>
      </c>
      <c r="AF1314" s="72">
        <v>0.997762863534676</v>
      </c>
      <c r="AG1314" s="72">
        <v>0.998202516476932</v>
      </c>
      <c r="AH1314" s="74">
        <v>0.92</v>
      </c>
      <c r="AI1314" s="72">
        <v>0.980506822612086</v>
      </c>
      <c r="AJ1314" s="72">
        <v>0.989735614307932</v>
      </c>
      <c r="AK1314" s="72">
        <v>0.992619926199262</v>
      </c>
      <c r="AL1314" s="72">
        <v>0.986372069488953</v>
      </c>
      <c r="AM1314" s="71">
        <v>0.99</v>
      </c>
      <c r="AN1314" s="76">
        <v>1</v>
      </c>
      <c r="AO1314" s="76">
        <v>1</v>
      </c>
      <c r="AP1314" s="76">
        <v>1</v>
      </c>
      <c r="AQ1314" s="76">
        <v>1</v>
      </c>
      <c r="AR1314" s="96">
        <v>0.0721861525408278</v>
      </c>
      <c r="AS1314" s="80">
        <v>0.0408163265306122</v>
      </c>
      <c r="AT1314" s="80">
        <v>0</v>
      </c>
      <c r="AU1314" s="80">
        <v>0.0181818181818182</v>
      </c>
      <c r="AV1314" s="80">
        <v>0.0272417707150965</v>
      </c>
      <c r="AW1314" s="36"/>
      <c r="AX1314" s="34"/>
    </row>
    <row r="1315" ht="14.5" spans="1:50">
      <c r="A1315" s="32"/>
      <c r="B1315" s="36"/>
      <c r="C1315" s="91" t="s">
        <v>1105</v>
      </c>
      <c r="D1315" s="69" t="s">
        <v>25</v>
      </c>
      <c r="E1315" s="129" t="s">
        <v>1364</v>
      </c>
      <c r="F1315" s="129" t="s">
        <v>1364</v>
      </c>
      <c r="G1315" s="129" t="s">
        <v>1364</v>
      </c>
      <c r="H1315" s="129" t="s">
        <v>1364</v>
      </c>
      <c r="I1315" s="71">
        <v>0.9</v>
      </c>
      <c r="J1315" s="72">
        <v>0.924528301886792</v>
      </c>
      <c r="K1315" s="72">
        <v>0.964912280701754</v>
      </c>
      <c r="L1315" s="73">
        <v>0.934426229508197</v>
      </c>
      <c r="M1315" s="72">
        <v>0.928853754940711</v>
      </c>
      <c r="N1315" s="74">
        <v>0.9</v>
      </c>
      <c r="O1315" s="72">
        <v>0.970403587443946</v>
      </c>
      <c r="P1315" s="72">
        <v>0.972590223846505</v>
      </c>
      <c r="Q1315" s="72">
        <v>0.966129698471706</v>
      </c>
      <c r="R1315" s="72">
        <v>0.96589719299995</v>
      </c>
      <c r="S1315" s="74">
        <v>0.9</v>
      </c>
      <c r="T1315" s="72">
        <v>0.883856502242153</v>
      </c>
      <c r="U1315" s="72">
        <v>0.904979442667885</v>
      </c>
      <c r="V1315" s="72">
        <v>0.885584469227592</v>
      </c>
      <c r="W1315" s="72">
        <v>0.891808346213292</v>
      </c>
      <c r="X1315" s="74">
        <v>0.92</v>
      </c>
      <c r="Y1315" s="74">
        <v>0.958165997322624</v>
      </c>
      <c r="Z1315" s="74">
        <v>0.966735966735967</v>
      </c>
      <c r="AA1315" s="74">
        <v>0.960519199567334</v>
      </c>
      <c r="AB1315" s="74">
        <v>0.962448030756851</v>
      </c>
      <c r="AC1315" s="74">
        <v>0.92</v>
      </c>
      <c r="AD1315" s="72">
        <v>0.998357424441524</v>
      </c>
      <c r="AE1315" s="72">
        <v>0.989247311827957</v>
      </c>
      <c r="AF1315" s="72">
        <v>0.996248124062031</v>
      </c>
      <c r="AG1315" s="72">
        <v>0.99681373345905</v>
      </c>
      <c r="AH1315" s="74">
        <v>0.92</v>
      </c>
      <c r="AI1315" s="72">
        <v>0.968564308989841</v>
      </c>
      <c r="AJ1315" s="72">
        <v>0.972355245973008</v>
      </c>
      <c r="AK1315" s="72">
        <v>0.972833723653396</v>
      </c>
      <c r="AL1315" s="72">
        <v>0.9725410705447</v>
      </c>
      <c r="AM1315" s="71">
        <v>0.99</v>
      </c>
      <c r="AN1315" s="76">
        <v>1</v>
      </c>
      <c r="AO1315" s="76">
        <v>1</v>
      </c>
      <c r="AP1315" s="76">
        <v>1</v>
      </c>
      <c r="AQ1315" s="76">
        <v>1</v>
      </c>
      <c r="AR1315" s="96">
        <v>0.0721861525408278</v>
      </c>
      <c r="AS1315" s="80">
        <v>0</v>
      </c>
      <c r="AT1315" s="80">
        <v>0</v>
      </c>
      <c r="AU1315" s="80">
        <v>0.012987012987013</v>
      </c>
      <c r="AV1315" s="80">
        <v>0.0182421227197347</v>
      </c>
      <c r="AW1315" s="36"/>
      <c r="AX1315" s="34"/>
    </row>
    <row r="1316" ht="14.5" spans="1:50">
      <c r="A1316" s="32"/>
      <c r="B1316" s="36"/>
      <c r="C1316" s="91" t="s">
        <v>1105</v>
      </c>
      <c r="D1316" s="69" t="s">
        <v>25</v>
      </c>
      <c r="E1316" s="129" t="s">
        <v>1365</v>
      </c>
      <c r="F1316" s="129" t="s">
        <v>1365</v>
      </c>
      <c r="G1316" s="129" t="s">
        <v>1365</v>
      </c>
      <c r="H1316" s="129" t="s">
        <v>1365</v>
      </c>
      <c r="I1316" s="71">
        <v>0.9</v>
      </c>
      <c r="J1316" s="72">
        <v>0.941176470588235</v>
      </c>
      <c r="K1316" s="72">
        <v>0.976190476190476</v>
      </c>
      <c r="L1316" s="73">
        <v>0.9375</v>
      </c>
      <c r="M1316" s="72">
        <v>0.916666666666667</v>
      </c>
      <c r="N1316" s="74">
        <v>0.9</v>
      </c>
      <c r="O1316" s="72">
        <v>0.979858464888405</v>
      </c>
      <c r="P1316" s="72">
        <v>0.968421052631579</v>
      </c>
      <c r="Q1316" s="72">
        <v>0.977115716753022</v>
      </c>
      <c r="R1316" s="72">
        <v>0.976620802238806</v>
      </c>
      <c r="S1316" s="74">
        <v>0.9</v>
      </c>
      <c r="T1316" s="72">
        <v>0.912901469787697</v>
      </c>
      <c r="U1316" s="72">
        <v>0.894736842105263</v>
      </c>
      <c r="V1316" s="72">
        <v>0.911917098445596</v>
      </c>
      <c r="W1316" s="72">
        <v>0.907182835820896</v>
      </c>
      <c r="X1316" s="74">
        <v>0.92</v>
      </c>
      <c r="Y1316" s="74">
        <v>0.926418439716312</v>
      </c>
      <c r="Z1316" s="74">
        <v>0.940985381700054</v>
      </c>
      <c r="AA1316" s="74">
        <v>0.954303122619954</v>
      </c>
      <c r="AB1316" s="74">
        <v>0.949030375836623</v>
      </c>
      <c r="AC1316" s="74">
        <v>0.92</v>
      </c>
      <c r="AD1316" s="72">
        <v>0.998699609882965</v>
      </c>
      <c r="AE1316" s="72">
        <v>1</v>
      </c>
      <c r="AF1316" s="72">
        <v>0.986068111455108</v>
      </c>
      <c r="AG1316" s="72">
        <v>0.995922681969194</v>
      </c>
      <c r="AH1316" s="74">
        <v>0.92</v>
      </c>
      <c r="AI1316" s="72">
        <v>0.946018563751832</v>
      </c>
      <c r="AJ1316" s="72">
        <v>0.955964771817454</v>
      </c>
      <c r="AK1316" s="72">
        <v>0.973829201101928</v>
      </c>
      <c r="AL1316" s="72">
        <v>0.963822722679371</v>
      </c>
      <c r="AM1316" s="71">
        <v>0.99</v>
      </c>
      <c r="AN1316" s="76">
        <v>1</v>
      </c>
      <c r="AO1316" s="76">
        <v>1</v>
      </c>
      <c r="AP1316" s="76">
        <v>1</v>
      </c>
      <c r="AQ1316" s="76">
        <v>1</v>
      </c>
      <c r="AR1316" s="96">
        <v>0.0721861525408278</v>
      </c>
      <c r="AS1316" s="80">
        <v>0</v>
      </c>
      <c r="AT1316" s="80">
        <v>0.153846153846154</v>
      </c>
      <c r="AU1316" s="80">
        <v>0.0714285714285714</v>
      </c>
      <c r="AV1316" s="80">
        <v>0.0316901408450704</v>
      </c>
      <c r="AW1316" s="36"/>
      <c r="AX1316" s="34"/>
    </row>
    <row r="1317" ht="14.5" spans="1:50">
      <c r="A1317" s="32"/>
      <c r="B1317" s="36"/>
      <c r="C1317" s="91" t="s">
        <v>1105</v>
      </c>
      <c r="D1317" s="69" t="s">
        <v>25</v>
      </c>
      <c r="E1317" s="129" t="s">
        <v>1366</v>
      </c>
      <c r="F1317" s="129" t="s">
        <v>1366</v>
      </c>
      <c r="G1317" s="129" t="s">
        <v>1366</v>
      </c>
      <c r="H1317" s="129" t="s">
        <v>1366</v>
      </c>
      <c r="I1317" s="71">
        <v>0.9</v>
      </c>
      <c r="J1317" s="72">
        <v>0.941176470588235</v>
      </c>
      <c r="K1317" s="72">
        <v>0.9375</v>
      </c>
      <c r="L1317" s="73">
        <v>0.9375</v>
      </c>
      <c r="M1317" s="72">
        <v>0.932432432432432</v>
      </c>
      <c r="N1317" s="74">
        <v>0.9</v>
      </c>
      <c r="O1317" s="72">
        <v>0.990216631726066</v>
      </c>
      <c r="P1317" s="72">
        <v>0.995188452285485</v>
      </c>
      <c r="Q1317" s="72">
        <v>0.993034055727554</v>
      </c>
      <c r="R1317" s="72">
        <v>0.992981072555205</v>
      </c>
      <c r="S1317" s="74">
        <v>0.9</v>
      </c>
      <c r="T1317" s="72">
        <v>0.888190076869322</v>
      </c>
      <c r="U1317" s="72">
        <v>0.911788291900561</v>
      </c>
      <c r="V1317" s="72">
        <v>0.902476780185758</v>
      </c>
      <c r="W1317" s="72">
        <v>0.910804416403786</v>
      </c>
      <c r="X1317" s="74">
        <v>0.92</v>
      </c>
      <c r="Y1317" s="74">
        <v>0</v>
      </c>
      <c r="Z1317" s="74">
        <v>0</v>
      </c>
      <c r="AA1317" s="74">
        <v>0</v>
      </c>
      <c r="AB1317" s="74">
        <v>0</v>
      </c>
      <c r="AC1317" s="74">
        <v>0.92</v>
      </c>
      <c r="AD1317" s="72">
        <v>1</v>
      </c>
      <c r="AE1317" s="72">
        <v>1</v>
      </c>
      <c r="AF1317" s="72">
        <v>0.962962962962963</v>
      </c>
      <c r="AG1317" s="72">
        <v>0.992481203007519</v>
      </c>
      <c r="AH1317" s="74">
        <v>0.92</v>
      </c>
      <c r="AI1317" s="72">
        <v>0.974842767295597</v>
      </c>
      <c r="AJ1317" s="72">
        <v>0.976744186046512</v>
      </c>
      <c r="AK1317" s="72">
        <v>0.979876160990712</v>
      </c>
      <c r="AL1317" s="72">
        <v>0.981624605678233</v>
      </c>
      <c r="AM1317" s="71">
        <v>0.99</v>
      </c>
      <c r="AN1317" s="76">
        <v>1</v>
      </c>
      <c r="AO1317" s="76">
        <v>1</v>
      </c>
      <c r="AP1317" s="76">
        <v>1</v>
      </c>
      <c r="AQ1317" s="76">
        <v>1</v>
      </c>
      <c r="AR1317" s="96">
        <v>0.0721861525408278</v>
      </c>
      <c r="AS1317" s="80">
        <v>0</v>
      </c>
      <c r="AT1317" s="80">
        <v>0.00943396226415094</v>
      </c>
      <c r="AU1317" s="80">
        <v>0.0491803278688525</v>
      </c>
      <c r="AV1317" s="80">
        <v>0.0223166843783209</v>
      </c>
      <c r="AW1317" s="36"/>
      <c r="AX1317" s="34"/>
    </row>
    <row r="1318" ht="14.5" spans="1:50">
      <c r="A1318" s="32"/>
      <c r="B1318" s="36"/>
      <c r="C1318" s="91" t="s">
        <v>1105</v>
      </c>
      <c r="D1318" s="69" t="s">
        <v>25</v>
      </c>
      <c r="E1318" s="129" t="s">
        <v>1367</v>
      </c>
      <c r="F1318" s="129" t="s">
        <v>1367</v>
      </c>
      <c r="G1318" s="129" t="s">
        <v>1367</v>
      </c>
      <c r="H1318" s="129" t="s">
        <v>1367</v>
      </c>
      <c r="I1318" s="71">
        <v>0.9</v>
      </c>
      <c r="J1318" s="72">
        <v>0.771929824561403</v>
      </c>
      <c r="K1318" s="72">
        <v>0.862068965517241</v>
      </c>
      <c r="L1318" s="73">
        <v>0.950819672131147</v>
      </c>
      <c r="M1318" s="72">
        <v>0.895495495495495</v>
      </c>
      <c r="N1318" s="74">
        <v>0.9</v>
      </c>
      <c r="O1318" s="72">
        <v>0.96433770014556</v>
      </c>
      <c r="P1318" s="72">
        <v>0.983600713012478</v>
      </c>
      <c r="Q1318" s="72">
        <v>0.961438848920863</v>
      </c>
      <c r="R1318" s="72">
        <v>0.959399961036431</v>
      </c>
      <c r="S1318" s="74">
        <v>0.9</v>
      </c>
      <c r="T1318" s="72">
        <v>0.922489082969432</v>
      </c>
      <c r="U1318" s="72">
        <v>0.942245989304813</v>
      </c>
      <c r="V1318" s="72">
        <v>0.930935251798561</v>
      </c>
      <c r="W1318" s="72">
        <v>0.928034287940775</v>
      </c>
      <c r="X1318" s="74">
        <v>0.92</v>
      </c>
      <c r="Y1318" s="74">
        <v>0.9492164828787</v>
      </c>
      <c r="Z1318" s="74">
        <v>0.964387464387464</v>
      </c>
      <c r="AA1318" s="74">
        <v>0.976911976911977</v>
      </c>
      <c r="AB1318" s="74">
        <v>0.969230769230769</v>
      </c>
      <c r="AC1318" s="74">
        <v>0.92</v>
      </c>
      <c r="AD1318" s="72">
        <v>0.998592540464462</v>
      </c>
      <c r="AE1318" s="72">
        <v>0.995155709342561</v>
      </c>
      <c r="AF1318" s="72">
        <v>0.992734478203435</v>
      </c>
      <c r="AG1318" s="72">
        <v>0.974579745797458</v>
      </c>
      <c r="AH1318" s="74">
        <v>0.92</v>
      </c>
      <c r="AI1318" s="72">
        <v>0.958844415752098</v>
      </c>
      <c r="AJ1318" s="72">
        <v>0.976661321931231</v>
      </c>
      <c r="AK1318" s="72">
        <v>0.985781137508999</v>
      </c>
      <c r="AL1318" s="72">
        <v>0.978483149337421</v>
      </c>
      <c r="AM1318" s="71">
        <v>0.99</v>
      </c>
      <c r="AN1318" s="76">
        <v>1</v>
      </c>
      <c r="AO1318" s="76">
        <v>1</v>
      </c>
      <c r="AP1318" s="76">
        <v>1</v>
      </c>
      <c r="AQ1318" s="76">
        <v>1</v>
      </c>
      <c r="AR1318" s="96">
        <v>0.0721861525408278</v>
      </c>
      <c r="AS1318" s="80">
        <v>0</v>
      </c>
      <c r="AT1318" s="80">
        <v>0</v>
      </c>
      <c r="AU1318" s="80">
        <v>0.0833333333333333</v>
      </c>
      <c r="AV1318" s="80">
        <v>0.0277777777777778</v>
      </c>
      <c r="AW1318" s="36"/>
      <c r="AX1318" s="34"/>
    </row>
    <row r="1319" ht="14.5" spans="1:50">
      <c r="A1319" s="32"/>
      <c r="B1319" s="36"/>
      <c r="C1319" s="91" t="s">
        <v>1105</v>
      </c>
      <c r="D1319" s="69" t="s">
        <v>25</v>
      </c>
      <c r="E1319" s="129" t="s">
        <v>1368</v>
      </c>
      <c r="F1319" s="129" t="s">
        <v>1368</v>
      </c>
      <c r="G1319" s="129" t="s">
        <v>1368</v>
      </c>
      <c r="H1319" s="129" t="s">
        <v>1368</v>
      </c>
      <c r="I1319" s="71">
        <v>0.9</v>
      </c>
      <c r="J1319" s="72">
        <v>0.870967741935484</v>
      </c>
      <c r="K1319" s="72">
        <v>0.90625</v>
      </c>
      <c r="L1319" s="73">
        <v>0.935483870967742</v>
      </c>
      <c r="M1319" s="72">
        <v>0.937062937062937</v>
      </c>
      <c r="N1319" s="74">
        <v>0.9</v>
      </c>
      <c r="O1319" s="72">
        <v>0.966911764705882</v>
      </c>
      <c r="P1319" s="72">
        <v>0.945932289034866</v>
      </c>
      <c r="Q1319" s="72">
        <v>0.964377682403433</v>
      </c>
      <c r="R1319" s="72">
        <v>0.967180042316587</v>
      </c>
      <c r="S1319" s="74">
        <v>0.9</v>
      </c>
      <c r="T1319" s="72">
        <v>0.935661764705882</v>
      </c>
      <c r="U1319" s="72">
        <v>0.930267812026276</v>
      </c>
      <c r="V1319" s="72">
        <v>0.943347639484979</v>
      </c>
      <c r="W1319" s="72">
        <v>0.940166314028441</v>
      </c>
      <c r="X1319" s="74">
        <v>0.92</v>
      </c>
      <c r="Y1319" s="74">
        <v>0</v>
      </c>
      <c r="Z1319" s="74">
        <v>0</v>
      </c>
      <c r="AA1319" s="74">
        <v>0</v>
      </c>
      <c r="AB1319" s="74">
        <v>0</v>
      </c>
      <c r="AC1319" s="74">
        <v>0.92</v>
      </c>
      <c r="AD1319" s="72">
        <v>0.982871125611745</v>
      </c>
      <c r="AE1319" s="72">
        <v>0.989510489510489</v>
      </c>
      <c r="AF1319" s="72">
        <v>0.979654747225647</v>
      </c>
      <c r="AG1319" s="72">
        <v>0.990013078111996</v>
      </c>
      <c r="AH1319" s="74">
        <v>0.92</v>
      </c>
      <c r="AI1319" s="72">
        <v>0.971047794117647</v>
      </c>
      <c r="AJ1319" s="72">
        <v>0.978271854471956</v>
      </c>
      <c r="AK1319" s="72">
        <v>0.986266094420601</v>
      </c>
      <c r="AL1319" s="72">
        <v>0.982581311814201</v>
      </c>
      <c r="AM1319" s="71">
        <v>0.99</v>
      </c>
      <c r="AN1319" s="76">
        <v>1</v>
      </c>
      <c r="AO1319" s="76">
        <v>1</v>
      </c>
      <c r="AP1319" s="76">
        <v>1</v>
      </c>
      <c r="AQ1319" s="76">
        <v>1</v>
      </c>
      <c r="AR1319" s="96">
        <v>0.0721861525408278</v>
      </c>
      <c r="AS1319" s="80">
        <v>0</v>
      </c>
      <c r="AT1319" s="80">
        <v>0.166666666666667</v>
      </c>
      <c r="AU1319" s="80">
        <v>0</v>
      </c>
      <c r="AV1319" s="80">
        <v>0.0285714285714286</v>
      </c>
      <c r="AW1319" s="36"/>
      <c r="AX1319" s="34"/>
    </row>
    <row r="1320" ht="14.5" spans="1:50">
      <c r="A1320" s="32"/>
      <c r="B1320" s="36"/>
      <c r="C1320" s="91" t="s">
        <v>1105</v>
      </c>
      <c r="D1320" s="69" t="s">
        <v>25</v>
      </c>
      <c r="E1320" s="129" t="s">
        <v>1369</v>
      </c>
      <c r="F1320" s="129" t="s">
        <v>1369</v>
      </c>
      <c r="G1320" s="129" t="s">
        <v>1369</v>
      </c>
      <c r="H1320" s="129" t="s">
        <v>1369</v>
      </c>
      <c r="I1320" s="71">
        <v>0.9</v>
      </c>
      <c r="J1320" s="72">
        <v>0.75</v>
      </c>
      <c r="K1320" s="72">
        <v>0.903225806451613</v>
      </c>
      <c r="L1320" s="73">
        <v>0.966666666666667</v>
      </c>
      <c r="M1320" s="72">
        <v>0.869888475836431</v>
      </c>
      <c r="N1320" s="74">
        <v>0.9</v>
      </c>
      <c r="O1320" s="72">
        <v>0.992393509127789</v>
      </c>
      <c r="P1320" s="72">
        <v>0.988127361036158</v>
      </c>
      <c r="Q1320" s="72">
        <v>0.988516746411483</v>
      </c>
      <c r="R1320" s="72">
        <v>0.988431457744949</v>
      </c>
      <c r="S1320" s="74">
        <v>0.9</v>
      </c>
      <c r="T1320" s="72">
        <v>0.958924949290061</v>
      </c>
      <c r="U1320" s="72">
        <v>0.966001079330815</v>
      </c>
      <c r="V1320" s="72">
        <v>0.942105263157895</v>
      </c>
      <c r="W1320" s="72">
        <v>0.955681077558114</v>
      </c>
      <c r="X1320" s="74">
        <v>0.92</v>
      </c>
      <c r="Y1320" s="74">
        <v>0</v>
      </c>
      <c r="Z1320" s="74">
        <v>0</v>
      </c>
      <c r="AA1320" s="74">
        <v>0</v>
      </c>
      <c r="AB1320" s="74">
        <v>0</v>
      </c>
      <c r="AC1320" s="74">
        <v>0.92</v>
      </c>
      <c r="AD1320" s="72">
        <v>1</v>
      </c>
      <c r="AE1320" s="72">
        <v>1</v>
      </c>
      <c r="AF1320" s="72">
        <v>1</v>
      </c>
      <c r="AG1320" s="72">
        <v>0.998822605965463</v>
      </c>
      <c r="AH1320" s="74">
        <v>0.92</v>
      </c>
      <c r="AI1320" s="72">
        <v>0.981237322515213</v>
      </c>
      <c r="AJ1320" s="72">
        <v>0.978413383702105</v>
      </c>
      <c r="AK1320" s="72">
        <v>0.981818181818182</v>
      </c>
      <c r="AL1320" s="72">
        <v>0.979524223332609</v>
      </c>
      <c r="AM1320" s="71">
        <v>0.99</v>
      </c>
      <c r="AN1320" s="76">
        <v>1</v>
      </c>
      <c r="AO1320" s="76">
        <v>1</v>
      </c>
      <c r="AP1320" s="76">
        <v>1</v>
      </c>
      <c r="AQ1320" s="76">
        <v>1</v>
      </c>
      <c r="AR1320" s="96">
        <v>0.0721861525408278</v>
      </c>
      <c r="AS1320" s="80">
        <v>0</v>
      </c>
      <c r="AT1320" s="80">
        <v>0</v>
      </c>
      <c r="AU1320" s="80">
        <v>0.125</v>
      </c>
      <c r="AV1320" s="80">
        <v>0.0277777777777778</v>
      </c>
      <c r="AW1320" s="36"/>
      <c r="AX1320" s="34"/>
    </row>
    <row r="1321" ht="14.5" spans="1:50">
      <c r="A1321" s="32"/>
      <c r="B1321" s="36"/>
      <c r="C1321" s="91" t="s">
        <v>1105</v>
      </c>
      <c r="D1321" s="69" t="s">
        <v>25</v>
      </c>
      <c r="E1321" s="129" t="s">
        <v>1370</v>
      </c>
      <c r="F1321" s="129" t="s">
        <v>1370</v>
      </c>
      <c r="G1321" s="129" t="s">
        <v>1370</v>
      </c>
      <c r="H1321" s="129" t="s">
        <v>1370</v>
      </c>
      <c r="I1321" s="71">
        <v>0.9</v>
      </c>
      <c r="J1321" s="72">
        <v>1</v>
      </c>
      <c r="K1321" s="72">
        <v>1</v>
      </c>
      <c r="L1321" s="73">
        <v>1</v>
      </c>
      <c r="M1321" s="72">
        <v>0.964566929133858</v>
      </c>
      <c r="N1321" s="74">
        <v>0.9</v>
      </c>
      <c r="O1321" s="72">
        <v>0.990178571428571</v>
      </c>
      <c r="P1321" s="72">
        <v>0.985873287671233</v>
      </c>
      <c r="Q1321" s="72">
        <v>0.988288628636192</v>
      </c>
      <c r="R1321" s="72">
        <v>0.981859517832615</v>
      </c>
      <c r="S1321" s="74">
        <v>0.9</v>
      </c>
      <c r="T1321" s="72">
        <v>0.952678571428571</v>
      </c>
      <c r="U1321" s="72">
        <v>0.951198630136986</v>
      </c>
      <c r="V1321" s="72">
        <v>0.965999244427654</v>
      </c>
      <c r="W1321" s="72">
        <v>0.957088050016577</v>
      </c>
      <c r="X1321" s="74">
        <v>0.92</v>
      </c>
      <c r="Y1321" s="74">
        <v>0</v>
      </c>
      <c r="Z1321" s="74">
        <v>0</v>
      </c>
      <c r="AA1321" s="74">
        <v>0</v>
      </c>
      <c r="AB1321" s="74">
        <v>0</v>
      </c>
      <c r="AC1321" s="74">
        <v>0.92</v>
      </c>
      <c r="AD1321" s="72">
        <v>0.997333333333333</v>
      </c>
      <c r="AE1321" s="72">
        <v>1</v>
      </c>
      <c r="AF1321" s="72">
        <v>1</v>
      </c>
      <c r="AG1321" s="72">
        <v>0.995467788928456</v>
      </c>
      <c r="AH1321" s="74">
        <v>0.92</v>
      </c>
      <c r="AI1321" s="72">
        <v>0.980803571428571</v>
      </c>
      <c r="AJ1321" s="72">
        <v>0.985017123287671</v>
      </c>
      <c r="AK1321" s="72">
        <v>0.988288628636192</v>
      </c>
      <c r="AL1321" s="72">
        <v>0.98598020177142</v>
      </c>
      <c r="AM1321" s="71">
        <v>0.99</v>
      </c>
      <c r="AN1321" s="76">
        <v>1</v>
      </c>
      <c r="AO1321" s="76">
        <v>1</v>
      </c>
      <c r="AP1321" s="76">
        <v>1</v>
      </c>
      <c r="AQ1321" s="76">
        <v>1</v>
      </c>
      <c r="AR1321" s="96">
        <v>0.0721861525408278</v>
      </c>
      <c r="AS1321" s="80">
        <v>0</v>
      </c>
      <c r="AT1321" s="80">
        <v>0</v>
      </c>
      <c r="AU1321" s="80">
        <v>0.166666666666667</v>
      </c>
      <c r="AV1321" s="80">
        <v>0.0338983050847458</v>
      </c>
      <c r="AW1321" s="36"/>
      <c r="AX1321" s="34"/>
    </row>
    <row r="1322" ht="14.5" spans="1:50">
      <c r="A1322" s="32"/>
      <c r="B1322" s="36"/>
      <c r="C1322" s="91" t="s">
        <v>1105</v>
      </c>
      <c r="D1322" s="69" t="s">
        <v>25</v>
      </c>
      <c r="E1322" s="129" t="s">
        <v>1371</v>
      </c>
      <c r="F1322" s="129" t="s">
        <v>1371</v>
      </c>
      <c r="G1322" s="129" t="s">
        <v>1371</v>
      </c>
      <c r="H1322" s="129" t="s">
        <v>1371</v>
      </c>
      <c r="I1322" s="71">
        <v>0.9</v>
      </c>
      <c r="J1322" s="72">
        <v>0.91304347826087</v>
      </c>
      <c r="K1322" s="72">
        <v>0.925925925925926</v>
      </c>
      <c r="L1322" s="73">
        <v>0.931034482758621</v>
      </c>
      <c r="M1322" s="72">
        <v>0.935897435897436</v>
      </c>
      <c r="N1322" s="74">
        <v>0.9</v>
      </c>
      <c r="O1322" s="72">
        <v>0.908933966335779</v>
      </c>
      <c r="P1322" s="72">
        <v>0.950959488272921</v>
      </c>
      <c r="Q1322" s="72">
        <v>0.968313843832516</v>
      </c>
      <c r="R1322" s="72">
        <v>0.943963158854642</v>
      </c>
      <c r="S1322" s="74">
        <v>0.9</v>
      </c>
      <c r="T1322" s="72">
        <v>0.854553301683211</v>
      </c>
      <c r="U1322" s="72">
        <v>0.901918976545842</v>
      </c>
      <c r="V1322" s="72">
        <v>0.940777065258393</v>
      </c>
      <c r="W1322" s="72">
        <v>0.903109611526537</v>
      </c>
      <c r="X1322" s="74">
        <v>0.92</v>
      </c>
      <c r="Y1322" s="74">
        <v>1</v>
      </c>
      <c r="Z1322" s="74">
        <v>0</v>
      </c>
      <c r="AA1322" s="74">
        <v>0</v>
      </c>
      <c r="AB1322" s="74">
        <v>0.666666666666667</v>
      </c>
      <c r="AC1322" s="74">
        <v>0.92</v>
      </c>
      <c r="AD1322" s="72">
        <v>0.999481058640374</v>
      </c>
      <c r="AE1322" s="72">
        <v>0.993943472409152</v>
      </c>
      <c r="AF1322" s="72">
        <v>0.988243430152144</v>
      </c>
      <c r="AG1322" s="72">
        <v>0.994337644180357</v>
      </c>
      <c r="AH1322" s="74">
        <v>0.92</v>
      </c>
      <c r="AI1322" s="72">
        <v>0.924935289042278</v>
      </c>
      <c r="AJ1322" s="72">
        <v>0.948827292110874</v>
      </c>
      <c r="AK1322" s="72">
        <v>0.96342383107089</v>
      </c>
      <c r="AL1322" s="72">
        <v>0.957330415754923</v>
      </c>
      <c r="AM1322" s="71">
        <v>0.99</v>
      </c>
      <c r="AN1322" s="76">
        <v>1</v>
      </c>
      <c r="AO1322" s="76">
        <v>1</v>
      </c>
      <c r="AP1322" s="76">
        <v>1</v>
      </c>
      <c r="AQ1322" s="76">
        <v>1</v>
      </c>
      <c r="AR1322" s="96">
        <v>0.0721861525408278</v>
      </c>
      <c r="AS1322" s="80">
        <v>0.0714285714285714</v>
      </c>
      <c r="AT1322" s="80">
        <v>0</v>
      </c>
      <c r="AU1322" s="80">
        <v>0</v>
      </c>
      <c r="AV1322" s="80">
        <v>0.0263157894736842</v>
      </c>
      <c r="AW1322" s="36"/>
      <c r="AX1322" s="34"/>
    </row>
    <row r="1323" ht="14.5" spans="1:50">
      <c r="A1323" s="32"/>
      <c r="B1323" s="36"/>
      <c r="C1323" s="91" t="s">
        <v>1105</v>
      </c>
      <c r="D1323" s="69" t="s">
        <v>25</v>
      </c>
      <c r="E1323" s="129" t="s">
        <v>1372</v>
      </c>
      <c r="F1323" s="129" t="s">
        <v>1372</v>
      </c>
      <c r="G1323" s="129" t="s">
        <v>1372</v>
      </c>
      <c r="H1323" s="129" t="s">
        <v>1372</v>
      </c>
      <c r="I1323" s="71">
        <v>0.9</v>
      </c>
      <c r="J1323" s="72">
        <v>0.96078431372549</v>
      </c>
      <c r="K1323" s="72">
        <v>0.964912280701754</v>
      </c>
      <c r="L1323" s="73">
        <v>0.96551724137931</v>
      </c>
      <c r="M1323" s="72">
        <v>0.94234592445328</v>
      </c>
      <c r="N1323" s="74">
        <v>0.9</v>
      </c>
      <c r="O1323" s="72">
        <v>0.976973684210526</v>
      </c>
      <c r="P1323" s="72">
        <v>0.982819486938103</v>
      </c>
      <c r="Q1323" s="72">
        <v>0.981961147086031</v>
      </c>
      <c r="R1323" s="72">
        <v>0.974543276430069</v>
      </c>
      <c r="S1323" s="74">
        <v>0.9</v>
      </c>
      <c r="T1323" s="72">
        <v>0.898026315789474</v>
      </c>
      <c r="U1323" s="72">
        <v>0.909861143798541</v>
      </c>
      <c r="V1323" s="72">
        <v>0.911655874190564</v>
      </c>
      <c r="W1323" s="72">
        <v>0.914536197555065</v>
      </c>
      <c r="X1323" s="74">
        <v>0.92</v>
      </c>
      <c r="Y1323" s="74">
        <v>0.887802971071149</v>
      </c>
      <c r="Z1323" s="74">
        <v>0.954969796814937</v>
      </c>
      <c r="AA1323" s="74">
        <v>0.947341772151899</v>
      </c>
      <c r="AB1323" s="74">
        <v>0.937519111201712</v>
      </c>
      <c r="AC1323" s="74">
        <v>0.92</v>
      </c>
      <c r="AD1323" s="72">
        <v>1</v>
      </c>
      <c r="AE1323" s="72">
        <v>1</v>
      </c>
      <c r="AF1323" s="72">
        <v>1</v>
      </c>
      <c r="AG1323" s="72">
        <v>0.997173405431977</v>
      </c>
      <c r="AH1323" s="74">
        <v>0.92</v>
      </c>
      <c r="AI1323" s="72">
        <v>0.928428812778375</v>
      </c>
      <c r="AJ1323" s="72">
        <v>0.968204283360791</v>
      </c>
      <c r="AK1323" s="72">
        <v>0.971587301587302</v>
      </c>
      <c r="AL1323" s="72">
        <v>0.963446660515296</v>
      </c>
      <c r="AM1323" s="71">
        <v>0.99</v>
      </c>
      <c r="AN1323" s="76">
        <v>1</v>
      </c>
      <c r="AO1323" s="76">
        <v>1</v>
      </c>
      <c r="AP1323" s="76">
        <v>1</v>
      </c>
      <c r="AQ1323" s="76">
        <v>1</v>
      </c>
      <c r="AR1323" s="96">
        <v>0.0721861525408278</v>
      </c>
      <c r="AS1323" s="80">
        <v>0.0526315789473684</v>
      </c>
      <c r="AT1323" s="80">
        <v>0.075</v>
      </c>
      <c r="AU1323" s="80">
        <v>0</v>
      </c>
      <c r="AV1323" s="80">
        <v>0.0313479623824451</v>
      </c>
      <c r="AW1323" s="36"/>
      <c r="AX1323" s="34"/>
    </row>
    <row r="1324" ht="14.5" spans="1:50">
      <c r="A1324" s="32"/>
      <c r="B1324" s="36"/>
      <c r="C1324" s="91" t="s">
        <v>1105</v>
      </c>
      <c r="D1324" s="69" t="s">
        <v>25</v>
      </c>
      <c r="E1324" s="129" t="s">
        <v>1373</v>
      </c>
      <c r="F1324" s="129" t="s">
        <v>1373</v>
      </c>
      <c r="G1324" s="129" t="s">
        <v>1373</v>
      </c>
      <c r="H1324" s="129" t="s">
        <v>1373</v>
      </c>
      <c r="I1324" s="71">
        <v>0.9</v>
      </c>
      <c r="J1324" s="72">
        <v>0.951219512195122</v>
      </c>
      <c r="K1324" s="72">
        <v>1</v>
      </c>
      <c r="L1324" s="73">
        <v>1</v>
      </c>
      <c r="M1324" s="72">
        <v>0.98</v>
      </c>
      <c r="N1324" s="74">
        <v>0.9</v>
      </c>
      <c r="O1324" s="72">
        <v>0.980121293800539</v>
      </c>
      <c r="P1324" s="72">
        <v>0.933029908972692</v>
      </c>
      <c r="Q1324" s="72">
        <v>0.95876585928489</v>
      </c>
      <c r="R1324" s="72">
        <v>0.952436633765519</v>
      </c>
      <c r="S1324" s="74">
        <v>0.9</v>
      </c>
      <c r="T1324" s="72">
        <v>0.925202156334232</v>
      </c>
      <c r="U1324" s="72">
        <v>0.924577373211964</v>
      </c>
      <c r="V1324" s="72">
        <v>0.928489042675894</v>
      </c>
      <c r="W1324" s="72">
        <v>0.92509543625546</v>
      </c>
      <c r="X1324" s="74">
        <v>0.92</v>
      </c>
      <c r="Y1324" s="74">
        <v>0</v>
      </c>
      <c r="Z1324" s="74">
        <v>0</v>
      </c>
      <c r="AA1324" s="74">
        <v>0</v>
      </c>
      <c r="AB1324" s="74">
        <v>0</v>
      </c>
      <c r="AC1324" s="74">
        <v>0.92</v>
      </c>
      <c r="AD1324" s="72">
        <v>1</v>
      </c>
      <c r="AE1324" s="72">
        <v>0.973180076628352</v>
      </c>
      <c r="AF1324" s="72">
        <v>0.998230088495575</v>
      </c>
      <c r="AG1324" s="72">
        <v>0.996684036001895</v>
      </c>
      <c r="AH1324" s="74">
        <v>0.92</v>
      </c>
      <c r="AI1324" s="72">
        <v>0.951145552560647</v>
      </c>
      <c r="AJ1324" s="72">
        <v>0.965864759427828</v>
      </c>
      <c r="AK1324" s="72">
        <v>0.970876585928489</v>
      </c>
      <c r="AL1324" s="72">
        <v>0.965436599374076</v>
      </c>
      <c r="AM1324" s="71">
        <v>0.99</v>
      </c>
      <c r="AN1324" s="76">
        <v>1</v>
      </c>
      <c r="AO1324" s="76">
        <v>1</v>
      </c>
      <c r="AP1324" s="76">
        <v>1</v>
      </c>
      <c r="AQ1324" s="76">
        <v>1</v>
      </c>
      <c r="AR1324" s="96">
        <v>0.0721861525408278</v>
      </c>
      <c r="AS1324" s="80">
        <v>0.142857142857143</v>
      </c>
      <c r="AT1324" s="80">
        <v>0.0769230769230769</v>
      </c>
      <c r="AU1324" s="80">
        <v>0</v>
      </c>
      <c r="AV1324" s="80">
        <v>0.0418604651162791</v>
      </c>
      <c r="AW1324" s="36"/>
      <c r="AX1324" s="34"/>
    </row>
    <row r="1325" ht="14.5" spans="1:50">
      <c r="A1325" s="32"/>
      <c r="B1325" s="36"/>
      <c r="C1325" s="91" t="s">
        <v>1105</v>
      </c>
      <c r="D1325" s="69" t="s">
        <v>25</v>
      </c>
      <c r="E1325" s="129" t="s">
        <v>1374</v>
      </c>
      <c r="F1325" s="129" t="s">
        <v>1374</v>
      </c>
      <c r="G1325" s="129" t="s">
        <v>1374</v>
      </c>
      <c r="H1325" s="129" t="s">
        <v>1374</v>
      </c>
      <c r="I1325" s="71">
        <v>0.9</v>
      </c>
      <c r="J1325" s="72">
        <v>1</v>
      </c>
      <c r="K1325" s="72">
        <v>0.857142857142857</v>
      </c>
      <c r="L1325" s="73">
        <v>0.972222222222222</v>
      </c>
      <c r="M1325" s="72">
        <v>0.935275080906149</v>
      </c>
      <c r="N1325" s="74">
        <v>0.9</v>
      </c>
      <c r="O1325" s="72">
        <v>0.988382099827883</v>
      </c>
      <c r="P1325" s="72">
        <v>0.987467588591184</v>
      </c>
      <c r="Q1325" s="72">
        <v>0.992196209587514</v>
      </c>
      <c r="R1325" s="72">
        <v>0.988362652232747</v>
      </c>
      <c r="S1325" s="74">
        <v>0.9</v>
      </c>
      <c r="T1325" s="72">
        <v>0.956110154905336</v>
      </c>
      <c r="U1325" s="72">
        <v>0.966724286949006</v>
      </c>
      <c r="V1325" s="72">
        <v>0.959866220735786</v>
      </c>
      <c r="W1325" s="72">
        <v>0.955435272891295</v>
      </c>
      <c r="X1325" s="74">
        <v>0.92</v>
      </c>
      <c r="Y1325" s="74">
        <v>0</v>
      </c>
      <c r="Z1325" s="74">
        <v>0</v>
      </c>
      <c r="AA1325" s="74">
        <v>0</v>
      </c>
      <c r="AB1325" s="74">
        <v>1</v>
      </c>
      <c r="AC1325" s="74">
        <v>0.92</v>
      </c>
      <c r="AD1325" s="72">
        <v>0.993650793650794</v>
      </c>
      <c r="AE1325" s="72">
        <v>0.991967871485944</v>
      </c>
      <c r="AF1325" s="72">
        <v>1</v>
      </c>
      <c r="AG1325" s="72">
        <v>0.996360989810771</v>
      </c>
      <c r="AH1325" s="74">
        <v>0.92</v>
      </c>
      <c r="AI1325" s="72">
        <v>0.973321858864028</v>
      </c>
      <c r="AJ1325" s="72">
        <v>0.979688850475367</v>
      </c>
      <c r="AK1325" s="72">
        <v>0.987365291713118</v>
      </c>
      <c r="AL1325" s="72">
        <v>0.980921022957918</v>
      </c>
      <c r="AM1325" s="71">
        <v>0.99</v>
      </c>
      <c r="AN1325" s="76">
        <v>1</v>
      </c>
      <c r="AO1325" s="76">
        <v>1</v>
      </c>
      <c r="AP1325" s="76">
        <v>1</v>
      </c>
      <c r="AQ1325" s="76">
        <v>1</v>
      </c>
      <c r="AR1325" s="96">
        <v>0.0721861525408278</v>
      </c>
      <c r="AS1325" s="80">
        <v>0.125</v>
      </c>
      <c r="AT1325" s="80">
        <v>0.142857142857143</v>
      </c>
      <c r="AU1325" s="80">
        <v>0</v>
      </c>
      <c r="AV1325" s="80">
        <v>0.0307692307692308</v>
      </c>
      <c r="AW1325" s="36"/>
      <c r="AX1325" s="34"/>
    </row>
    <row r="1326" ht="14.5" spans="1:50">
      <c r="A1326" s="32"/>
      <c r="B1326" s="36"/>
      <c r="C1326" s="91" t="s">
        <v>1105</v>
      </c>
      <c r="D1326" s="69" t="s">
        <v>25</v>
      </c>
      <c r="E1326" s="129" t="s">
        <v>1375</v>
      </c>
      <c r="F1326" s="129" t="s">
        <v>1375</v>
      </c>
      <c r="G1326" s="129" t="s">
        <v>1375</v>
      </c>
      <c r="H1326" s="129" t="s">
        <v>1375</v>
      </c>
      <c r="I1326" s="71">
        <v>0.9</v>
      </c>
      <c r="J1326" s="72">
        <v>0.945945945945946</v>
      </c>
      <c r="K1326" s="72">
        <v>0.9</v>
      </c>
      <c r="L1326" s="73">
        <v>0.973684210526316</v>
      </c>
      <c r="M1326" s="72">
        <v>0.940828402366864</v>
      </c>
      <c r="N1326" s="74">
        <v>0.9</v>
      </c>
      <c r="O1326" s="72">
        <v>0.98512173128945</v>
      </c>
      <c r="P1326" s="72">
        <v>0.986516853932584</v>
      </c>
      <c r="Q1326" s="72">
        <v>0.989108511496571</v>
      </c>
      <c r="R1326" s="72">
        <v>0.975487115021999</v>
      </c>
      <c r="S1326" s="74">
        <v>0.9</v>
      </c>
      <c r="T1326" s="72">
        <v>0.947249774571686</v>
      </c>
      <c r="U1326" s="72">
        <v>0.960898876404494</v>
      </c>
      <c r="V1326" s="72">
        <v>0.966518757563534</v>
      </c>
      <c r="W1326" s="72">
        <v>0.953730116520814</v>
      </c>
      <c r="X1326" s="74">
        <v>0.92</v>
      </c>
      <c r="Y1326" s="74">
        <v>1</v>
      </c>
      <c r="Z1326" s="74">
        <v>0</v>
      </c>
      <c r="AA1326" s="74">
        <v>0</v>
      </c>
      <c r="AB1326" s="74">
        <v>1</v>
      </c>
      <c r="AC1326" s="74">
        <v>0.92</v>
      </c>
      <c r="AD1326" s="72">
        <v>1</v>
      </c>
      <c r="AE1326" s="72">
        <v>0.995967741935484</v>
      </c>
      <c r="AF1326" s="72">
        <v>1</v>
      </c>
      <c r="AG1326" s="72">
        <v>0.998875983514425</v>
      </c>
      <c r="AH1326" s="74">
        <v>0.92</v>
      </c>
      <c r="AI1326" s="72">
        <v>0.976566020730059</v>
      </c>
      <c r="AJ1326" s="72">
        <v>0.975730337078652</v>
      </c>
      <c r="AK1326" s="72">
        <v>0.984671238402582</v>
      </c>
      <c r="AL1326" s="72">
        <v>0.980999806613808</v>
      </c>
      <c r="AM1326" s="71">
        <v>0.99</v>
      </c>
      <c r="AN1326" s="76">
        <v>1</v>
      </c>
      <c r="AO1326" s="76">
        <v>1</v>
      </c>
      <c r="AP1326" s="76">
        <v>1</v>
      </c>
      <c r="AQ1326" s="76">
        <v>1</v>
      </c>
      <c r="AR1326" s="96">
        <v>0.0721861525408278</v>
      </c>
      <c r="AS1326" s="80">
        <v>0</v>
      </c>
      <c r="AT1326" s="80">
        <v>0</v>
      </c>
      <c r="AU1326" s="80">
        <v>0</v>
      </c>
      <c r="AV1326" s="80">
        <v>0.0196078431372549</v>
      </c>
      <c r="AW1326" s="36"/>
      <c r="AX1326" s="34"/>
    </row>
    <row r="1327" ht="14.5" spans="1:50">
      <c r="A1327" s="32"/>
      <c r="B1327" s="36"/>
      <c r="C1327" s="91" t="s">
        <v>1105</v>
      </c>
      <c r="D1327" s="69" t="s">
        <v>25</v>
      </c>
      <c r="E1327" s="129" t="s">
        <v>1376</v>
      </c>
      <c r="F1327" s="129" t="s">
        <v>1376</v>
      </c>
      <c r="G1327" s="129" t="s">
        <v>1376</v>
      </c>
      <c r="H1327" s="129" t="s">
        <v>1376</v>
      </c>
      <c r="I1327" s="71">
        <v>0.9</v>
      </c>
      <c r="J1327" s="72">
        <v>0.894736842105263</v>
      </c>
      <c r="K1327" s="72">
        <v>0.875</v>
      </c>
      <c r="L1327" s="73">
        <v>0.842105263157895</v>
      </c>
      <c r="M1327" s="72">
        <v>0.876208897485493</v>
      </c>
      <c r="N1327" s="74">
        <v>0.9</v>
      </c>
      <c r="O1327" s="72">
        <v>0.939623563920802</v>
      </c>
      <c r="P1327" s="72">
        <v>0.977016885553471</v>
      </c>
      <c r="Q1327" s="72">
        <v>0.986146095717884</v>
      </c>
      <c r="R1327" s="72">
        <v>0.975679720628586</v>
      </c>
      <c r="S1327" s="74">
        <v>0.9</v>
      </c>
      <c r="T1327" s="72">
        <v>0.907846492300171</v>
      </c>
      <c r="U1327" s="72">
        <v>0.924484052532833</v>
      </c>
      <c r="V1327" s="72">
        <v>0.935768261964736</v>
      </c>
      <c r="W1327" s="72">
        <v>0.925318034422549</v>
      </c>
      <c r="X1327" s="74">
        <v>0.92</v>
      </c>
      <c r="Y1327" s="74">
        <v>0</v>
      </c>
      <c r="Z1327" s="74">
        <v>0</v>
      </c>
      <c r="AA1327" s="74">
        <v>0</v>
      </c>
      <c r="AB1327" s="74">
        <v>0</v>
      </c>
      <c r="AC1327" s="74">
        <v>0.92</v>
      </c>
      <c r="AD1327" s="72">
        <v>1</v>
      </c>
      <c r="AE1327" s="72">
        <v>1</v>
      </c>
      <c r="AF1327" s="72">
        <v>1</v>
      </c>
      <c r="AG1327" s="72">
        <v>0.997453310696095</v>
      </c>
      <c r="AH1327" s="74">
        <v>0.92</v>
      </c>
      <c r="AI1327" s="72">
        <v>0.950146627565982</v>
      </c>
      <c r="AJ1327" s="72">
        <v>0.957786116322702</v>
      </c>
      <c r="AK1327" s="72">
        <v>0.971242653232578</v>
      </c>
      <c r="AL1327" s="72">
        <v>0.964705295452845</v>
      </c>
      <c r="AM1327" s="71">
        <v>0.99</v>
      </c>
      <c r="AN1327" s="76">
        <v>1</v>
      </c>
      <c r="AO1327" s="76">
        <v>1</v>
      </c>
      <c r="AP1327" s="76">
        <v>1</v>
      </c>
      <c r="AQ1327" s="76">
        <v>1</v>
      </c>
      <c r="AR1327" s="96">
        <v>0.0721861525408278</v>
      </c>
      <c r="AS1327" s="80">
        <v>0.0625</v>
      </c>
      <c r="AT1327" s="80">
        <v>0</v>
      </c>
      <c r="AU1327" s="80">
        <v>0.0454545454545455</v>
      </c>
      <c r="AV1327" s="80">
        <v>0.0393700787401575</v>
      </c>
      <c r="AW1327" s="36"/>
      <c r="AX1327" s="34"/>
    </row>
    <row r="1328" ht="14.5" spans="1:50">
      <c r="A1328" s="32"/>
      <c r="B1328" s="36"/>
      <c r="C1328" s="91" t="s">
        <v>1105</v>
      </c>
      <c r="D1328" s="69" t="s">
        <v>25</v>
      </c>
      <c r="E1328" s="129" t="s">
        <v>1377</v>
      </c>
      <c r="F1328" s="129" t="s">
        <v>1377</v>
      </c>
      <c r="G1328" s="129" t="s">
        <v>1377</v>
      </c>
      <c r="H1328" s="129" t="s">
        <v>1377</v>
      </c>
      <c r="I1328" s="71">
        <v>0.9</v>
      </c>
      <c r="J1328" s="72">
        <v>0.890243902439024</v>
      </c>
      <c r="K1328" s="72">
        <v>0.978021978021978</v>
      </c>
      <c r="L1328" s="73">
        <v>0.969072164948454</v>
      </c>
      <c r="M1328" s="72">
        <v>0.955828220858896</v>
      </c>
      <c r="N1328" s="74">
        <v>0.9</v>
      </c>
      <c r="O1328" s="72">
        <v>0.952141608391608</v>
      </c>
      <c r="P1328" s="72">
        <v>0.974846755442824</v>
      </c>
      <c r="Q1328" s="72">
        <v>0.969195225259915</v>
      </c>
      <c r="R1328" s="72">
        <v>0.980405196779327</v>
      </c>
      <c r="S1328" s="74">
        <v>0.9</v>
      </c>
      <c r="T1328" s="72">
        <v>0.936625874125874</v>
      </c>
      <c r="U1328" s="72">
        <v>0.930881420418516</v>
      </c>
      <c r="V1328" s="72">
        <v>0.948209472468233</v>
      </c>
      <c r="W1328" s="72">
        <v>0.938697955015082</v>
      </c>
      <c r="X1328" s="74">
        <v>0.92</v>
      </c>
      <c r="Y1328" s="74">
        <v>0.950385517934965</v>
      </c>
      <c r="Z1328" s="74">
        <v>0.916552040348464</v>
      </c>
      <c r="AA1328" s="74">
        <v>0.969455511288181</v>
      </c>
      <c r="AB1328" s="74">
        <v>0.955710020941942</v>
      </c>
      <c r="AC1328" s="74">
        <v>0.92</v>
      </c>
      <c r="AD1328" s="72">
        <v>1</v>
      </c>
      <c r="AE1328" s="72">
        <v>0.997323818019625</v>
      </c>
      <c r="AF1328" s="72">
        <v>0.990925589836661</v>
      </c>
      <c r="AG1328" s="72">
        <v>0.982929461395075</v>
      </c>
      <c r="AH1328" s="74">
        <v>0.92</v>
      </c>
      <c r="AI1328" s="72">
        <v>0.9698372800635</v>
      </c>
      <c r="AJ1328" s="72">
        <v>0.964988425925926</v>
      </c>
      <c r="AK1328" s="72">
        <v>0.98443579766537</v>
      </c>
      <c r="AL1328" s="72">
        <v>0.97722589740809</v>
      </c>
      <c r="AM1328" s="71">
        <v>0.99</v>
      </c>
      <c r="AN1328" s="76">
        <v>1</v>
      </c>
      <c r="AO1328" s="76">
        <v>1</v>
      </c>
      <c r="AP1328" s="76">
        <v>1</v>
      </c>
      <c r="AQ1328" s="76">
        <v>1</v>
      </c>
      <c r="AR1328" s="96">
        <v>0.0721861525408278</v>
      </c>
      <c r="AS1328" s="80">
        <v>0</v>
      </c>
      <c r="AT1328" s="80">
        <v>0</v>
      </c>
      <c r="AU1328" s="80">
        <v>0.114285714285714</v>
      </c>
      <c r="AV1328" s="80">
        <v>0.0611353711790393</v>
      </c>
      <c r="AW1328" s="36"/>
      <c r="AX1328" s="34"/>
    </row>
    <row r="1329" ht="14.5" spans="1:50">
      <c r="A1329" s="32"/>
      <c r="B1329" s="36"/>
      <c r="C1329" s="91" t="s">
        <v>1105</v>
      </c>
      <c r="D1329" s="69" t="s">
        <v>25</v>
      </c>
      <c r="E1329" s="129" t="s">
        <v>1378</v>
      </c>
      <c r="F1329" s="129" t="s">
        <v>1378</v>
      </c>
      <c r="G1329" s="129" t="s">
        <v>1378</v>
      </c>
      <c r="H1329" s="129" t="s">
        <v>1378</v>
      </c>
      <c r="I1329" s="71">
        <v>0.9</v>
      </c>
      <c r="J1329" s="72">
        <v>1</v>
      </c>
      <c r="K1329" s="72">
        <v>1</v>
      </c>
      <c r="L1329" s="73">
        <v>1</v>
      </c>
      <c r="M1329" s="72">
        <v>1</v>
      </c>
      <c r="N1329" s="74">
        <v>0.9</v>
      </c>
      <c r="O1329" s="72">
        <v>0.99617102744097</v>
      </c>
      <c r="P1329" s="72">
        <v>0.992490613266583</v>
      </c>
      <c r="Q1329" s="72">
        <v>0.993710691823899</v>
      </c>
      <c r="R1329" s="72">
        <v>0.994441503440974</v>
      </c>
      <c r="S1329" s="74">
        <v>0.9</v>
      </c>
      <c r="T1329" s="72">
        <v>0.94639438417358</v>
      </c>
      <c r="U1329" s="72">
        <v>0.968085106382979</v>
      </c>
      <c r="V1329" s="72">
        <v>0.975366876310273</v>
      </c>
      <c r="W1329" s="72">
        <v>0.965987294865008</v>
      </c>
      <c r="X1329" s="74">
        <v>0.92</v>
      </c>
      <c r="Y1329" s="74">
        <v>0</v>
      </c>
      <c r="Z1329" s="74">
        <v>0</v>
      </c>
      <c r="AA1329" s="74">
        <v>0</v>
      </c>
      <c r="AB1329" s="74">
        <v>0</v>
      </c>
      <c r="AC1329" s="74">
        <v>0.92</v>
      </c>
      <c r="AD1329" s="72">
        <v>1</v>
      </c>
      <c r="AE1329" s="72">
        <v>0.998735777496839</v>
      </c>
      <c r="AF1329" s="72">
        <v>0.997159090909091</v>
      </c>
      <c r="AG1329" s="72">
        <v>0.999266324284666</v>
      </c>
      <c r="AH1329" s="74">
        <v>0.92</v>
      </c>
      <c r="AI1329" s="72">
        <v>0.985960433950223</v>
      </c>
      <c r="AJ1329" s="72">
        <v>0.988735919899875</v>
      </c>
      <c r="AK1329" s="72">
        <v>0.995285489785228</v>
      </c>
      <c r="AL1329" s="72">
        <v>0.991993647852842</v>
      </c>
      <c r="AM1329" s="71">
        <v>0.99</v>
      </c>
      <c r="AN1329" s="76">
        <v>1</v>
      </c>
      <c r="AO1329" s="76">
        <v>1</v>
      </c>
      <c r="AP1329" s="76">
        <v>1</v>
      </c>
      <c r="AQ1329" s="76">
        <v>1</v>
      </c>
      <c r="AR1329" s="96">
        <v>0.0721861525408278</v>
      </c>
      <c r="AS1329" s="80">
        <v>0</v>
      </c>
      <c r="AT1329" s="80">
        <v>0</v>
      </c>
      <c r="AU1329" s="80">
        <v>0</v>
      </c>
      <c r="AV1329" s="80">
        <v>0.024390243902439</v>
      </c>
      <c r="AW1329" s="36"/>
      <c r="AX1329" s="34"/>
    </row>
    <row r="1330" ht="14.5" spans="1:50">
      <c r="A1330" s="32"/>
      <c r="B1330" s="36"/>
      <c r="C1330" s="91" t="s">
        <v>1105</v>
      </c>
      <c r="D1330" s="69" t="s">
        <v>25</v>
      </c>
      <c r="E1330" s="129" t="s">
        <v>1379</v>
      </c>
      <c r="F1330" s="129" t="s">
        <v>1379</v>
      </c>
      <c r="G1330" s="129" t="s">
        <v>1379</v>
      </c>
      <c r="H1330" s="129" t="s">
        <v>1379</v>
      </c>
      <c r="I1330" s="71">
        <v>0.9</v>
      </c>
      <c r="J1330" s="72">
        <v>0.923076923076923</v>
      </c>
      <c r="K1330" s="72">
        <v>0.923076923076923</v>
      </c>
      <c r="L1330" s="73">
        <v>0.96969696969697</v>
      </c>
      <c r="M1330" s="72">
        <v>0.969230769230769</v>
      </c>
      <c r="N1330" s="74">
        <v>0.9</v>
      </c>
      <c r="O1330" s="72">
        <v>0.989338071968014</v>
      </c>
      <c r="P1330" s="72">
        <v>0.959486562374649</v>
      </c>
      <c r="Q1330" s="72">
        <v>0.985190670122177</v>
      </c>
      <c r="R1330" s="72">
        <v>0.981194489758927</v>
      </c>
      <c r="S1330" s="74">
        <v>0.9</v>
      </c>
      <c r="T1330" s="72">
        <v>0.969791203909374</v>
      </c>
      <c r="U1330" s="72">
        <v>0.965904532691536</v>
      </c>
      <c r="V1330" s="72">
        <v>0.982228804146612</v>
      </c>
      <c r="W1330" s="72">
        <v>0.971905020844662</v>
      </c>
      <c r="X1330" s="74">
        <v>0.92</v>
      </c>
      <c r="Y1330" s="74">
        <v>0</v>
      </c>
      <c r="Z1330" s="74">
        <v>0</v>
      </c>
      <c r="AA1330" s="74">
        <v>0</v>
      </c>
      <c r="AB1330" s="74">
        <v>1</v>
      </c>
      <c r="AC1330" s="74">
        <v>0.92</v>
      </c>
      <c r="AD1330" s="72">
        <v>0.997061704211557</v>
      </c>
      <c r="AE1330" s="72">
        <v>0.99390243902439</v>
      </c>
      <c r="AF1330" s="72">
        <v>0.999</v>
      </c>
      <c r="AG1330" s="72">
        <v>0.995387149917628</v>
      </c>
      <c r="AH1330" s="74">
        <v>0.92</v>
      </c>
      <c r="AI1330" s="72">
        <v>0.984895601954687</v>
      </c>
      <c r="AJ1330" s="72">
        <v>0.990774167669475</v>
      </c>
      <c r="AK1330" s="72">
        <v>0.991114402073306</v>
      </c>
      <c r="AL1330" s="72">
        <v>0.988853142416965</v>
      </c>
      <c r="AM1330" s="71">
        <v>0.99</v>
      </c>
      <c r="AN1330" s="76">
        <v>1</v>
      </c>
      <c r="AO1330" s="76">
        <v>1</v>
      </c>
      <c r="AP1330" s="76">
        <v>1</v>
      </c>
      <c r="AQ1330" s="76">
        <v>1</v>
      </c>
      <c r="AR1330" s="96">
        <v>0.0721861525408278</v>
      </c>
      <c r="AS1330" s="80">
        <v>0</v>
      </c>
      <c r="AT1330" s="80">
        <v>0</v>
      </c>
      <c r="AU1330" s="80">
        <v>0</v>
      </c>
      <c r="AV1330" s="80">
        <v>0.0144927536231884</v>
      </c>
      <c r="AW1330" s="36"/>
      <c r="AX1330" s="34"/>
    </row>
    <row r="1331" ht="14.5" spans="1:50">
      <c r="A1331" s="32"/>
      <c r="B1331" s="36"/>
      <c r="C1331" s="91" t="s">
        <v>1105</v>
      </c>
      <c r="D1331" s="69" t="s">
        <v>25</v>
      </c>
      <c r="E1331" s="129" t="s">
        <v>1380</v>
      </c>
      <c r="F1331" s="129" t="s">
        <v>1380</v>
      </c>
      <c r="G1331" s="129" t="s">
        <v>1380</v>
      </c>
      <c r="H1331" s="129" t="s">
        <v>1380</v>
      </c>
      <c r="I1331" s="71">
        <v>0.9</v>
      </c>
      <c r="J1331" s="72">
        <v>1</v>
      </c>
      <c r="K1331" s="72">
        <v>0.979166666666667</v>
      </c>
      <c r="L1331" s="73">
        <v>1</v>
      </c>
      <c r="M1331" s="72">
        <v>0.988235294117647</v>
      </c>
      <c r="N1331" s="74">
        <v>0.9</v>
      </c>
      <c r="O1331" s="72">
        <v>0.988309953239813</v>
      </c>
      <c r="P1331" s="72">
        <v>0.990240927111924</v>
      </c>
      <c r="Q1331" s="72">
        <v>0.985491376950452</v>
      </c>
      <c r="R1331" s="72">
        <v>0.979461402749576</v>
      </c>
      <c r="S1331" s="74">
        <v>0.9</v>
      </c>
      <c r="T1331" s="72">
        <v>0.954241816967268</v>
      </c>
      <c r="U1331" s="72">
        <v>0.967978042086002</v>
      </c>
      <c r="V1331" s="72">
        <v>0.966876539830276</v>
      </c>
      <c r="W1331" s="72">
        <v>0.961585832695316</v>
      </c>
      <c r="X1331" s="74">
        <v>0.92</v>
      </c>
      <c r="Y1331" s="74">
        <v>0</v>
      </c>
      <c r="Z1331" s="74">
        <v>0</v>
      </c>
      <c r="AA1331" s="74">
        <v>0</v>
      </c>
      <c r="AB1331" s="74">
        <v>0</v>
      </c>
      <c r="AC1331" s="74">
        <v>0.92</v>
      </c>
      <c r="AD1331" s="72">
        <v>1</v>
      </c>
      <c r="AE1331" s="72">
        <v>0.998211091234347</v>
      </c>
      <c r="AF1331" s="72">
        <v>0.996911196911197</v>
      </c>
      <c r="AG1331" s="72">
        <v>0.998325425620988</v>
      </c>
      <c r="AH1331" s="74">
        <v>0.92</v>
      </c>
      <c r="AI1331" s="72">
        <v>0.978957915831663</v>
      </c>
      <c r="AJ1331" s="72">
        <v>0.977127172918573</v>
      </c>
      <c r="AK1331" s="72">
        <v>0.987955105392828</v>
      </c>
      <c r="AL1331" s="72">
        <v>0.983323347313761</v>
      </c>
      <c r="AM1331" s="71">
        <v>0.99</v>
      </c>
      <c r="AN1331" s="76">
        <v>1</v>
      </c>
      <c r="AO1331" s="76">
        <v>1</v>
      </c>
      <c r="AP1331" s="76">
        <v>1</v>
      </c>
      <c r="AQ1331" s="76">
        <v>1</v>
      </c>
      <c r="AR1331" s="96">
        <v>0.0721861525408278</v>
      </c>
      <c r="AS1331" s="80">
        <v>0.111111111111111</v>
      </c>
      <c r="AT1331" s="80">
        <v>0</v>
      </c>
      <c r="AU1331" s="80">
        <v>0</v>
      </c>
      <c r="AV1331" s="80">
        <v>0.0449438202247191</v>
      </c>
      <c r="AW1331" s="36"/>
      <c r="AX1331" s="34"/>
    </row>
    <row r="1332" ht="14.5" spans="1:50">
      <c r="A1332" s="32"/>
      <c r="B1332" s="36"/>
      <c r="C1332" s="91" t="s">
        <v>1105</v>
      </c>
      <c r="D1332" s="69" t="s">
        <v>25</v>
      </c>
      <c r="E1332" s="129" t="s">
        <v>1381</v>
      </c>
      <c r="F1332" s="129" t="s">
        <v>1381</v>
      </c>
      <c r="G1332" s="129" t="s">
        <v>1381</v>
      </c>
      <c r="H1332" s="129" t="s">
        <v>1381</v>
      </c>
      <c r="I1332" s="71">
        <v>0.9</v>
      </c>
      <c r="J1332" s="72">
        <v>1</v>
      </c>
      <c r="K1332" s="72">
        <v>0.956521739130435</v>
      </c>
      <c r="L1332" s="73">
        <v>1</v>
      </c>
      <c r="M1332" s="72">
        <v>0.963768115942029</v>
      </c>
      <c r="N1332" s="74">
        <v>0.9</v>
      </c>
      <c r="O1332" s="72">
        <v>0.989970968593296</v>
      </c>
      <c r="P1332" s="72">
        <v>0.99654071314529</v>
      </c>
      <c r="Q1332" s="72">
        <v>0.992399815753109</v>
      </c>
      <c r="R1332" s="72">
        <v>0.993010133902254</v>
      </c>
      <c r="S1332" s="74">
        <v>0.9</v>
      </c>
      <c r="T1332" s="72">
        <v>0.947215624175244</v>
      </c>
      <c r="U1332" s="72">
        <v>0.973390101117616</v>
      </c>
      <c r="V1332" s="72">
        <v>0.980423767848918</v>
      </c>
      <c r="W1332" s="72">
        <v>0.972882688150914</v>
      </c>
      <c r="X1332" s="74">
        <v>0.92</v>
      </c>
      <c r="Y1332" s="74">
        <v>0</v>
      </c>
      <c r="Z1332" s="74">
        <v>0</v>
      </c>
      <c r="AA1332" s="74">
        <v>0</v>
      </c>
      <c r="AB1332" s="74">
        <v>0</v>
      </c>
      <c r="AC1332" s="74">
        <v>0.92</v>
      </c>
      <c r="AD1332" s="72">
        <v>1</v>
      </c>
      <c r="AE1332" s="72">
        <v>0.988235294117647</v>
      </c>
      <c r="AF1332" s="72">
        <v>0.995726495726496</v>
      </c>
      <c r="AG1332" s="72">
        <v>0.998449612403101</v>
      </c>
      <c r="AH1332" s="74">
        <v>0.92</v>
      </c>
      <c r="AI1332" s="72">
        <v>0.978622327790974</v>
      </c>
      <c r="AJ1332" s="72">
        <v>0.989356040447046</v>
      </c>
      <c r="AK1332" s="72">
        <v>0.995854444956241</v>
      </c>
      <c r="AL1332" s="72">
        <v>0.992364483620133</v>
      </c>
      <c r="AM1332" s="71">
        <v>0.99</v>
      </c>
      <c r="AN1332" s="76">
        <v>1</v>
      </c>
      <c r="AO1332" s="76">
        <v>1</v>
      </c>
      <c r="AP1332" s="76">
        <v>1</v>
      </c>
      <c r="AQ1332" s="76">
        <v>1</v>
      </c>
      <c r="AR1332" s="96">
        <v>0.0721861525408278</v>
      </c>
      <c r="AS1332" s="80">
        <v>0</v>
      </c>
      <c r="AT1332" s="80">
        <v>0</v>
      </c>
      <c r="AU1332" s="80">
        <v>0.0526315789473684</v>
      </c>
      <c r="AV1332" s="80">
        <v>0.0215827338129496</v>
      </c>
      <c r="AW1332" s="36"/>
      <c r="AX1332" s="34"/>
    </row>
    <row r="1333" ht="14.5" spans="1:50">
      <c r="A1333" s="32"/>
      <c r="B1333" s="36"/>
      <c r="C1333" s="91" t="s">
        <v>1105</v>
      </c>
      <c r="D1333" s="69" t="s">
        <v>25</v>
      </c>
      <c r="E1333" s="129" t="s">
        <v>1382</v>
      </c>
      <c r="F1333" s="129" t="s">
        <v>1382</v>
      </c>
      <c r="G1333" s="129" t="s">
        <v>1382</v>
      </c>
      <c r="H1333" s="129" t="s">
        <v>1382</v>
      </c>
      <c r="I1333" s="71">
        <v>0.9</v>
      </c>
      <c r="J1333" s="72">
        <v>0.896103896103896</v>
      </c>
      <c r="K1333" s="72">
        <v>0.867469879518072</v>
      </c>
      <c r="L1333" s="73">
        <v>0.884615384615385</v>
      </c>
      <c r="M1333" s="72">
        <v>0.919718309859155</v>
      </c>
      <c r="N1333" s="74">
        <v>0.9</v>
      </c>
      <c r="O1333" s="72">
        <v>0.936190705514086</v>
      </c>
      <c r="P1333" s="72">
        <v>0.952534562211982</v>
      </c>
      <c r="Q1333" s="72">
        <v>0.937270170884707</v>
      </c>
      <c r="R1333" s="72">
        <v>0.949773102310231</v>
      </c>
      <c r="S1333" s="74">
        <v>0.9</v>
      </c>
      <c r="T1333" s="72">
        <v>0.897664339032025</v>
      </c>
      <c r="U1333" s="72">
        <v>0.924193548387097</v>
      </c>
      <c r="V1333" s="72">
        <v>0.91023145143846</v>
      </c>
      <c r="W1333" s="72">
        <v>0.914217202970297</v>
      </c>
      <c r="X1333" s="74">
        <v>0.92</v>
      </c>
      <c r="Y1333" s="74">
        <v>0.874955213185238</v>
      </c>
      <c r="Z1333" s="74">
        <v>0.934358974358974</v>
      </c>
      <c r="AA1333" s="74">
        <v>0.930317212688508</v>
      </c>
      <c r="AB1333" s="74">
        <v>0.917848554743093</v>
      </c>
      <c r="AC1333" s="74">
        <v>0.92</v>
      </c>
      <c r="AD1333" s="72">
        <v>0.998559077809798</v>
      </c>
      <c r="AE1333" s="72">
        <v>1</v>
      </c>
      <c r="AF1333" s="72">
        <v>0.99835661462613</v>
      </c>
      <c r="AG1333" s="72">
        <v>0.999012589484078</v>
      </c>
      <c r="AH1333" s="74">
        <v>0.92</v>
      </c>
      <c r="AI1333" s="72">
        <v>0.919354838709677</v>
      </c>
      <c r="AJ1333" s="72">
        <v>0.965182829888712</v>
      </c>
      <c r="AK1333" s="72">
        <v>0.965322334249924</v>
      </c>
      <c r="AL1333" s="72">
        <v>0.955581096612805</v>
      </c>
      <c r="AM1333" s="71">
        <v>0.99</v>
      </c>
      <c r="AN1333" s="76">
        <v>1</v>
      </c>
      <c r="AO1333" s="76">
        <v>1</v>
      </c>
      <c r="AP1333" s="76">
        <v>1</v>
      </c>
      <c r="AQ1333" s="76">
        <v>1</v>
      </c>
      <c r="AR1333" s="96">
        <v>0.0721861525408278</v>
      </c>
      <c r="AS1333" s="80">
        <v>0.0555555555555556</v>
      </c>
      <c r="AT1333" s="80">
        <v>0</v>
      </c>
      <c r="AU1333" s="80">
        <v>0.0833333333333333</v>
      </c>
      <c r="AV1333" s="80">
        <v>0.0196078431372549</v>
      </c>
      <c r="AW1333" s="36"/>
      <c r="AX1333" s="34"/>
    </row>
    <row r="1334" ht="14.5" spans="1:50">
      <c r="A1334" s="32"/>
      <c r="B1334" s="36"/>
      <c r="C1334" s="91" t="s">
        <v>1105</v>
      </c>
      <c r="D1334" s="69" t="s">
        <v>25</v>
      </c>
      <c r="E1334" s="129" t="s">
        <v>1383</v>
      </c>
      <c r="F1334" s="129" t="s">
        <v>1383</v>
      </c>
      <c r="G1334" s="129" t="s">
        <v>1383</v>
      </c>
      <c r="H1334" s="129" t="s">
        <v>1383</v>
      </c>
      <c r="I1334" s="71">
        <v>0.9</v>
      </c>
      <c r="J1334" s="72">
        <v>0.952380952380952</v>
      </c>
      <c r="K1334" s="72">
        <v>0.902439024390244</v>
      </c>
      <c r="L1334" s="73">
        <v>0.902439024390244</v>
      </c>
      <c r="M1334" s="72">
        <v>0.950520833333333</v>
      </c>
      <c r="N1334" s="74">
        <v>0.9</v>
      </c>
      <c r="O1334" s="72">
        <v>0.903392568659128</v>
      </c>
      <c r="P1334" s="72">
        <v>0.930097087378641</v>
      </c>
      <c r="Q1334" s="72">
        <v>0.929814865985079</v>
      </c>
      <c r="R1334" s="72">
        <v>0.946604475177768</v>
      </c>
      <c r="S1334" s="74">
        <v>0.9</v>
      </c>
      <c r="T1334" s="72">
        <v>0.890145395799677</v>
      </c>
      <c r="U1334" s="72">
        <v>0.90453074433657</v>
      </c>
      <c r="V1334" s="72">
        <v>0.871511467256148</v>
      </c>
      <c r="W1334" s="72">
        <v>0.908539369821906</v>
      </c>
      <c r="X1334" s="74">
        <v>0.92</v>
      </c>
      <c r="Y1334" s="74">
        <v>0</v>
      </c>
      <c r="Z1334" s="74">
        <v>0</v>
      </c>
      <c r="AA1334" s="74">
        <v>0</v>
      </c>
      <c r="AB1334" s="74">
        <v>0</v>
      </c>
      <c r="AC1334" s="74">
        <v>0.92</v>
      </c>
      <c r="AD1334" s="72">
        <v>0.992248062015504</v>
      </c>
      <c r="AE1334" s="72">
        <v>0.991304347826087</v>
      </c>
      <c r="AF1334" s="72">
        <v>1</v>
      </c>
      <c r="AG1334" s="72">
        <v>0.991911021233569</v>
      </c>
      <c r="AH1334" s="74">
        <v>0.92</v>
      </c>
      <c r="AI1334" s="72">
        <v>0.955411954765751</v>
      </c>
      <c r="AJ1334" s="72">
        <v>0.969902912621359</v>
      </c>
      <c r="AK1334" s="72">
        <v>0.977065487703786</v>
      </c>
      <c r="AL1334" s="72">
        <v>0.970611259703829</v>
      </c>
      <c r="AM1334" s="71">
        <v>0.99</v>
      </c>
      <c r="AN1334" s="76">
        <v>1</v>
      </c>
      <c r="AO1334" s="76">
        <v>1</v>
      </c>
      <c r="AP1334" s="76">
        <v>1</v>
      </c>
      <c r="AQ1334" s="76">
        <v>1</v>
      </c>
      <c r="AR1334" s="96">
        <v>0.0721861525408278</v>
      </c>
      <c r="AS1334" s="80">
        <v>0.142857142857143</v>
      </c>
      <c r="AT1334" s="80">
        <v>0.25</v>
      </c>
      <c r="AU1334" s="80">
        <v>0</v>
      </c>
      <c r="AV1334" s="80">
        <v>0.115942028985507</v>
      </c>
      <c r="AW1334" s="36"/>
      <c r="AX1334" s="34"/>
    </row>
    <row r="1335" ht="14.5" spans="1:50">
      <c r="A1335" s="32"/>
      <c r="B1335" s="36"/>
      <c r="C1335" s="91" t="s">
        <v>1105</v>
      </c>
      <c r="D1335" s="69" t="s">
        <v>25</v>
      </c>
      <c r="E1335" s="129" t="s">
        <v>1384</v>
      </c>
      <c r="F1335" s="129" t="s">
        <v>1384</v>
      </c>
      <c r="G1335" s="129" t="s">
        <v>1384</v>
      </c>
      <c r="H1335" s="129" t="s">
        <v>1384</v>
      </c>
      <c r="I1335" s="71">
        <v>0.9</v>
      </c>
      <c r="J1335" s="72">
        <v>0.96551724137931</v>
      </c>
      <c r="K1335" s="72">
        <v>1</v>
      </c>
      <c r="L1335" s="73">
        <v>0.911764705882353</v>
      </c>
      <c r="M1335" s="72">
        <v>0.979661016949153</v>
      </c>
      <c r="N1335" s="74">
        <v>0.9</v>
      </c>
      <c r="O1335" s="72">
        <v>0.985571142284569</v>
      </c>
      <c r="P1335" s="72">
        <v>0.987184319638145</v>
      </c>
      <c r="Q1335" s="72">
        <v>0.911169170476813</v>
      </c>
      <c r="R1335" s="72">
        <v>0.97785257209341</v>
      </c>
      <c r="S1335" s="74">
        <v>0.9</v>
      </c>
      <c r="T1335" s="72">
        <v>0.940280561122244</v>
      </c>
      <c r="U1335" s="72">
        <v>0.956275914059555</v>
      </c>
      <c r="V1335" s="72">
        <v>0.936969301110385</v>
      </c>
      <c r="W1335" s="72">
        <v>0.961106955871354</v>
      </c>
      <c r="X1335" s="74">
        <v>0.92</v>
      </c>
      <c r="Y1335" s="74">
        <v>0</v>
      </c>
      <c r="Z1335" s="74">
        <v>0</v>
      </c>
      <c r="AA1335" s="74">
        <v>0</v>
      </c>
      <c r="AB1335" s="74">
        <v>0</v>
      </c>
      <c r="AC1335" s="74">
        <v>0.92</v>
      </c>
      <c r="AD1335" s="72">
        <v>0.999686028257457</v>
      </c>
      <c r="AE1335" s="72">
        <v>0.999130434782609</v>
      </c>
      <c r="AF1335" s="72">
        <v>0.999319727891156</v>
      </c>
      <c r="AG1335" s="72">
        <v>0.999137455147668</v>
      </c>
      <c r="AH1335" s="74">
        <v>0.92</v>
      </c>
      <c r="AI1335" s="72">
        <v>0.974749498997996</v>
      </c>
      <c r="AJ1335" s="72">
        <v>0.96909159442141</v>
      </c>
      <c r="AK1335" s="72">
        <v>0.98203788373612</v>
      </c>
      <c r="AL1335" s="72">
        <v>0.978435201728508</v>
      </c>
      <c r="AM1335" s="71">
        <v>0.99</v>
      </c>
      <c r="AN1335" s="76">
        <v>1</v>
      </c>
      <c r="AO1335" s="76">
        <v>1</v>
      </c>
      <c r="AP1335" s="76">
        <v>1</v>
      </c>
      <c r="AQ1335" s="76">
        <v>1</v>
      </c>
      <c r="AR1335" s="96">
        <v>0.0721861525408278</v>
      </c>
      <c r="AS1335" s="80">
        <v>0</v>
      </c>
      <c r="AT1335" s="80">
        <v>0</v>
      </c>
      <c r="AU1335" s="80">
        <v>0</v>
      </c>
      <c r="AV1335" s="80">
        <v>0</v>
      </c>
      <c r="AW1335" s="36"/>
      <c r="AX1335" s="34"/>
    </row>
    <row r="1336" ht="14.5" spans="1:50">
      <c r="A1336" s="32"/>
      <c r="B1336" s="36"/>
      <c r="C1336" s="91" t="s">
        <v>1105</v>
      </c>
      <c r="D1336" s="69" t="s">
        <v>25</v>
      </c>
      <c r="E1336" s="129" t="s">
        <v>1385</v>
      </c>
      <c r="F1336" s="129" t="s">
        <v>1385</v>
      </c>
      <c r="G1336" s="129" t="s">
        <v>1385</v>
      </c>
      <c r="H1336" s="129" t="s">
        <v>1385</v>
      </c>
      <c r="I1336" s="71">
        <v>0.9</v>
      </c>
      <c r="J1336" s="72">
        <v>0.954545454545455</v>
      </c>
      <c r="K1336" s="72">
        <v>1</v>
      </c>
      <c r="L1336" s="73">
        <v>1</v>
      </c>
      <c r="M1336" s="72">
        <v>0.964102564102564</v>
      </c>
      <c r="N1336" s="74">
        <v>0.9</v>
      </c>
      <c r="O1336" s="72">
        <v>0.96301703163017</v>
      </c>
      <c r="P1336" s="72">
        <v>0.919590643274854</v>
      </c>
      <c r="Q1336" s="72">
        <v>0.96304163126593</v>
      </c>
      <c r="R1336" s="72">
        <v>0.951091889583</v>
      </c>
      <c r="S1336" s="74">
        <v>0.9</v>
      </c>
      <c r="T1336" s="72">
        <v>0.934793187347932</v>
      </c>
      <c r="U1336" s="72">
        <v>0.906432748538012</v>
      </c>
      <c r="V1336" s="72">
        <v>0.943500424808836</v>
      </c>
      <c r="W1336" s="72">
        <v>0.925516578567996</v>
      </c>
      <c r="X1336" s="74">
        <v>0.92</v>
      </c>
      <c r="Y1336" s="74">
        <v>0</v>
      </c>
      <c r="Z1336" s="74">
        <v>0</v>
      </c>
      <c r="AA1336" s="74">
        <v>0</v>
      </c>
      <c r="AB1336" s="74">
        <v>1</v>
      </c>
      <c r="AC1336" s="74">
        <v>0.92</v>
      </c>
      <c r="AD1336" s="72">
        <v>0.994638069705094</v>
      </c>
      <c r="AE1336" s="72">
        <v>0.996129032258064</v>
      </c>
      <c r="AF1336" s="72">
        <v>0.987240829346092</v>
      </c>
      <c r="AG1336" s="72">
        <v>0.994882600842866</v>
      </c>
      <c r="AH1336" s="74">
        <v>0.92</v>
      </c>
      <c r="AI1336" s="72">
        <v>0.959610705596107</v>
      </c>
      <c r="AJ1336" s="72">
        <v>0.955653021442495</v>
      </c>
      <c r="AK1336" s="72">
        <v>0.978334749362787</v>
      </c>
      <c r="AL1336" s="72">
        <v>0.959903897490657</v>
      </c>
      <c r="AM1336" s="71">
        <v>0.99</v>
      </c>
      <c r="AN1336" s="76">
        <v>0</v>
      </c>
      <c r="AO1336" s="76">
        <v>1</v>
      </c>
      <c r="AP1336" s="76">
        <v>1</v>
      </c>
      <c r="AQ1336" s="76">
        <v>1</v>
      </c>
      <c r="AR1336" s="96">
        <v>0.0721861525408278</v>
      </c>
      <c r="AS1336" s="80">
        <v>0</v>
      </c>
      <c r="AT1336" s="80">
        <v>0.0833333333333333</v>
      </c>
      <c r="AU1336" s="80">
        <v>0</v>
      </c>
      <c r="AV1336" s="80">
        <v>0.0606060606060606</v>
      </c>
      <c r="AW1336" s="36"/>
      <c r="AX1336" s="34"/>
    </row>
    <row r="1337" ht="14.5" spans="1:50">
      <c r="A1337" s="32"/>
      <c r="B1337" s="36"/>
      <c r="C1337" s="91" t="s">
        <v>1105</v>
      </c>
      <c r="D1337" s="69" t="s">
        <v>25</v>
      </c>
      <c r="E1337" s="129" t="s">
        <v>1386</v>
      </c>
      <c r="F1337" s="129" t="s">
        <v>1386</v>
      </c>
      <c r="G1337" s="129" t="s">
        <v>1386</v>
      </c>
      <c r="H1337" s="129" t="s">
        <v>1386</v>
      </c>
      <c r="I1337" s="71">
        <v>0.9</v>
      </c>
      <c r="J1337" s="72">
        <v>0.944444444444444</v>
      </c>
      <c r="K1337" s="72">
        <v>0.82051282051282</v>
      </c>
      <c r="L1337" s="73">
        <v>0.871794871794872</v>
      </c>
      <c r="M1337" s="72">
        <v>0.885964912280702</v>
      </c>
      <c r="N1337" s="74">
        <v>0.9</v>
      </c>
      <c r="O1337" s="72">
        <v>0.849736379613357</v>
      </c>
      <c r="P1337" s="72">
        <v>0.935057471264368</v>
      </c>
      <c r="Q1337" s="72">
        <v>0.912306558585114</v>
      </c>
      <c r="R1337" s="72">
        <v>0.914120077708224</v>
      </c>
      <c r="S1337" s="74">
        <v>0.9</v>
      </c>
      <c r="T1337" s="72">
        <v>0.821031048623316</v>
      </c>
      <c r="U1337" s="72">
        <v>0.904022988505747</v>
      </c>
      <c r="V1337" s="72">
        <v>0.850896585605502</v>
      </c>
      <c r="W1337" s="72">
        <v>0.870332110148324</v>
      </c>
      <c r="X1337" s="74">
        <v>0.92</v>
      </c>
      <c r="Y1337" s="74">
        <v>0</v>
      </c>
      <c r="Z1337" s="74">
        <v>0</v>
      </c>
      <c r="AA1337" s="74">
        <v>0</v>
      </c>
      <c r="AB1337" s="74">
        <v>0</v>
      </c>
      <c r="AC1337" s="74">
        <v>0.92</v>
      </c>
      <c r="AD1337" s="72">
        <v>0.993975903614458</v>
      </c>
      <c r="AE1337" s="72">
        <v>0.988</v>
      </c>
      <c r="AF1337" s="72">
        <v>0.994594594594595</v>
      </c>
      <c r="AG1337" s="72">
        <v>0.986125933831377</v>
      </c>
      <c r="AH1337" s="74">
        <v>0.92</v>
      </c>
      <c r="AI1337" s="72">
        <v>0.955197657393851</v>
      </c>
      <c r="AJ1337" s="72">
        <v>0.966091954022989</v>
      </c>
      <c r="AK1337" s="72">
        <v>0.967575534266765</v>
      </c>
      <c r="AL1337" s="72">
        <v>0.966234967622572</v>
      </c>
      <c r="AM1337" s="71">
        <v>0.99</v>
      </c>
      <c r="AN1337" s="76">
        <v>1</v>
      </c>
      <c r="AO1337" s="76">
        <v>1</v>
      </c>
      <c r="AP1337" s="76">
        <v>1</v>
      </c>
      <c r="AQ1337" s="76">
        <v>1</v>
      </c>
      <c r="AR1337" s="96">
        <v>0.0721861525408278</v>
      </c>
      <c r="AS1337" s="80">
        <v>0.0769230769230769</v>
      </c>
      <c r="AT1337" s="80">
        <v>0.0833333333333333</v>
      </c>
      <c r="AU1337" s="80">
        <v>0.133333333333333</v>
      </c>
      <c r="AV1337" s="80">
        <v>0.101010101010101</v>
      </c>
      <c r="AW1337" s="36"/>
      <c r="AX1337" s="34"/>
    </row>
    <row r="1338" ht="14.5" spans="1:50">
      <c r="A1338" s="32"/>
      <c r="B1338" s="36"/>
      <c r="C1338" s="91" t="s">
        <v>1105</v>
      </c>
      <c r="D1338" s="69" t="s">
        <v>25</v>
      </c>
      <c r="E1338" s="129" t="s">
        <v>1387</v>
      </c>
      <c r="F1338" s="129" t="s">
        <v>1387</v>
      </c>
      <c r="G1338" s="129" t="s">
        <v>1387</v>
      </c>
      <c r="H1338" s="129" t="s">
        <v>1387</v>
      </c>
      <c r="I1338" s="71">
        <v>0.9</v>
      </c>
      <c r="J1338" s="72">
        <v>0</v>
      </c>
      <c r="K1338" s="72">
        <v>0</v>
      </c>
      <c r="L1338" s="73">
        <v>0</v>
      </c>
      <c r="M1338" s="72">
        <v>0</v>
      </c>
      <c r="N1338" s="74">
        <v>0.9</v>
      </c>
      <c r="O1338" s="72">
        <v>0</v>
      </c>
      <c r="P1338" s="72">
        <v>0</v>
      </c>
      <c r="Q1338" s="72">
        <v>0</v>
      </c>
      <c r="R1338" s="72">
        <v>0</v>
      </c>
      <c r="S1338" s="74">
        <v>0.9</v>
      </c>
      <c r="T1338" s="72">
        <v>1</v>
      </c>
      <c r="U1338" s="72">
        <v>1</v>
      </c>
      <c r="V1338" s="72">
        <v>1</v>
      </c>
      <c r="W1338" s="72">
        <v>1</v>
      </c>
      <c r="X1338" s="74">
        <v>0.92</v>
      </c>
      <c r="Y1338" s="74">
        <v>1</v>
      </c>
      <c r="Z1338" s="74">
        <v>1</v>
      </c>
      <c r="AA1338" s="74">
        <v>1</v>
      </c>
      <c r="AB1338" s="74">
        <v>1</v>
      </c>
      <c r="AC1338" s="74">
        <v>0.92</v>
      </c>
      <c r="AD1338" s="72">
        <v>1</v>
      </c>
      <c r="AE1338" s="72">
        <v>0.992125984251969</v>
      </c>
      <c r="AF1338" s="72">
        <v>1</v>
      </c>
      <c r="AG1338" s="72">
        <v>0.99792531120332</v>
      </c>
      <c r="AH1338" s="74">
        <v>0.92</v>
      </c>
      <c r="AI1338" s="72">
        <v>1</v>
      </c>
      <c r="AJ1338" s="72">
        <v>1</v>
      </c>
      <c r="AK1338" s="72">
        <v>1</v>
      </c>
      <c r="AL1338" s="72">
        <v>1</v>
      </c>
      <c r="AM1338" s="71">
        <v>0.99</v>
      </c>
      <c r="AN1338" s="76">
        <v>0</v>
      </c>
      <c r="AO1338" s="76">
        <v>0</v>
      </c>
      <c r="AP1338" s="76">
        <v>0</v>
      </c>
      <c r="AQ1338" s="76">
        <v>1</v>
      </c>
      <c r="AR1338" s="96">
        <v>0.0721861525408278</v>
      </c>
      <c r="AS1338" s="80">
        <v>0</v>
      </c>
      <c r="AT1338" s="80">
        <v>0</v>
      </c>
      <c r="AU1338" s="80">
        <v>0</v>
      </c>
      <c r="AV1338" s="80">
        <v>0</v>
      </c>
      <c r="AW1338" s="36"/>
      <c r="AX1338" s="34"/>
    </row>
    <row r="1339" ht="14.5" spans="1:50">
      <c r="A1339" s="32"/>
      <c r="B1339" s="36"/>
      <c r="C1339" s="91" t="s">
        <v>1105</v>
      </c>
      <c r="D1339" s="69" t="s">
        <v>25</v>
      </c>
      <c r="E1339" s="129" t="s">
        <v>1388</v>
      </c>
      <c r="F1339" s="129" t="s">
        <v>1388</v>
      </c>
      <c r="G1339" s="129" t="s">
        <v>1388</v>
      </c>
      <c r="H1339" s="129" t="s">
        <v>1388</v>
      </c>
      <c r="I1339" s="71">
        <v>0.9</v>
      </c>
      <c r="J1339" s="72">
        <v>0.942857142857143</v>
      </c>
      <c r="K1339" s="72">
        <v>0.933333333333333</v>
      </c>
      <c r="L1339" s="73">
        <v>0.928571428571429</v>
      </c>
      <c r="M1339" s="72">
        <v>0.921259842519685</v>
      </c>
      <c r="N1339" s="74">
        <v>0.9</v>
      </c>
      <c r="O1339" s="72">
        <v>0.926735218508997</v>
      </c>
      <c r="P1339" s="72">
        <v>0.969921714050268</v>
      </c>
      <c r="Q1339" s="72">
        <v>0.955555555555556</v>
      </c>
      <c r="R1339" s="72">
        <v>0.969611836868474</v>
      </c>
      <c r="S1339" s="74">
        <v>0.9</v>
      </c>
      <c r="T1339" s="72">
        <v>0.919451585261354</v>
      </c>
      <c r="U1339" s="72">
        <v>0.942315615986815</v>
      </c>
      <c r="V1339" s="72">
        <v>0.953606237816764</v>
      </c>
      <c r="W1339" s="72">
        <v>0.945217024863043</v>
      </c>
      <c r="X1339" s="74">
        <v>0.92</v>
      </c>
      <c r="Y1339" s="74">
        <v>0.926470588235294</v>
      </c>
      <c r="Z1339" s="74">
        <v>0.949121184088807</v>
      </c>
      <c r="AA1339" s="74">
        <v>0.961121157323689</v>
      </c>
      <c r="AB1339" s="74">
        <v>0.95551052770681</v>
      </c>
      <c r="AC1339" s="74">
        <v>0.92</v>
      </c>
      <c r="AD1339" s="72">
        <v>0.991101491101491</v>
      </c>
      <c r="AE1339" s="72">
        <v>0.994494973671613</v>
      </c>
      <c r="AF1339" s="72">
        <v>0.99555659494855</v>
      </c>
      <c r="AG1339" s="72">
        <v>0.99061132475799</v>
      </c>
      <c r="AH1339" s="74">
        <v>0.92</v>
      </c>
      <c r="AI1339" s="72">
        <v>0.952684742158426</v>
      </c>
      <c r="AJ1339" s="72">
        <v>0.971216870903391</v>
      </c>
      <c r="AK1339" s="72">
        <v>0.978207572868428</v>
      </c>
      <c r="AL1339" s="72">
        <v>0.973315808778579</v>
      </c>
      <c r="AM1339" s="71">
        <v>0.99</v>
      </c>
      <c r="AN1339" s="76">
        <v>1</v>
      </c>
      <c r="AO1339" s="76">
        <v>1</v>
      </c>
      <c r="AP1339" s="76">
        <v>1</v>
      </c>
      <c r="AQ1339" s="76">
        <v>1</v>
      </c>
      <c r="AR1339" s="96">
        <v>0.0721861525408278</v>
      </c>
      <c r="AS1339" s="80">
        <v>0.25</v>
      </c>
      <c r="AT1339" s="80">
        <v>0</v>
      </c>
      <c r="AU1339" s="80">
        <v>0.0769230769230769</v>
      </c>
      <c r="AV1339" s="80">
        <v>0.0721649484536082</v>
      </c>
      <c r="AW1339" s="36"/>
      <c r="AX1339" s="34"/>
    </row>
    <row r="1340" ht="14.5" spans="1:50">
      <c r="A1340" s="32"/>
      <c r="B1340" s="36"/>
      <c r="C1340" s="91" t="s">
        <v>1105</v>
      </c>
      <c r="D1340" s="69" t="s">
        <v>25</v>
      </c>
      <c r="E1340" s="129" t="s">
        <v>1389</v>
      </c>
      <c r="F1340" s="129" t="s">
        <v>1389</v>
      </c>
      <c r="G1340" s="129" t="s">
        <v>1389</v>
      </c>
      <c r="H1340" s="129" t="s">
        <v>1389</v>
      </c>
      <c r="I1340" s="71">
        <v>0.9</v>
      </c>
      <c r="J1340" s="72">
        <v>0.878787878787879</v>
      </c>
      <c r="K1340" s="72">
        <v>0.914285714285714</v>
      </c>
      <c r="L1340" s="73">
        <v>0.947368421052632</v>
      </c>
      <c r="M1340" s="72">
        <v>0.910179640718563</v>
      </c>
      <c r="N1340" s="74">
        <v>0.9</v>
      </c>
      <c r="O1340" s="72">
        <v>0.916666666666667</v>
      </c>
      <c r="P1340" s="72">
        <v>0.886441321686289</v>
      </c>
      <c r="Q1340" s="72">
        <v>0.925038639876352</v>
      </c>
      <c r="R1340" s="72">
        <v>0.928420616849514</v>
      </c>
      <c r="S1340" s="74">
        <v>0.9</v>
      </c>
      <c r="T1340" s="72">
        <v>0.915262172284644</v>
      </c>
      <c r="U1340" s="72">
        <v>0.917204709456893</v>
      </c>
      <c r="V1340" s="72">
        <v>0.921561051004637</v>
      </c>
      <c r="W1340" s="72">
        <v>0.927054440074519</v>
      </c>
      <c r="X1340" s="74">
        <v>0.92</v>
      </c>
      <c r="Y1340" s="74">
        <v>0.928651059085842</v>
      </c>
      <c r="Z1340" s="74">
        <v>1</v>
      </c>
      <c r="AA1340" s="74">
        <v>0.954186413902054</v>
      </c>
      <c r="AB1340" s="74">
        <v>0.952430600808028</v>
      </c>
      <c r="AC1340" s="74">
        <v>0.92</v>
      </c>
      <c r="AD1340" s="72">
        <v>0.976269775187344</v>
      </c>
      <c r="AE1340" s="72">
        <v>0.986669443865861</v>
      </c>
      <c r="AF1340" s="72">
        <v>0.995424504321301</v>
      </c>
      <c r="AG1340" s="72">
        <v>0.992353579175705</v>
      </c>
      <c r="AH1340" s="74">
        <v>0.92</v>
      </c>
      <c r="AI1340" s="72">
        <v>0.958127266732608</v>
      </c>
      <c r="AJ1340" s="72">
        <v>0.977981651376147</v>
      </c>
      <c r="AK1340" s="72">
        <v>0.968805704099822</v>
      </c>
      <c r="AL1340" s="72">
        <v>0.967370392871608</v>
      </c>
      <c r="AM1340" s="71">
        <v>0.99</v>
      </c>
      <c r="AN1340" s="76">
        <v>1</v>
      </c>
      <c r="AO1340" s="76">
        <v>1</v>
      </c>
      <c r="AP1340" s="76">
        <v>1</v>
      </c>
      <c r="AQ1340" s="76">
        <v>1</v>
      </c>
      <c r="AR1340" s="96">
        <v>0.0721861525408278</v>
      </c>
      <c r="AS1340" s="80">
        <v>0.185185185185185</v>
      </c>
      <c r="AT1340" s="80">
        <v>0.0384615384615385</v>
      </c>
      <c r="AU1340" s="80">
        <v>0.0833333333333333</v>
      </c>
      <c r="AV1340" s="80">
        <v>0.0607476635514019</v>
      </c>
      <c r="AW1340" s="36"/>
      <c r="AX1340" s="34"/>
    </row>
    <row r="1341" ht="14.5" spans="1:50">
      <c r="A1341" s="32"/>
      <c r="B1341" s="36"/>
      <c r="C1341" s="91" t="s">
        <v>1105</v>
      </c>
      <c r="D1341" s="69" t="s">
        <v>25</v>
      </c>
      <c r="E1341" s="129" t="s">
        <v>1390</v>
      </c>
      <c r="F1341" s="129" t="s">
        <v>1390</v>
      </c>
      <c r="G1341" s="129" t="s">
        <v>1390</v>
      </c>
      <c r="H1341" s="129" t="s">
        <v>1390</v>
      </c>
      <c r="I1341" s="71">
        <v>0.9</v>
      </c>
      <c r="J1341" s="72">
        <v>0.75</v>
      </c>
      <c r="K1341" s="72">
        <v>0.851851851851852</v>
      </c>
      <c r="L1341" s="73">
        <v>0.8</v>
      </c>
      <c r="M1341" s="72">
        <v>0.851145038167939</v>
      </c>
      <c r="N1341" s="74">
        <v>0.9</v>
      </c>
      <c r="O1341" s="72">
        <v>0.888255915863278</v>
      </c>
      <c r="P1341" s="72">
        <v>0.927867560110367</v>
      </c>
      <c r="Q1341" s="72">
        <v>0.911685994647636</v>
      </c>
      <c r="R1341" s="72">
        <v>0.931516318570088</v>
      </c>
      <c r="S1341" s="74">
        <v>0.9</v>
      </c>
      <c r="T1341" s="72">
        <v>0.882120946538124</v>
      </c>
      <c r="U1341" s="72">
        <v>0.93732755222704</v>
      </c>
      <c r="V1341" s="72">
        <v>0.93800178412132</v>
      </c>
      <c r="W1341" s="72">
        <v>0.929245050116032</v>
      </c>
      <c r="X1341" s="74">
        <v>0.92</v>
      </c>
      <c r="Y1341" s="74">
        <v>0.893858477970627</v>
      </c>
      <c r="Z1341" s="74">
        <v>0.951187335092348</v>
      </c>
      <c r="AA1341" s="74">
        <v>0.966253443526171</v>
      </c>
      <c r="AB1341" s="74">
        <v>0.953712695021687</v>
      </c>
      <c r="AC1341" s="74">
        <v>0.92</v>
      </c>
      <c r="AD1341" s="72">
        <v>1</v>
      </c>
      <c r="AE1341" s="72">
        <v>0.998586239396795</v>
      </c>
      <c r="AF1341" s="72">
        <v>0.998944033790919</v>
      </c>
      <c r="AG1341" s="72">
        <v>0.998216853609433</v>
      </c>
      <c r="AH1341" s="74">
        <v>0.92</v>
      </c>
      <c r="AI1341" s="72">
        <v>0.913492063492063</v>
      </c>
      <c r="AJ1341" s="72">
        <v>0.963977300764866</v>
      </c>
      <c r="AK1341" s="72">
        <v>0.978072550081213</v>
      </c>
      <c r="AL1341" s="72">
        <v>0.965071006414386</v>
      </c>
      <c r="AM1341" s="71">
        <v>0.99</v>
      </c>
      <c r="AN1341" s="76">
        <v>1</v>
      </c>
      <c r="AO1341" s="76">
        <v>1</v>
      </c>
      <c r="AP1341" s="76">
        <v>1</v>
      </c>
      <c r="AQ1341" s="76">
        <v>1</v>
      </c>
      <c r="AR1341" s="96">
        <v>0.0721861525408278</v>
      </c>
      <c r="AS1341" s="80">
        <v>0.222222222222222</v>
      </c>
      <c r="AT1341" s="80">
        <v>0.105263157894737</v>
      </c>
      <c r="AU1341" s="80">
        <v>0</v>
      </c>
      <c r="AV1341" s="80">
        <v>0.0634146341463415</v>
      </c>
      <c r="AW1341" s="36"/>
      <c r="AX1341" s="34"/>
    </row>
    <row r="1342" ht="14.5" spans="1:50">
      <c r="A1342" s="32"/>
      <c r="B1342" s="36"/>
      <c r="C1342" s="91" t="s">
        <v>1105</v>
      </c>
      <c r="D1342" s="69" t="s">
        <v>25</v>
      </c>
      <c r="E1342" s="129" t="s">
        <v>1391</v>
      </c>
      <c r="F1342" s="129" t="s">
        <v>1391</v>
      </c>
      <c r="G1342" s="129" t="s">
        <v>1391</v>
      </c>
      <c r="H1342" s="129" t="s">
        <v>1391</v>
      </c>
      <c r="I1342" s="71">
        <v>0.9</v>
      </c>
      <c r="J1342" s="72">
        <v>0</v>
      </c>
      <c r="K1342" s="72">
        <v>0</v>
      </c>
      <c r="L1342" s="73">
        <v>0</v>
      </c>
      <c r="M1342" s="72">
        <v>0</v>
      </c>
      <c r="N1342" s="74">
        <v>0.9</v>
      </c>
      <c r="O1342" s="72">
        <v>0.6</v>
      </c>
      <c r="P1342" s="72">
        <v>0</v>
      </c>
      <c r="Q1342" s="72">
        <v>0</v>
      </c>
      <c r="R1342" s="72">
        <v>0.666666666666667</v>
      </c>
      <c r="S1342" s="74">
        <v>0.9</v>
      </c>
      <c r="T1342" s="72">
        <v>0.6</v>
      </c>
      <c r="U1342" s="72">
        <v>0</v>
      </c>
      <c r="V1342" s="72">
        <v>0</v>
      </c>
      <c r="W1342" s="72">
        <v>0.75</v>
      </c>
      <c r="X1342" s="74">
        <v>0.92</v>
      </c>
      <c r="Y1342" s="74">
        <v>0</v>
      </c>
      <c r="Z1342" s="74">
        <v>0</v>
      </c>
      <c r="AA1342" s="74">
        <v>0</v>
      </c>
      <c r="AB1342" s="74">
        <v>0</v>
      </c>
      <c r="AC1342" s="74">
        <v>0.92</v>
      </c>
      <c r="AD1342" s="72">
        <v>0.996971365638767</v>
      </c>
      <c r="AE1342" s="72">
        <v>0.999782608695652</v>
      </c>
      <c r="AF1342" s="72">
        <v>0.998400731094357</v>
      </c>
      <c r="AG1342" s="72">
        <v>0.993399481387823</v>
      </c>
      <c r="AH1342" s="74">
        <v>0.92</v>
      </c>
      <c r="AI1342" s="72">
        <v>0.6</v>
      </c>
      <c r="AJ1342" s="72">
        <v>0</v>
      </c>
      <c r="AK1342" s="72">
        <v>0</v>
      </c>
      <c r="AL1342" s="72">
        <v>0.866666666666667</v>
      </c>
      <c r="AM1342" s="71">
        <v>0.99</v>
      </c>
      <c r="AN1342" s="76">
        <v>1</v>
      </c>
      <c r="AO1342" s="76">
        <v>1</v>
      </c>
      <c r="AP1342" s="76">
        <v>1</v>
      </c>
      <c r="AQ1342" s="76">
        <v>1</v>
      </c>
      <c r="AR1342" s="96">
        <v>0.0721861525408278</v>
      </c>
      <c r="AS1342" s="80">
        <v>0</v>
      </c>
      <c r="AT1342" s="80">
        <v>0</v>
      </c>
      <c r="AU1342" s="80">
        <v>0</v>
      </c>
      <c r="AV1342" s="80">
        <v>0</v>
      </c>
      <c r="AW1342" s="36"/>
      <c r="AX1342" s="34"/>
    </row>
    <row r="1343" ht="14.5" spans="1:50">
      <c r="A1343" s="32"/>
      <c r="B1343" s="36"/>
      <c r="C1343" s="91" t="s">
        <v>1105</v>
      </c>
      <c r="D1343" s="69" t="s">
        <v>25</v>
      </c>
      <c r="E1343" s="129" t="s">
        <v>1392</v>
      </c>
      <c r="F1343" s="129" t="s">
        <v>1392</v>
      </c>
      <c r="G1343" s="129" t="s">
        <v>1392</v>
      </c>
      <c r="H1343" s="129" t="s">
        <v>1392</v>
      </c>
      <c r="I1343" s="71">
        <v>0.9</v>
      </c>
      <c r="J1343" s="72">
        <v>0.818181818181818</v>
      </c>
      <c r="K1343" s="72">
        <v>0.916666666666667</v>
      </c>
      <c r="L1343" s="73">
        <v>0.75</v>
      </c>
      <c r="M1343" s="72">
        <v>0.843478260869565</v>
      </c>
      <c r="N1343" s="74">
        <v>0.9</v>
      </c>
      <c r="O1343" s="72">
        <v>0.949915110356537</v>
      </c>
      <c r="P1343" s="72">
        <v>0.961015412511333</v>
      </c>
      <c r="Q1343" s="72">
        <v>0.898998330550918</v>
      </c>
      <c r="R1343" s="72">
        <v>0.941269841269841</v>
      </c>
      <c r="S1343" s="74">
        <v>0.9</v>
      </c>
      <c r="T1343" s="72">
        <v>0.909168081494058</v>
      </c>
      <c r="U1343" s="72">
        <v>0.908431550317316</v>
      </c>
      <c r="V1343" s="72">
        <v>0.940734557595993</v>
      </c>
      <c r="W1343" s="72">
        <v>0.929312169312169</v>
      </c>
      <c r="X1343" s="74">
        <v>0.92</v>
      </c>
      <c r="Y1343" s="74">
        <v>0.912781954887218</v>
      </c>
      <c r="Z1343" s="74">
        <v>0.918449197860963</v>
      </c>
      <c r="AA1343" s="74">
        <v>0.966101694915254</v>
      </c>
      <c r="AB1343" s="74">
        <v>0.946377031748443</v>
      </c>
      <c r="AC1343" s="74">
        <v>0.92</v>
      </c>
      <c r="AD1343" s="72">
        <v>0.99775617053104</v>
      </c>
      <c r="AE1343" s="72">
        <v>0.998793242156074</v>
      </c>
      <c r="AF1343" s="72">
        <v>0.998779743746187</v>
      </c>
      <c r="AG1343" s="72">
        <v>0.987994232795431</v>
      </c>
      <c r="AH1343" s="74">
        <v>0.92</v>
      </c>
      <c r="AI1343" s="72">
        <v>0.940857297883885</v>
      </c>
      <c r="AJ1343" s="72">
        <v>0.948676391139924</v>
      </c>
      <c r="AK1343" s="72">
        <v>0.977964323189927</v>
      </c>
      <c r="AL1343" s="72">
        <v>0.965758123869519</v>
      </c>
      <c r="AM1343" s="71">
        <v>0.99</v>
      </c>
      <c r="AN1343" s="76">
        <v>1</v>
      </c>
      <c r="AO1343" s="76">
        <v>1</v>
      </c>
      <c r="AP1343" s="76">
        <v>1</v>
      </c>
      <c r="AQ1343" s="76">
        <v>1</v>
      </c>
      <c r="AR1343" s="96">
        <v>0.0721861525408278</v>
      </c>
      <c r="AS1343" s="80">
        <v>0</v>
      </c>
      <c r="AT1343" s="80">
        <v>0.166666666666667</v>
      </c>
      <c r="AU1343" s="80">
        <v>0.111111111111111</v>
      </c>
      <c r="AV1343" s="80">
        <v>0.078125</v>
      </c>
      <c r="AW1343" s="36"/>
      <c r="AX1343" s="34"/>
    </row>
    <row r="1344" ht="14.5" spans="1:50">
      <c r="A1344" s="32"/>
      <c r="B1344" s="36"/>
      <c r="C1344" s="91" t="s">
        <v>1105</v>
      </c>
      <c r="D1344" s="69" t="s">
        <v>25</v>
      </c>
      <c r="E1344" s="129" t="s">
        <v>1393</v>
      </c>
      <c r="F1344" s="129" t="s">
        <v>1393</v>
      </c>
      <c r="G1344" s="129" t="s">
        <v>1393</v>
      </c>
      <c r="H1344" s="129" t="s">
        <v>1393</v>
      </c>
      <c r="I1344" s="71">
        <v>0.9</v>
      </c>
      <c r="J1344" s="72">
        <v>0.91304347826087</v>
      </c>
      <c r="K1344" s="72">
        <v>0.96875</v>
      </c>
      <c r="L1344" s="73">
        <v>1</v>
      </c>
      <c r="M1344" s="72">
        <v>0.957528957528958</v>
      </c>
      <c r="N1344" s="74">
        <v>0.9</v>
      </c>
      <c r="O1344" s="72">
        <v>0.964448958862367</v>
      </c>
      <c r="P1344" s="72">
        <v>0.879860418743769</v>
      </c>
      <c r="Q1344" s="72">
        <v>0.963616907437132</v>
      </c>
      <c r="R1344" s="72">
        <v>0.954485488126649</v>
      </c>
      <c r="S1344" s="74">
        <v>0.9</v>
      </c>
      <c r="T1344" s="72">
        <v>0.865921787709497</v>
      </c>
      <c r="U1344" s="72">
        <v>0.940179461615155</v>
      </c>
      <c r="V1344" s="72">
        <v>0.951310861423221</v>
      </c>
      <c r="W1344" s="72">
        <v>0.931860158311346</v>
      </c>
      <c r="X1344" s="74">
        <v>0.92</v>
      </c>
      <c r="Y1344" s="74">
        <v>0.910806174957118</v>
      </c>
      <c r="Z1344" s="74">
        <v>0.951482479784367</v>
      </c>
      <c r="AA1344" s="74">
        <v>0.969572368421053</v>
      </c>
      <c r="AB1344" s="74">
        <v>0.953475388480506</v>
      </c>
      <c r="AC1344" s="74">
        <v>0.92</v>
      </c>
      <c r="AD1344" s="72">
        <v>0.994442926118247</v>
      </c>
      <c r="AE1344" s="72">
        <v>0.994775914215012</v>
      </c>
      <c r="AF1344" s="72">
        <v>0.99045907079646</v>
      </c>
      <c r="AG1344" s="72">
        <v>0.975789569491217</v>
      </c>
      <c r="AH1344" s="74">
        <v>0.92</v>
      </c>
      <c r="AI1344" s="72">
        <v>0.933333333333333</v>
      </c>
      <c r="AJ1344" s="72">
        <v>0.9675</v>
      </c>
      <c r="AK1344" s="72">
        <v>0.974068071312804</v>
      </c>
      <c r="AL1344" s="72">
        <v>0.966448634090035</v>
      </c>
      <c r="AM1344" s="71">
        <v>0.99</v>
      </c>
      <c r="AN1344" s="76">
        <v>1</v>
      </c>
      <c r="AO1344" s="76">
        <v>1</v>
      </c>
      <c r="AP1344" s="76">
        <v>1</v>
      </c>
      <c r="AQ1344" s="76">
        <v>1</v>
      </c>
      <c r="AR1344" s="96">
        <v>0.0721861525408278</v>
      </c>
      <c r="AS1344" s="80">
        <v>0</v>
      </c>
      <c r="AT1344" s="80">
        <v>0</v>
      </c>
      <c r="AU1344" s="80">
        <v>0</v>
      </c>
      <c r="AV1344" s="80">
        <v>0.0194174757281553</v>
      </c>
      <c r="AW1344" s="36"/>
      <c r="AX1344" s="34"/>
    </row>
    <row r="1345" ht="14.5" spans="1:50">
      <c r="A1345" s="32"/>
      <c r="B1345" s="36"/>
      <c r="C1345" s="91" t="s">
        <v>1105</v>
      </c>
      <c r="D1345" s="69" t="s">
        <v>25</v>
      </c>
      <c r="E1345" s="129" t="s">
        <v>1394</v>
      </c>
      <c r="F1345" s="129" t="s">
        <v>1394</v>
      </c>
      <c r="G1345" s="129" t="s">
        <v>1394</v>
      </c>
      <c r="H1345" s="129" t="s">
        <v>1394</v>
      </c>
      <c r="I1345" s="71">
        <v>0.9</v>
      </c>
      <c r="J1345" s="72">
        <v>0</v>
      </c>
      <c r="K1345" s="72">
        <v>0</v>
      </c>
      <c r="L1345" s="73">
        <v>0</v>
      </c>
      <c r="M1345" s="72">
        <v>0</v>
      </c>
      <c r="N1345" s="74">
        <v>0.9</v>
      </c>
      <c r="O1345" s="72">
        <v>0.996296296296296</v>
      </c>
      <c r="P1345" s="72">
        <v>1</v>
      </c>
      <c r="Q1345" s="72">
        <v>0.996753246753247</v>
      </c>
      <c r="R1345" s="72">
        <v>0.998663697104677</v>
      </c>
      <c r="S1345" s="74">
        <v>0.9</v>
      </c>
      <c r="T1345" s="72">
        <v>1</v>
      </c>
      <c r="U1345" s="72">
        <v>1</v>
      </c>
      <c r="V1345" s="72">
        <v>1</v>
      </c>
      <c r="W1345" s="72">
        <v>1</v>
      </c>
      <c r="X1345" s="74">
        <v>0.92</v>
      </c>
      <c r="Y1345" s="74">
        <v>1</v>
      </c>
      <c r="Z1345" s="74">
        <v>1</v>
      </c>
      <c r="AA1345" s="74">
        <v>1</v>
      </c>
      <c r="AB1345" s="74">
        <v>1</v>
      </c>
      <c r="AC1345" s="74">
        <v>0.92</v>
      </c>
      <c r="AD1345" s="72">
        <v>0.99596921949432</v>
      </c>
      <c r="AE1345" s="72">
        <v>0.99600345647008</v>
      </c>
      <c r="AF1345" s="72">
        <v>0.997644620312794</v>
      </c>
      <c r="AG1345" s="72">
        <v>0.98036349405495</v>
      </c>
      <c r="AH1345" s="74">
        <v>0.92</v>
      </c>
      <c r="AI1345" s="72">
        <v>1</v>
      </c>
      <c r="AJ1345" s="72">
        <v>1</v>
      </c>
      <c r="AK1345" s="72">
        <v>1</v>
      </c>
      <c r="AL1345" s="72">
        <v>1</v>
      </c>
      <c r="AM1345" s="71">
        <v>0.99</v>
      </c>
      <c r="AN1345" s="76">
        <v>1</v>
      </c>
      <c r="AO1345" s="76">
        <v>1</v>
      </c>
      <c r="AP1345" s="76">
        <v>1</v>
      </c>
      <c r="AQ1345" s="76">
        <v>1</v>
      </c>
      <c r="AR1345" s="96">
        <v>0.0721861525408278</v>
      </c>
      <c r="AS1345" s="80">
        <v>0</v>
      </c>
      <c r="AT1345" s="80">
        <v>0</v>
      </c>
      <c r="AU1345" s="80">
        <v>0</v>
      </c>
      <c r="AV1345" s="80">
        <v>0</v>
      </c>
      <c r="AW1345" s="36"/>
      <c r="AX1345" s="34"/>
    </row>
    <row r="1346" ht="14.5" spans="1:50">
      <c r="A1346" s="32"/>
      <c r="B1346" s="36"/>
      <c r="C1346" s="91" t="s">
        <v>1105</v>
      </c>
      <c r="D1346" s="69" t="s">
        <v>25</v>
      </c>
      <c r="E1346" s="129" t="s">
        <v>1395</v>
      </c>
      <c r="F1346" s="129" t="s">
        <v>1395</v>
      </c>
      <c r="G1346" s="129" t="s">
        <v>1395</v>
      </c>
      <c r="H1346" s="129" t="s">
        <v>1395</v>
      </c>
      <c r="I1346" s="71">
        <v>0.9</v>
      </c>
      <c r="J1346" s="72">
        <v>0.904761904761905</v>
      </c>
      <c r="K1346" s="72">
        <v>1</v>
      </c>
      <c r="L1346" s="73">
        <v>0.96</v>
      </c>
      <c r="M1346" s="72">
        <v>0.961352657004831</v>
      </c>
      <c r="N1346" s="74">
        <v>0.9</v>
      </c>
      <c r="O1346" s="72">
        <v>0.961366181410974</v>
      </c>
      <c r="P1346" s="72">
        <v>0.986361156573923</v>
      </c>
      <c r="Q1346" s="72">
        <v>0.988737403675163</v>
      </c>
      <c r="R1346" s="72">
        <v>0.890695143517889</v>
      </c>
      <c r="S1346" s="74">
        <v>0.9</v>
      </c>
      <c r="T1346" s="72">
        <v>0.841545352743561</v>
      </c>
      <c r="U1346" s="72">
        <v>0.919258046917621</v>
      </c>
      <c r="V1346" s="72">
        <v>0.919976289270895</v>
      </c>
      <c r="W1346" s="72">
        <v>0.831247449326622</v>
      </c>
      <c r="X1346" s="74">
        <v>0.92</v>
      </c>
      <c r="Y1346" s="74">
        <v>0.940556088207095</v>
      </c>
      <c r="Z1346" s="74">
        <v>0.950819672131147</v>
      </c>
      <c r="AA1346" s="74">
        <v>0.962441314553991</v>
      </c>
      <c r="AB1346" s="74">
        <v>0.956858302652695</v>
      </c>
      <c r="AC1346" s="74">
        <v>0.92</v>
      </c>
      <c r="AD1346" s="72">
        <v>0.995363591996096</v>
      </c>
      <c r="AE1346" s="72">
        <v>0.997026223303596</v>
      </c>
      <c r="AF1346" s="72">
        <v>0.995289961730939</v>
      </c>
      <c r="AG1346" s="72">
        <v>0.99639354208096</v>
      </c>
      <c r="AH1346" s="74">
        <v>0.92</v>
      </c>
      <c r="AI1346" s="72">
        <v>0.950159066808059</v>
      </c>
      <c r="AJ1346" s="72">
        <v>0.969293756397134</v>
      </c>
      <c r="AK1346" s="72">
        <v>0.976026153287323</v>
      </c>
      <c r="AL1346" s="72">
        <v>0.966476913345984</v>
      </c>
      <c r="AM1346" s="71">
        <v>0.99</v>
      </c>
      <c r="AN1346" s="76">
        <v>1</v>
      </c>
      <c r="AO1346" s="76">
        <v>1</v>
      </c>
      <c r="AP1346" s="76">
        <v>1</v>
      </c>
      <c r="AQ1346" s="76">
        <v>1</v>
      </c>
      <c r="AR1346" s="96">
        <v>0.0721861525408278</v>
      </c>
      <c r="AS1346" s="80">
        <v>0.142857142857143</v>
      </c>
      <c r="AT1346" s="80">
        <v>0</v>
      </c>
      <c r="AU1346" s="80">
        <v>0</v>
      </c>
      <c r="AV1346" s="80">
        <v>0.0534351145038168</v>
      </c>
      <c r="AW1346" s="36"/>
      <c r="AX1346" s="34"/>
    </row>
    <row r="1347" ht="14.5" spans="1:50">
      <c r="A1347" s="32"/>
      <c r="B1347" s="36"/>
      <c r="C1347" s="91" t="s">
        <v>1105</v>
      </c>
      <c r="D1347" s="69" t="s">
        <v>25</v>
      </c>
      <c r="E1347" s="129" t="s">
        <v>1396</v>
      </c>
      <c r="F1347" s="129" t="s">
        <v>1396</v>
      </c>
      <c r="G1347" s="129" t="s">
        <v>1396</v>
      </c>
      <c r="H1347" s="129" t="s">
        <v>1396</v>
      </c>
      <c r="I1347" s="71">
        <v>0.9</v>
      </c>
      <c r="J1347" s="72">
        <v>0.970588235294118</v>
      </c>
      <c r="K1347" s="72">
        <v>0.945945945945946</v>
      </c>
      <c r="L1347" s="73">
        <v>0.925</v>
      </c>
      <c r="M1347" s="72">
        <v>0.931750741839763</v>
      </c>
      <c r="N1347" s="74">
        <v>0.9</v>
      </c>
      <c r="O1347" s="72">
        <v>0.94287991498406</v>
      </c>
      <c r="P1347" s="72">
        <v>0.887188348555912</v>
      </c>
      <c r="Q1347" s="72">
        <v>0.971381397908641</v>
      </c>
      <c r="R1347" s="72">
        <v>0.94809277854416</v>
      </c>
      <c r="S1347" s="74">
        <v>0.9</v>
      </c>
      <c r="T1347" s="72">
        <v>0.886556854410202</v>
      </c>
      <c r="U1347" s="72">
        <v>0.915082695630708</v>
      </c>
      <c r="V1347" s="72">
        <v>0.947716015410016</v>
      </c>
      <c r="W1347" s="72">
        <v>0.931795579224279</v>
      </c>
      <c r="X1347" s="74">
        <v>0.92</v>
      </c>
      <c r="Y1347" s="74">
        <v>0.93175965665236</v>
      </c>
      <c r="Z1347" s="74">
        <v>0.955146175410493</v>
      </c>
      <c r="AA1347" s="74">
        <v>0.971226206285967</v>
      </c>
      <c r="AB1347" s="74">
        <v>0.953310915675116</v>
      </c>
      <c r="AC1347" s="74">
        <v>0.92</v>
      </c>
      <c r="AD1347" s="72">
        <v>1</v>
      </c>
      <c r="AE1347" s="72">
        <v>0.998813760379597</v>
      </c>
      <c r="AF1347" s="72">
        <v>0.998137108792846</v>
      </c>
      <c r="AG1347" s="72">
        <v>0.999284322690947</v>
      </c>
      <c r="AH1347" s="74">
        <v>0.92</v>
      </c>
      <c r="AI1347" s="72">
        <v>0.948638004594683</v>
      </c>
      <c r="AJ1347" s="72">
        <v>0.96914617382007</v>
      </c>
      <c r="AK1347" s="72">
        <v>0.981333785847616</v>
      </c>
      <c r="AL1347" s="72">
        <v>0.968438477101343</v>
      </c>
      <c r="AM1347" s="71">
        <v>0.99</v>
      </c>
      <c r="AN1347" s="76">
        <v>1</v>
      </c>
      <c r="AO1347" s="76">
        <v>1</v>
      </c>
      <c r="AP1347" s="76">
        <v>1</v>
      </c>
      <c r="AQ1347" s="76">
        <v>1</v>
      </c>
      <c r="AR1347" s="96">
        <v>0.0721861525408278</v>
      </c>
      <c r="AS1347" s="80">
        <v>0</v>
      </c>
      <c r="AT1347" s="80">
        <v>0.0425531914893617</v>
      </c>
      <c r="AU1347" s="80">
        <v>0</v>
      </c>
      <c r="AV1347" s="80">
        <v>0.00625</v>
      </c>
      <c r="AW1347" s="36"/>
      <c r="AX1347" s="34"/>
    </row>
    <row r="1348" ht="14.5" spans="1:50">
      <c r="A1348" s="32"/>
      <c r="B1348" s="36"/>
      <c r="C1348" s="91" t="s">
        <v>1105</v>
      </c>
      <c r="D1348" s="69" t="s">
        <v>25</v>
      </c>
      <c r="E1348" s="129" t="s">
        <v>1397</v>
      </c>
      <c r="F1348" s="129" t="s">
        <v>1397</v>
      </c>
      <c r="G1348" s="129" t="s">
        <v>1397</v>
      </c>
      <c r="H1348" s="129" t="s">
        <v>1397</v>
      </c>
      <c r="I1348" s="71">
        <v>0.9</v>
      </c>
      <c r="J1348" s="72">
        <v>1</v>
      </c>
      <c r="K1348" s="72">
        <v>1</v>
      </c>
      <c r="L1348" s="73">
        <v>0.92</v>
      </c>
      <c r="M1348" s="72">
        <v>0.979695431472081</v>
      </c>
      <c r="N1348" s="74">
        <v>0.9</v>
      </c>
      <c r="O1348" s="72">
        <v>0.946504559270517</v>
      </c>
      <c r="P1348" s="72">
        <v>0.991400491400491</v>
      </c>
      <c r="Q1348" s="72">
        <v>0.987138263665595</v>
      </c>
      <c r="R1348" s="72">
        <v>0.982003856316504</v>
      </c>
      <c r="S1348" s="74">
        <v>0.9</v>
      </c>
      <c r="T1348" s="72">
        <v>0.823100303951368</v>
      </c>
      <c r="U1348" s="72">
        <v>0.931203931203931</v>
      </c>
      <c r="V1348" s="72">
        <v>0.948553054662379</v>
      </c>
      <c r="W1348" s="72">
        <v>0.915589516532172</v>
      </c>
      <c r="X1348" s="74">
        <v>0.92</v>
      </c>
      <c r="Y1348" s="74">
        <v>0.871900826446281</v>
      </c>
      <c r="Z1348" s="74">
        <v>0.951061865189289</v>
      </c>
      <c r="AA1348" s="74">
        <v>0.977049180327869</v>
      </c>
      <c r="AB1348" s="74">
        <v>0.943657957244656</v>
      </c>
      <c r="AC1348" s="74">
        <v>0.92</v>
      </c>
      <c r="AD1348" s="72">
        <v>0.999538532533456</v>
      </c>
      <c r="AE1348" s="72">
        <v>1</v>
      </c>
      <c r="AF1348" s="72">
        <v>1</v>
      </c>
      <c r="AG1348" s="72">
        <v>0.999952559419327</v>
      </c>
      <c r="AH1348" s="74">
        <v>0.92</v>
      </c>
      <c r="AI1348" s="72">
        <v>0.888251052430157</v>
      </c>
      <c r="AJ1348" s="72">
        <v>0.964957580228698</v>
      </c>
      <c r="AK1348" s="72">
        <v>0.981628242074928</v>
      </c>
      <c r="AL1348" s="72">
        <v>0.957317570322055</v>
      </c>
      <c r="AM1348" s="71">
        <v>0.99</v>
      </c>
      <c r="AN1348" s="76">
        <v>1</v>
      </c>
      <c r="AO1348" s="76">
        <v>1</v>
      </c>
      <c r="AP1348" s="76">
        <v>1</v>
      </c>
      <c r="AQ1348" s="76">
        <v>1</v>
      </c>
      <c r="AR1348" s="96">
        <v>0.0721861525408278</v>
      </c>
      <c r="AS1348" s="80">
        <v>0</v>
      </c>
      <c r="AT1348" s="80">
        <v>0.05</v>
      </c>
      <c r="AU1348" s="80">
        <v>0</v>
      </c>
      <c r="AV1348" s="80">
        <v>0.0373134328358209</v>
      </c>
      <c r="AW1348" s="36"/>
      <c r="AX1348" s="34"/>
    </row>
    <row r="1349" ht="14.5" spans="1:50">
      <c r="A1349" s="32"/>
      <c r="B1349" s="36"/>
      <c r="C1349" s="91" t="s">
        <v>1105</v>
      </c>
      <c r="D1349" s="69" t="s">
        <v>25</v>
      </c>
      <c r="E1349" s="129" t="s">
        <v>1398</v>
      </c>
      <c r="F1349" s="129" t="s">
        <v>1398</v>
      </c>
      <c r="G1349" s="129" t="s">
        <v>1398</v>
      </c>
      <c r="H1349" s="129" t="s">
        <v>1398</v>
      </c>
      <c r="I1349" s="71">
        <v>0.9</v>
      </c>
      <c r="J1349" s="72">
        <v>0.947368421052632</v>
      </c>
      <c r="K1349" s="72">
        <v>0.91304347826087</v>
      </c>
      <c r="L1349" s="73">
        <v>1</v>
      </c>
      <c r="M1349" s="72">
        <v>0.941747572815534</v>
      </c>
      <c r="N1349" s="74">
        <v>0.9</v>
      </c>
      <c r="O1349" s="72">
        <v>0.97106563161609</v>
      </c>
      <c r="P1349" s="72">
        <v>0.972346786248132</v>
      </c>
      <c r="Q1349" s="72">
        <v>0.973343488194973</v>
      </c>
      <c r="R1349" s="72">
        <v>0.970289288506646</v>
      </c>
      <c r="S1349" s="74">
        <v>0.9</v>
      </c>
      <c r="T1349" s="72">
        <v>0.950247000705716</v>
      </c>
      <c r="U1349" s="72">
        <v>0.939461883408072</v>
      </c>
      <c r="V1349" s="72">
        <v>0.956207159177456</v>
      </c>
      <c r="W1349" s="72">
        <v>0.954182955433933</v>
      </c>
      <c r="X1349" s="74">
        <v>0.92</v>
      </c>
      <c r="Y1349" s="74">
        <v>0</v>
      </c>
      <c r="Z1349" s="74">
        <v>0</v>
      </c>
      <c r="AA1349" s="74">
        <v>0</v>
      </c>
      <c r="AB1349" s="74">
        <v>0</v>
      </c>
      <c r="AC1349" s="74">
        <v>0.92</v>
      </c>
      <c r="AD1349" s="72">
        <v>1</v>
      </c>
      <c r="AE1349" s="72">
        <v>0.997161107168204</v>
      </c>
      <c r="AF1349" s="72">
        <v>1</v>
      </c>
      <c r="AG1349" s="72">
        <v>0.999536034642747</v>
      </c>
      <c r="AH1349" s="74">
        <v>0.92</v>
      </c>
      <c r="AI1349" s="72">
        <v>0.977064220183486</v>
      </c>
      <c r="AJ1349" s="72">
        <v>0.988415545590433</v>
      </c>
      <c r="AK1349" s="72">
        <v>0.987052551408987</v>
      </c>
      <c r="AL1349" s="72">
        <v>0.988702111024238</v>
      </c>
      <c r="AM1349" s="71">
        <v>0.99</v>
      </c>
      <c r="AN1349" s="76">
        <v>1</v>
      </c>
      <c r="AO1349" s="76">
        <v>1</v>
      </c>
      <c r="AP1349" s="76">
        <v>1</v>
      </c>
      <c r="AQ1349" s="76">
        <v>1</v>
      </c>
      <c r="AR1349" s="96">
        <v>0.0721861525408278</v>
      </c>
      <c r="AS1349" s="80">
        <v>0</v>
      </c>
      <c r="AT1349" s="80">
        <v>0</v>
      </c>
      <c r="AU1349" s="80">
        <v>0</v>
      </c>
      <c r="AV1349" s="80">
        <v>0.0133333333333333</v>
      </c>
      <c r="AW1349" s="36"/>
      <c r="AX1349" s="34"/>
    </row>
    <row r="1350" ht="14.5" spans="1:50">
      <c r="A1350" s="32"/>
      <c r="B1350" s="36"/>
      <c r="C1350" s="91" t="s">
        <v>1105</v>
      </c>
      <c r="D1350" s="69" t="s">
        <v>25</v>
      </c>
      <c r="E1350" s="129" t="s">
        <v>1399</v>
      </c>
      <c r="F1350" s="129" t="s">
        <v>1399</v>
      </c>
      <c r="G1350" s="129" t="s">
        <v>1399</v>
      </c>
      <c r="H1350" s="129" t="s">
        <v>1399</v>
      </c>
      <c r="I1350" s="71">
        <v>0.9</v>
      </c>
      <c r="J1350" s="72">
        <v>1</v>
      </c>
      <c r="K1350" s="72">
        <v>0.9</v>
      </c>
      <c r="L1350" s="73">
        <v>1</v>
      </c>
      <c r="M1350" s="72">
        <v>0.945652173913043</v>
      </c>
      <c r="N1350" s="74">
        <v>0.9</v>
      </c>
      <c r="O1350" s="72">
        <v>0.941838649155722</v>
      </c>
      <c r="P1350" s="72">
        <v>0.967164179104478</v>
      </c>
      <c r="Q1350" s="72">
        <v>0.971428571428571</v>
      </c>
      <c r="R1350" s="72">
        <v>0.956908040870724</v>
      </c>
      <c r="S1350" s="74">
        <v>0.9</v>
      </c>
      <c r="T1350" s="72">
        <v>0.893996247654784</v>
      </c>
      <c r="U1350" s="72">
        <v>0.904477611940299</v>
      </c>
      <c r="V1350" s="72">
        <v>0.941071428571429</v>
      </c>
      <c r="W1350" s="72">
        <v>0.931697023545091</v>
      </c>
      <c r="X1350" s="74">
        <v>0.92</v>
      </c>
      <c r="Y1350" s="74">
        <v>0.936236391912908</v>
      </c>
      <c r="Z1350" s="74">
        <v>0.957182320441989</v>
      </c>
      <c r="AA1350" s="74">
        <v>0.959481361426256</v>
      </c>
      <c r="AB1350" s="74">
        <v>0.950399738945994</v>
      </c>
      <c r="AC1350" s="74">
        <v>0.92</v>
      </c>
      <c r="AD1350" s="72">
        <v>0.997304199772985</v>
      </c>
      <c r="AE1350" s="72">
        <v>0.997579529737206</v>
      </c>
      <c r="AF1350" s="72">
        <v>0.998015873015873</v>
      </c>
      <c r="AG1350" s="72">
        <v>0.998079583703306</v>
      </c>
      <c r="AH1350" s="74">
        <v>0.92</v>
      </c>
      <c r="AI1350" s="72">
        <v>0.943859649122807</v>
      </c>
      <c r="AJ1350" s="72">
        <v>0.965297860034702</v>
      </c>
      <c r="AK1350" s="72">
        <v>0.976985040276179</v>
      </c>
      <c r="AL1350" s="72">
        <v>0.964325824139526</v>
      </c>
      <c r="AM1350" s="71">
        <v>0.99</v>
      </c>
      <c r="AN1350" s="76">
        <v>1</v>
      </c>
      <c r="AO1350" s="76">
        <v>1</v>
      </c>
      <c r="AP1350" s="76">
        <v>1</v>
      </c>
      <c r="AQ1350" s="76">
        <v>1</v>
      </c>
      <c r="AR1350" s="96">
        <v>0.0721861525408278</v>
      </c>
      <c r="AS1350" s="80">
        <v>0.1</v>
      </c>
      <c r="AT1350" s="80">
        <v>0</v>
      </c>
      <c r="AU1350" s="80">
        <v>0</v>
      </c>
      <c r="AV1350" s="80">
        <v>0.0735294117647059</v>
      </c>
      <c r="AW1350" s="36"/>
      <c r="AX1350" s="34"/>
    </row>
    <row r="1351" ht="14.5" spans="1:50">
      <c r="A1351" s="32"/>
      <c r="B1351" s="36"/>
      <c r="C1351" s="91" t="s">
        <v>1105</v>
      </c>
      <c r="D1351" s="69" t="s">
        <v>25</v>
      </c>
      <c r="E1351" s="129" t="s">
        <v>1400</v>
      </c>
      <c r="F1351" s="129" t="s">
        <v>1400</v>
      </c>
      <c r="G1351" s="129" t="s">
        <v>1400</v>
      </c>
      <c r="H1351" s="129" t="s">
        <v>1400</v>
      </c>
      <c r="I1351" s="71">
        <v>0.9</v>
      </c>
      <c r="J1351" s="72">
        <v>0.90625</v>
      </c>
      <c r="K1351" s="72">
        <v>0.933333333333333</v>
      </c>
      <c r="L1351" s="73">
        <v>0.878787878787879</v>
      </c>
      <c r="M1351" s="72">
        <v>0.938356164383562</v>
      </c>
      <c r="N1351" s="74">
        <v>0.9</v>
      </c>
      <c r="O1351" s="72">
        <v>0.965346534653465</v>
      </c>
      <c r="P1351" s="72">
        <v>0.948026572880031</v>
      </c>
      <c r="Q1351" s="72">
        <v>0.968430413517119</v>
      </c>
      <c r="R1351" s="72">
        <v>0.94536022495879</v>
      </c>
      <c r="S1351" s="74">
        <v>0.9</v>
      </c>
      <c r="T1351" s="72">
        <v>0.946782178217822</v>
      </c>
      <c r="U1351" s="72">
        <v>0.919499804611176</v>
      </c>
      <c r="V1351" s="72">
        <v>0.947976878612717</v>
      </c>
      <c r="W1351" s="72">
        <v>0.92271889847765</v>
      </c>
      <c r="X1351" s="74">
        <v>0.92</v>
      </c>
      <c r="Y1351" s="74">
        <v>0.945214105793451</v>
      </c>
      <c r="Z1351" s="74">
        <v>0.955069823922283</v>
      </c>
      <c r="AA1351" s="74">
        <v>0.96542726679713</v>
      </c>
      <c r="AB1351" s="74">
        <v>0.962330003610543</v>
      </c>
      <c r="AC1351" s="74">
        <v>0.92</v>
      </c>
      <c r="AD1351" s="72">
        <v>0.987894736842105</v>
      </c>
      <c r="AE1351" s="72">
        <v>0.999545247839927</v>
      </c>
      <c r="AF1351" s="72">
        <v>1</v>
      </c>
      <c r="AG1351" s="72">
        <v>0.997632657774698</v>
      </c>
      <c r="AH1351" s="74">
        <v>0.92</v>
      </c>
      <c r="AI1351" s="72">
        <v>0.961864406779661</v>
      </c>
      <c r="AJ1351" s="72">
        <v>0.966238706609605</v>
      </c>
      <c r="AK1351" s="72">
        <v>0.977525118984664</v>
      </c>
      <c r="AL1351" s="72">
        <v>0.972991113378259</v>
      </c>
      <c r="AM1351" s="71">
        <v>0.99</v>
      </c>
      <c r="AN1351" s="76">
        <v>1</v>
      </c>
      <c r="AO1351" s="76">
        <v>1</v>
      </c>
      <c r="AP1351" s="76">
        <v>1</v>
      </c>
      <c r="AQ1351" s="76">
        <v>1</v>
      </c>
      <c r="AR1351" s="96">
        <v>0.0721861525408278</v>
      </c>
      <c r="AS1351" s="80">
        <v>0.105263157894737</v>
      </c>
      <c r="AT1351" s="80">
        <v>0.0588235294117647</v>
      </c>
      <c r="AU1351" s="80">
        <v>0.0476190476190476</v>
      </c>
      <c r="AV1351" s="80">
        <v>0.0463576158940397</v>
      </c>
      <c r="AW1351" s="36"/>
      <c r="AX1351" s="34"/>
    </row>
    <row r="1352" ht="14.5" spans="1:50">
      <c r="A1352" s="32"/>
      <c r="B1352" s="36"/>
      <c r="C1352" s="91" t="s">
        <v>1105</v>
      </c>
      <c r="D1352" s="69" t="s">
        <v>25</v>
      </c>
      <c r="E1352" s="129" t="s">
        <v>1401</v>
      </c>
      <c r="F1352" s="129" t="s">
        <v>1401</v>
      </c>
      <c r="G1352" s="129" t="s">
        <v>1401</v>
      </c>
      <c r="H1352" s="129" t="s">
        <v>1401</v>
      </c>
      <c r="I1352" s="71">
        <v>0.9</v>
      </c>
      <c r="J1352" s="72">
        <v>1</v>
      </c>
      <c r="K1352" s="72">
        <v>0.974358974358974</v>
      </c>
      <c r="L1352" s="73">
        <v>0.955555555555556</v>
      </c>
      <c r="M1352" s="72">
        <v>0.968992248062015</v>
      </c>
      <c r="N1352" s="74">
        <v>0.9</v>
      </c>
      <c r="O1352" s="72">
        <v>0.968685376661743</v>
      </c>
      <c r="P1352" s="72">
        <v>0.977958236658933</v>
      </c>
      <c r="Q1352" s="72">
        <v>0.972749540722596</v>
      </c>
      <c r="R1352" s="72">
        <v>0.971280087527352</v>
      </c>
      <c r="S1352" s="74">
        <v>0.9</v>
      </c>
      <c r="T1352" s="72">
        <v>0.925849335302807</v>
      </c>
      <c r="U1352" s="72">
        <v>0.931554524361949</v>
      </c>
      <c r="V1352" s="72">
        <v>0.948254745866503</v>
      </c>
      <c r="W1352" s="72">
        <v>0.939312089715536</v>
      </c>
      <c r="X1352" s="74">
        <v>0.92</v>
      </c>
      <c r="Y1352" s="74">
        <v>0.930667800935772</v>
      </c>
      <c r="Z1352" s="74">
        <v>0.952725724020443</v>
      </c>
      <c r="AA1352" s="74">
        <v>0.95374449339207</v>
      </c>
      <c r="AB1352" s="74">
        <v>0.953960461722171</v>
      </c>
      <c r="AC1352" s="74">
        <v>0.92</v>
      </c>
      <c r="AD1352" s="72">
        <v>0.998794454490657</v>
      </c>
      <c r="AE1352" s="72">
        <v>0.992290748898678</v>
      </c>
      <c r="AF1352" s="72">
        <v>0.997672253258845</v>
      </c>
      <c r="AG1352" s="72">
        <v>0.996370817099856</v>
      </c>
      <c r="AH1352" s="74">
        <v>0.92</v>
      </c>
      <c r="AI1352" s="72">
        <v>0.953277545327755</v>
      </c>
      <c r="AJ1352" s="72">
        <v>0.970162124870645</v>
      </c>
      <c r="AK1352" s="72">
        <v>0.973627167630058</v>
      </c>
      <c r="AL1352" s="72">
        <v>0.970732271623029</v>
      </c>
      <c r="AM1352" s="71">
        <v>0.99</v>
      </c>
      <c r="AN1352" s="76">
        <v>1</v>
      </c>
      <c r="AO1352" s="76">
        <v>1</v>
      </c>
      <c r="AP1352" s="76">
        <v>1</v>
      </c>
      <c r="AQ1352" s="76">
        <v>1</v>
      </c>
      <c r="AR1352" s="96">
        <v>0.0721861525408278</v>
      </c>
      <c r="AS1352" s="80">
        <v>0.107142857142857</v>
      </c>
      <c r="AT1352" s="80">
        <v>0.0285714285714286</v>
      </c>
      <c r="AU1352" s="80">
        <v>0</v>
      </c>
      <c r="AV1352" s="80">
        <v>0.0301724137931034</v>
      </c>
      <c r="AW1352" s="36"/>
      <c r="AX1352" s="34"/>
    </row>
    <row r="1353" ht="14.5" spans="1:50">
      <c r="A1353" s="32"/>
      <c r="B1353" s="36"/>
      <c r="C1353" s="91" t="s">
        <v>1105</v>
      </c>
      <c r="D1353" s="69" t="s">
        <v>25</v>
      </c>
      <c r="E1353" s="129" t="s">
        <v>1402</v>
      </c>
      <c r="F1353" s="129" t="s">
        <v>1402</v>
      </c>
      <c r="G1353" s="129" t="s">
        <v>1402</v>
      </c>
      <c r="H1353" s="129" t="s">
        <v>1402</v>
      </c>
      <c r="I1353" s="71">
        <v>0.9</v>
      </c>
      <c r="J1353" s="72">
        <v>1</v>
      </c>
      <c r="K1353" s="72">
        <v>1</v>
      </c>
      <c r="L1353" s="73">
        <v>1</v>
      </c>
      <c r="M1353" s="72">
        <v>1</v>
      </c>
      <c r="N1353" s="74">
        <v>0.9</v>
      </c>
      <c r="O1353" s="72">
        <v>0.982372881355932</v>
      </c>
      <c r="P1353" s="72">
        <v>0.982995421844343</v>
      </c>
      <c r="Q1353" s="72">
        <v>0.992109038737446</v>
      </c>
      <c r="R1353" s="72">
        <v>0.986575085857009</v>
      </c>
      <c r="S1353" s="74">
        <v>0.9</v>
      </c>
      <c r="T1353" s="72">
        <v>0.913220338983051</v>
      </c>
      <c r="U1353" s="72">
        <v>0.95029431000654</v>
      </c>
      <c r="V1353" s="72">
        <v>0.967718794835007</v>
      </c>
      <c r="W1353" s="72">
        <v>0.953949422416485</v>
      </c>
      <c r="X1353" s="74">
        <v>0.92</v>
      </c>
      <c r="Y1353" s="74">
        <v>0.928256070640177</v>
      </c>
      <c r="Z1353" s="74">
        <v>0.967261904761905</v>
      </c>
      <c r="AA1353" s="74">
        <v>0.989330746847721</v>
      </c>
      <c r="AB1353" s="74">
        <v>0.971598621697818</v>
      </c>
      <c r="AC1353" s="74">
        <v>0.92</v>
      </c>
      <c r="AD1353" s="72">
        <v>0.999480654375487</v>
      </c>
      <c r="AE1353" s="72">
        <v>0.999785223367698</v>
      </c>
      <c r="AF1353" s="72">
        <v>1</v>
      </c>
      <c r="AG1353" s="72">
        <v>0.999628593359249</v>
      </c>
      <c r="AH1353" s="74">
        <v>0.92</v>
      </c>
      <c r="AI1353" s="72">
        <v>0.937001259974801</v>
      </c>
      <c r="AJ1353" s="72">
        <v>0.974773354355538</v>
      </c>
      <c r="AK1353" s="72">
        <v>0.990515463917526</v>
      </c>
      <c r="AL1353" s="72">
        <v>0.977133669778036</v>
      </c>
      <c r="AM1353" s="71">
        <v>0.99</v>
      </c>
      <c r="AN1353" s="76">
        <v>1</v>
      </c>
      <c r="AO1353" s="76">
        <v>1</v>
      </c>
      <c r="AP1353" s="76">
        <v>1</v>
      </c>
      <c r="AQ1353" s="76">
        <v>1</v>
      </c>
      <c r="AR1353" s="96">
        <v>0.0721861525408278</v>
      </c>
      <c r="AS1353" s="80">
        <v>0.0625</v>
      </c>
      <c r="AT1353" s="80">
        <v>0.04</v>
      </c>
      <c r="AU1353" s="80">
        <v>0.0434782608695652</v>
      </c>
      <c r="AV1353" s="80">
        <v>0.0384615384615385</v>
      </c>
      <c r="AW1353" s="36"/>
      <c r="AX1353" s="34"/>
    </row>
    <row r="1354" ht="14.5" spans="1:50">
      <c r="A1354" s="32"/>
      <c r="B1354" s="36"/>
      <c r="C1354" s="91" t="s">
        <v>1105</v>
      </c>
      <c r="D1354" s="69" t="s">
        <v>25</v>
      </c>
      <c r="E1354" s="129" t="s">
        <v>1403</v>
      </c>
      <c r="F1354" s="129" t="s">
        <v>1403</v>
      </c>
      <c r="G1354" s="129" t="s">
        <v>1403</v>
      </c>
      <c r="H1354" s="129" t="s">
        <v>1403</v>
      </c>
      <c r="I1354" s="71">
        <v>0.9</v>
      </c>
      <c r="J1354" s="72">
        <v>1</v>
      </c>
      <c r="K1354" s="72">
        <v>1</v>
      </c>
      <c r="L1354" s="73">
        <v>0.956521739130435</v>
      </c>
      <c r="M1354" s="72">
        <v>0.975961538461538</v>
      </c>
      <c r="N1354" s="74">
        <v>0.9</v>
      </c>
      <c r="O1354" s="72">
        <v>0.97071129707113</v>
      </c>
      <c r="P1354" s="72">
        <v>0.940909090909091</v>
      </c>
      <c r="Q1354" s="72">
        <v>0.963149924280666</v>
      </c>
      <c r="R1354" s="72">
        <v>0.954279608592959</v>
      </c>
      <c r="S1354" s="74">
        <v>0.9</v>
      </c>
      <c r="T1354" s="72">
        <v>0.914923291492329</v>
      </c>
      <c r="U1354" s="72">
        <v>0.928181818181818</v>
      </c>
      <c r="V1354" s="72">
        <v>0.952044422009086</v>
      </c>
      <c r="W1354" s="72">
        <v>0.92616128669441</v>
      </c>
      <c r="X1354" s="74">
        <v>0.92</v>
      </c>
      <c r="Y1354" s="74">
        <v>0.937740199846272</v>
      </c>
      <c r="Z1354" s="74">
        <v>0.953010279001468</v>
      </c>
      <c r="AA1354" s="74">
        <v>0.957547169811321</v>
      </c>
      <c r="AB1354" s="74">
        <v>0.954726330805616</v>
      </c>
      <c r="AC1354" s="74">
        <v>0.92</v>
      </c>
      <c r="AD1354" s="72">
        <v>0.998654104979812</v>
      </c>
      <c r="AE1354" s="72">
        <v>0.997267759562842</v>
      </c>
      <c r="AF1354" s="72">
        <v>0.995947315096251</v>
      </c>
      <c r="AG1354" s="72">
        <v>0.997113830524128</v>
      </c>
      <c r="AH1354" s="74">
        <v>0.92</v>
      </c>
      <c r="AI1354" s="72">
        <v>0.953360370799537</v>
      </c>
      <c r="AJ1354" s="72">
        <v>0.969118472768108</v>
      </c>
      <c r="AK1354" s="72">
        <v>0.976944359053182</v>
      </c>
      <c r="AL1354" s="72">
        <v>0.970451110896756</v>
      </c>
      <c r="AM1354" s="71">
        <v>0.99</v>
      </c>
      <c r="AN1354" s="76">
        <v>1</v>
      </c>
      <c r="AO1354" s="76">
        <v>1</v>
      </c>
      <c r="AP1354" s="76">
        <v>1</v>
      </c>
      <c r="AQ1354" s="76">
        <v>1</v>
      </c>
      <c r="AR1354" s="96">
        <v>0.0721861525408278</v>
      </c>
      <c r="AS1354" s="80">
        <v>0</v>
      </c>
      <c r="AT1354" s="80">
        <v>0.0555555555555556</v>
      </c>
      <c r="AU1354" s="80">
        <v>0.0526315789473684</v>
      </c>
      <c r="AV1354" s="80">
        <v>0.0567375886524823</v>
      </c>
      <c r="AW1354" s="36"/>
      <c r="AX1354" s="34"/>
    </row>
    <row r="1355" ht="14.5" spans="1:50">
      <c r="A1355" s="32"/>
      <c r="B1355" s="36"/>
      <c r="C1355" s="91" t="s">
        <v>1105</v>
      </c>
      <c r="D1355" s="69" t="s">
        <v>25</v>
      </c>
      <c r="E1355" s="129" t="s">
        <v>1404</v>
      </c>
      <c r="F1355" s="129" t="s">
        <v>1404</v>
      </c>
      <c r="G1355" s="129" t="s">
        <v>1404</v>
      </c>
      <c r="H1355" s="129" t="s">
        <v>1404</v>
      </c>
      <c r="I1355" s="71">
        <v>0.9</v>
      </c>
      <c r="J1355" s="72">
        <v>0.84</v>
      </c>
      <c r="K1355" s="72">
        <v>0.807692307692308</v>
      </c>
      <c r="L1355" s="73">
        <v>0.818181818181818</v>
      </c>
      <c r="M1355" s="72">
        <v>0.826923076923077</v>
      </c>
      <c r="N1355" s="74">
        <v>0.9</v>
      </c>
      <c r="O1355" s="72">
        <v>0.98576512455516</v>
      </c>
      <c r="P1355" s="72">
        <v>0.993765586034913</v>
      </c>
      <c r="Q1355" s="72">
        <v>0.954007884362681</v>
      </c>
      <c r="R1355" s="72">
        <v>0.979898094506875</v>
      </c>
      <c r="S1355" s="74">
        <v>0.9</v>
      </c>
      <c r="T1355" s="72">
        <v>0.919335705812574</v>
      </c>
      <c r="U1355" s="72">
        <v>0.948254364089776</v>
      </c>
      <c r="V1355" s="72">
        <v>0.939553219448095</v>
      </c>
      <c r="W1355" s="72">
        <v>0.937879528163607</v>
      </c>
      <c r="X1355" s="74">
        <v>0.92</v>
      </c>
      <c r="Y1355" s="74">
        <v>0.91689497716895</v>
      </c>
      <c r="Z1355" s="74">
        <v>0.937937062937063</v>
      </c>
      <c r="AA1355" s="74">
        <v>0.960833333333333</v>
      </c>
      <c r="AB1355" s="74">
        <v>0.925208974923009</v>
      </c>
      <c r="AC1355" s="74">
        <v>0.92</v>
      </c>
      <c r="AD1355" s="72">
        <v>1</v>
      </c>
      <c r="AE1355" s="72">
        <v>1</v>
      </c>
      <c r="AF1355" s="72">
        <v>0.99934554973822</v>
      </c>
      <c r="AG1355" s="72">
        <v>0.999692799213566</v>
      </c>
      <c r="AH1355" s="74">
        <v>0.92</v>
      </c>
      <c r="AI1355" s="72">
        <v>0.940309241280115</v>
      </c>
      <c r="AJ1355" s="72">
        <v>0.962518195050946</v>
      </c>
      <c r="AK1355" s="72">
        <v>0.972446730345334</v>
      </c>
      <c r="AL1355" s="72">
        <v>0.955898952940719</v>
      </c>
      <c r="AM1355" s="71">
        <v>0.99</v>
      </c>
      <c r="AN1355" s="76">
        <v>1</v>
      </c>
      <c r="AO1355" s="76">
        <v>1</v>
      </c>
      <c r="AP1355" s="76">
        <v>1</v>
      </c>
      <c r="AQ1355" s="76">
        <v>1</v>
      </c>
      <c r="AR1355" s="96">
        <v>0.0721861525408278</v>
      </c>
      <c r="AS1355" s="80">
        <v>0</v>
      </c>
      <c r="AT1355" s="80">
        <v>0</v>
      </c>
      <c r="AU1355" s="80">
        <v>0.0833333333333333</v>
      </c>
      <c r="AV1355" s="80">
        <v>0</v>
      </c>
      <c r="AW1355" s="36"/>
      <c r="AX1355" s="34"/>
    </row>
    <row r="1356" ht="14.5" spans="1:50">
      <c r="A1356" s="32"/>
      <c r="B1356" s="36"/>
      <c r="C1356" s="91" t="s">
        <v>1105</v>
      </c>
      <c r="D1356" s="69" t="s">
        <v>25</v>
      </c>
      <c r="E1356" s="129" t="s">
        <v>1405</v>
      </c>
      <c r="F1356" s="129" t="s">
        <v>1405</v>
      </c>
      <c r="G1356" s="129" t="s">
        <v>1405</v>
      </c>
      <c r="H1356" s="129" t="s">
        <v>1405</v>
      </c>
      <c r="I1356" s="71">
        <v>0.9</v>
      </c>
      <c r="J1356" s="72">
        <v>0.882352941176471</v>
      </c>
      <c r="K1356" s="72">
        <v>0.947368421052632</v>
      </c>
      <c r="L1356" s="73">
        <v>0.894736842105263</v>
      </c>
      <c r="M1356" s="72">
        <v>0.885542168674699</v>
      </c>
      <c r="N1356" s="74">
        <v>0.9</v>
      </c>
      <c r="O1356" s="72">
        <v>0.925816023738872</v>
      </c>
      <c r="P1356" s="72">
        <v>0.899854862119013</v>
      </c>
      <c r="Q1356" s="72">
        <v>0.977416440831075</v>
      </c>
      <c r="R1356" s="72">
        <v>0.915096001409195</v>
      </c>
      <c r="S1356" s="74">
        <v>0.9</v>
      </c>
      <c r="T1356" s="72">
        <v>0.876112759643917</v>
      </c>
      <c r="U1356" s="72">
        <v>0.923802612481858</v>
      </c>
      <c r="V1356" s="72">
        <v>0.943992773261066</v>
      </c>
      <c r="W1356" s="72">
        <v>0.916945569843227</v>
      </c>
      <c r="X1356" s="74">
        <v>0.92</v>
      </c>
      <c r="Y1356" s="74">
        <v>0.903870162297129</v>
      </c>
      <c r="Z1356" s="74">
        <v>0.942857142857143</v>
      </c>
      <c r="AA1356" s="74">
        <v>0.945652173913043</v>
      </c>
      <c r="AB1356" s="74">
        <v>0.943111720356408</v>
      </c>
      <c r="AC1356" s="74">
        <v>0.92</v>
      </c>
      <c r="AD1356" s="72">
        <v>1</v>
      </c>
      <c r="AE1356" s="72">
        <v>0.995811518324607</v>
      </c>
      <c r="AF1356" s="72">
        <v>0.997874601487779</v>
      </c>
      <c r="AG1356" s="72">
        <v>0.997961386257345</v>
      </c>
      <c r="AH1356" s="74">
        <v>0.92</v>
      </c>
      <c r="AI1356" s="72">
        <v>0.93485342019544</v>
      </c>
      <c r="AJ1356" s="72">
        <v>0.963353183692167</v>
      </c>
      <c r="AK1356" s="72">
        <v>0.971785132935431</v>
      </c>
      <c r="AL1356" s="72">
        <v>0.965310171036406</v>
      </c>
      <c r="AM1356" s="71">
        <v>0.99</v>
      </c>
      <c r="AN1356" s="76">
        <v>1</v>
      </c>
      <c r="AO1356" s="76">
        <v>1</v>
      </c>
      <c r="AP1356" s="76">
        <v>1</v>
      </c>
      <c r="AQ1356" s="76">
        <v>1</v>
      </c>
      <c r="AR1356" s="96">
        <v>0.0721861525408278</v>
      </c>
      <c r="AS1356" s="80">
        <v>0</v>
      </c>
      <c r="AT1356" s="80">
        <v>0</v>
      </c>
      <c r="AU1356" s="80">
        <v>0</v>
      </c>
      <c r="AV1356" s="80">
        <v>0.0317460317460317</v>
      </c>
      <c r="AW1356" s="36"/>
      <c r="AX1356" s="34"/>
    </row>
    <row r="1357" ht="14.5" spans="1:50">
      <c r="A1357" s="32"/>
      <c r="B1357" s="36"/>
      <c r="C1357" s="91" t="s">
        <v>1105</v>
      </c>
      <c r="D1357" s="69" t="s">
        <v>25</v>
      </c>
      <c r="E1357" s="129" t="s">
        <v>1406</v>
      </c>
      <c r="F1357" s="129" t="s">
        <v>1406</v>
      </c>
      <c r="G1357" s="129" t="s">
        <v>1406</v>
      </c>
      <c r="H1357" s="129" t="s">
        <v>1406</v>
      </c>
      <c r="I1357" s="71">
        <v>0.9</v>
      </c>
      <c r="J1357" s="72">
        <v>0.933333333333333</v>
      </c>
      <c r="K1357" s="72">
        <v>1</v>
      </c>
      <c r="L1357" s="73">
        <v>0.866666666666667</v>
      </c>
      <c r="M1357" s="72">
        <v>0.953846153846154</v>
      </c>
      <c r="N1357" s="74">
        <v>0.9</v>
      </c>
      <c r="O1357" s="72">
        <v>0.998131714152265</v>
      </c>
      <c r="P1357" s="72">
        <v>0.997958141909137</v>
      </c>
      <c r="Q1357" s="72">
        <v>0.9936</v>
      </c>
      <c r="R1357" s="72">
        <v>0.995472364861134</v>
      </c>
      <c r="S1357" s="74">
        <v>0.9</v>
      </c>
      <c r="T1357" s="72">
        <v>0.979915927136852</v>
      </c>
      <c r="U1357" s="72">
        <v>0.975497702909648</v>
      </c>
      <c r="V1357" s="72">
        <v>0.981333333333333</v>
      </c>
      <c r="W1357" s="72">
        <v>0.97741703936834</v>
      </c>
      <c r="X1357" s="74">
        <v>0.92</v>
      </c>
      <c r="Y1357" s="74">
        <v>0</v>
      </c>
      <c r="Z1357" s="74">
        <v>0</v>
      </c>
      <c r="AA1357" s="74">
        <v>0</v>
      </c>
      <c r="AB1357" s="74">
        <v>0</v>
      </c>
      <c r="AC1357" s="74">
        <v>0.92</v>
      </c>
      <c r="AD1357" s="72">
        <v>1</v>
      </c>
      <c r="AE1357" s="72">
        <v>1</v>
      </c>
      <c r="AF1357" s="72">
        <v>0.988023952095808</v>
      </c>
      <c r="AG1357" s="72">
        <v>0.99738082765846</v>
      </c>
      <c r="AH1357" s="74">
        <v>0.92</v>
      </c>
      <c r="AI1357" s="72">
        <v>0.990196078431373</v>
      </c>
      <c r="AJ1357" s="72">
        <v>0.992343032159265</v>
      </c>
      <c r="AK1357" s="72">
        <v>0.994133333333333</v>
      </c>
      <c r="AL1357" s="72">
        <v>0.992601590106007</v>
      </c>
      <c r="AM1357" s="71">
        <v>0.99</v>
      </c>
      <c r="AN1357" s="76">
        <v>1</v>
      </c>
      <c r="AO1357" s="76">
        <v>1</v>
      </c>
      <c r="AP1357" s="76">
        <v>1</v>
      </c>
      <c r="AQ1357" s="76">
        <v>1</v>
      </c>
      <c r="AR1357" s="96">
        <v>0.0721861525408278</v>
      </c>
      <c r="AS1357" s="80">
        <v>0</v>
      </c>
      <c r="AT1357" s="80">
        <v>0</v>
      </c>
      <c r="AU1357" s="80">
        <v>0</v>
      </c>
      <c r="AV1357" s="80">
        <v>0.0384615384615385</v>
      </c>
      <c r="AW1357" s="36"/>
      <c r="AX1357" s="34"/>
    </row>
    <row r="1358" ht="14.5" spans="1:50">
      <c r="A1358" s="32"/>
      <c r="B1358" s="36"/>
      <c r="C1358" s="91" t="s">
        <v>1105</v>
      </c>
      <c r="D1358" s="69" t="s">
        <v>25</v>
      </c>
      <c r="E1358" s="129" t="s">
        <v>1407</v>
      </c>
      <c r="F1358" s="129" t="s">
        <v>1407</v>
      </c>
      <c r="G1358" s="129" t="s">
        <v>1407</v>
      </c>
      <c r="H1358" s="129" t="s">
        <v>1407</v>
      </c>
      <c r="I1358" s="71">
        <v>0.9</v>
      </c>
      <c r="J1358" s="72">
        <v>0.85</v>
      </c>
      <c r="K1358" s="72">
        <v>0.884615384615385</v>
      </c>
      <c r="L1358" s="73">
        <v>0.961538461538462</v>
      </c>
      <c r="M1358" s="72">
        <v>0.898148148148148</v>
      </c>
      <c r="N1358" s="74">
        <v>0.9</v>
      </c>
      <c r="O1358" s="72">
        <v>0.99211356466877</v>
      </c>
      <c r="P1358" s="72">
        <v>0.993111831442464</v>
      </c>
      <c r="Q1358" s="72">
        <v>0.997860504920839</v>
      </c>
      <c r="R1358" s="72">
        <v>0.983281394761223</v>
      </c>
      <c r="S1358" s="74">
        <v>0.9</v>
      </c>
      <c r="T1358" s="72">
        <v>0.930993690851735</v>
      </c>
      <c r="U1358" s="72">
        <v>0.950162074554295</v>
      </c>
      <c r="V1358" s="72">
        <v>0.948652118100128</v>
      </c>
      <c r="W1358" s="72">
        <v>0.949675734860608</v>
      </c>
      <c r="X1358" s="74">
        <v>0.92</v>
      </c>
      <c r="Y1358" s="74">
        <v>0</v>
      </c>
      <c r="Z1358" s="74">
        <v>0</v>
      </c>
      <c r="AA1358" s="74">
        <v>0</v>
      </c>
      <c r="AB1358" s="74">
        <v>0.111111111111111</v>
      </c>
      <c r="AC1358" s="74">
        <v>0.92</v>
      </c>
      <c r="AD1358" s="72">
        <v>0.992454328832407</v>
      </c>
      <c r="AE1358" s="72">
        <v>0.995265471761921</v>
      </c>
      <c r="AF1358" s="72">
        <v>0.993408662900188</v>
      </c>
      <c r="AG1358" s="72">
        <v>0.993136196848694</v>
      </c>
      <c r="AH1358" s="74">
        <v>0.92</v>
      </c>
      <c r="AI1358" s="72">
        <v>0.974793225679401</v>
      </c>
      <c r="AJ1358" s="72">
        <v>0.985448666127728</v>
      </c>
      <c r="AK1358" s="72">
        <v>0.990610328638498</v>
      </c>
      <c r="AL1358" s="72">
        <v>0.98754366031225</v>
      </c>
      <c r="AM1358" s="71">
        <v>0.99</v>
      </c>
      <c r="AN1358" s="76">
        <v>1</v>
      </c>
      <c r="AO1358" s="76">
        <v>1</v>
      </c>
      <c r="AP1358" s="76">
        <v>1</v>
      </c>
      <c r="AQ1358" s="76">
        <v>1</v>
      </c>
      <c r="AR1358" s="96">
        <v>0.0721861525408278</v>
      </c>
      <c r="AS1358" s="80">
        <v>0</v>
      </c>
      <c r="AT1358" s="80">
        <v>0</v>
      </c>
      <c r="AU1358" s="80">
        <v>0</v>
      </c>
      <c r="AV1358" s="80">
        <v>0.0396039603960396</v>
      </c>
      <c r="AW1358" s="36"/>
      <c r="AX1358" s="34"/>
    </row>
    <row r="1359" ht="14.5" spans="1:50">
      <c r="A1359" s="32"/>
      <c r="B1359" s="36"/>
      <c r="C1359" s="91" t="s">
        <v>1105</v>
      </c>
      <c r="D1359" s="69" t="s">
        <v>25</v>
      </c>
      <c r="E1359" s="129" t="s">
        <v>1408</v>
      </c>
      <c r="F1359" s="129" t="s">
        <v>1408</v>
      </c>
      <c r="G1359" s="129" t="s">
        <v>1408</v>
      </c>
      <c r="H1359" s="129" t="s">
        <v>1408</v>
      </c>
      <c r="I1359" s="71">
        <v>0.9</v>
      </c>
      <c r="J1359" s="72">
        <v>0.941176470588235</v>
      </c>
      <c r="K1359" s="72">
        <v>0.944444444444444</v>
      </c>
      <c r="L1359" s="73">
        <v>0.842105263157895</v>
      </c>
      <c r="M1359" s="72">
        <v>0.908571428571429</v>
      </c>
      <c r="N1359" s="74">
        <v>0.9</v>
      </c>
      <c r="O1359" s="72">
        <v>0.91736304549675</v>
      </c>
      <c r="P1359" s="72">
        <v>0.976336546888694</v>
      </c>
      <c r="Q1359" s="72">
        <v>0.994722955145119</v>
      </c>
      <c r="R1359" s="72">
        <v>0.955362492510485</v>
      </c>
      <c r="S1359" s="74">
        <v>0.9</v>
      </c>
      <c r="T1359" s="72">
        <v>0.918291550603528</v>
      </c>
      <c r="U1359" s="72">
        <v>0.921998247151621</v>
      </c>
      <c r="V1359" s="72">
        <v>0.956024626209323</v>
      </c>
      <c r="W1359" s="72">
        <v>0.931895346514879</v>
      </c>
      <c r="X1359" s="74">
        <v>0.92</v>
      </c>
      <c r="Y1359" s="74">
        <v>0.822190611664296</v>
      </c>
      <c r="Z1359" s="74">
        <v>0.812572759022119</v>
      </c>
      <c r="AA1359" s="74">
        <v>0.860201511335013</v>
      </c>
      <c r="AB1359" s="74">
        <v>0.865660281618673</v>
      </c>
      <c r="AC1359" s="74">
        <v>0.92</v>
      </c>
      <c r="AD1359" s="72">
        <v>0.99379074821484</v>
      </c>
      <c r="AE1359" s="72">
        <v>0.994578966389592</v>
      </c>
      <c r="AF1359" s="72">
        <v>0.997074954296161</v>
      </c>
      <c r="AG1359" s="72">
        <v>0.995461052337558</v>
      </c>
      <c r="AH1359" s="74">
        <v>0.92</v>
      </c>
      <c r="AI1359" s="72">
        <v>0.9</v>
      </c>
      <c r="AJ1359" s="72">
        <v>0.8975</v>
      </c>
      <c r="AK1359" s="72">
        <v>0.932712215320911</v>
      </c>
      <c r="AL1359" s="72">
        <v>0.921499608894849</v>
      </c>
      <c r="AM1359" s="71">
        <v>0.99</v>
      </c>
      <c r="AN1359" s="76">
        <v>1</v>
      </c>
      <c r="AO1359" s="76">
        <v>1</v>
      </c>
      <c r="AP1359" s="76">
        <v>1</v>
      </c>
      <c r="AQ1359" s="76">
        <v>1</v>
      </c>
      <c r="AR1359" s="96">
        <v>0.0721861525408278</v>
      </c>
      <c r="AS1359" s="80">
        <v>0</v>
      </c>
      <c r="AT1359" s="80">
        <v>0</v>
      </c>
      <c r="AU1359" s="80">
        <v>0</v>
      </c>
      <c r="AV1359" s="80">
        <v>0.058252427184466</v>
      </c>
      <c r="AW1359" s="36"/>
      <c r="AX1359" s="34"/>
    </row>
    <row r="1360" ht="14.5" spans="1:50">
      <c r="A1360" s="32"/>
      <c r="B1360" s="36"/>
      <c r="C1360" s="91" t="s">
        <v>1105</v>
      </c>
      <c r="D1360" s="69" t="s">
        <v>25</v>
      </c>
      <c r="E1360" s="129" t="s">
        <v>1409</v>
      </c>
      <c r="F1360" s="129" t="s">
        <v>1409</v>
      </c>
      <c r="G1360" s="129" t="s">
        <v>1409</v>
      </c>
      <c r="H1360" s="129" t="s">
        <v>1409</v>
      </c>
      <c r="I1360" s="71">
        <v>0.9</v>
      </c>
      <c r="J1360" s="72">
        <v>1</v>
      </c>
      <c r="K1360" s="72">
        <v>0.857142857142857</v>
      </c>
      <c r="L1360" s="73">
        <v>1</v>
      </c>
      <c r="M1360" s="72">
        <v>0.941176470588235</v>
      </c>
      <c r="N1360" s="74">
        <v>0.9</v>
      </c>
      <c r="O1360" s="72">
        <v>0.991169977924945</v>
      </c>
      <c r="P1360" s="72">
        <v>0.987089201877934</v>
      </c>
      <c r="Q1360" s="72">
        <v>0.997698504027618</v>
      </c>
      <c r="R1360" s="72">
        <v>0.947821806546887</v>
      </c>
      <c r="S1360" s="74">
        <v>0.9</v>
      </c>
      <c r="T1360" s="72">
        <v>0.952538631346578</v>
      </c>
      <c r="U1360" s="72">
        <v>0.958920187793427</v>
      </c>
      <c r="V1360" s="72">
        <v>0.963176064441887</v>
      </c>
      <c r="W1360" s="72">
        <v>0.913487570760522</v>
      </c>
      <c r="X1360" s="74">
        <v>0.92</v>
      </c>
      <c r="Y1360" s="74">
        <v>0</v>
      </c>
      <c r="Z1360" s="74">
        <v>0</v>
      </c>
      <c r="AA1360" s="74">
        <v>0</v>
      </c>
      <c r="AB1360" s="74">
        <v>0</v>
      </c>
      <c r="AC1360" s="74">
        <v>0.92</v>
      </c>
      <c r="AD1360" s="72">
        <v>0.973214285714286</v>
      </c>
      <c r="AE1360" s="72">
        <v>0.978395061728395</v>
      </c>
      <c r="AF1360" s="72">
        <v>0.976351351351351</v>
      </c>
      <c r="AG1360" s="72">
        <v>0.937890481440647</v>
      </c>
      <c r="AH1360" s="74">
        <v>0.92</v>
      </c>
      <c r="AI1360" s="72">
        <v>0.977997799779978</v>
      </c>
      <c r="AJ1360" s="72">
        <v>0.987104337631887</v>
      </c>
      <c r="AK1360" s="72">
        <v>0.994252873563218</v>
      </c>
      <c r="AL1360" s="72">
        <v>0.986719134284309</v>
      </c>
      <c r="AM1360" s="71">
        <v>0.99</v>
      </c>
      <c r="AN1360" s="76">
        <v>1</v>
      </c>
      <c r="AO1360" s="76">
        <v>1</v>
      </c>
      <c r="AP1360" s="76">
        <v>1</v>
      </c>
      <c r="AQ1360" s="76">
        <v>1</v>
      </c>
      <c r="AR1360" s="96">
        <v>0.0721861525408278</v>
      </c>
      <c r="AS1360" s="80">
        <v>0</v>
      </c>
      <c r="AT1360" s="80">
        <v>0.142857142857143</v>
      </c>
      <c r="AU1360" s="80">
        <v>0</v>
      </c>
      <c r="AV1360" s="80">
        <v>0.0909090909090909</v>
      </c>
      <c r="AW1360" s="36"/>
      <c r="AX1360" s="34"/>
    </row>
    <row r="1361" ht="14.5" spans="1:50">
      <c r="A1361" s="32"/>
      <c r="B1361" s="36"/>
      <c r="C1361" s="91" t="s">
        <v>1105</v>
      </c>
      <c r="D1361" s="69" t="s">
        <v>25</v>
      </c>
      <c r="E1361" s="129" t="s">
        <v>1410</v>
      </c>
      <c r="F1361" s="129" t="s">
        <v>1410</v>
      </c>
      <c r="G1361" s="129" t="s">
        <v>1410</v>
      </c>
      <c r="H1361" s="129" t="s">
        <v>1410</v>
      </c>
      <c r="I1361" s="71">
        <v>0.9</v>
      </c>
      <c r="J1361" s="72">
        <v>0.80952380952381</v>
      </c>
      <c r="K1361" s="72">
        <v>0.9</v>
      </c>
      <c r="L1361" s="73">
        <v>0.863636363636364</v>
      </c>
      <c r="M1361" s="72">
        <v>0.881081081081081</v>
      </c>
      <c r="N1361" s="74">
        <v>0.9</v>
      </c>
      <c r="O1361" s="72">
        <v>0.985871271585557</v>
      </c>
      <c r="P1361" s="72">
        <v>0.985431841831426</v>
      </c>
      <c r="Q1361" s="72">
        <v>0.988148984198646</v>
      </c>
      <c r="R1361" s="72">
        <v>0.979569698065449</v>
      </c>
      <c r="S1361" s="74">
        <v>0.9</v>
      </c>
      <c r="T1361" s="72">
        <v>0.934065934065934</v>
      </c>
      <c r="U1361" s="72">
        <v>0.940686784599376</v>
      </c>
      <c r="V1361" s="72">
        <v>0.945259593679458</v>
      </c>
      <c r="W1361" s="72">
        <v>0.94359067076478</v>
      </c>
      <c r="X1361" s="74">
        <v>0.92</v>
      </c>
      <c r="Y1361" s="74">
        <v>0.941993464052288</v>
      </c>
      <c r="Z1361" s="74">
        <v>0.94574780058651</v>
      </c>
      <c r="AA1361" s="74">
        <v>0.966642494561276</v>
      </c>
      <c r="AB1361" s="74">
        <v>0.958578489056249</v>
      </c>
      <c r="AC1361" s="74">
        <v>0.92</v>
      </c>
      <c r="AD1361" s="72">
        <v>1</v>
      </c>
      <c r="AE1361" s="72">
        <v>0.999110794949315</v>
      </c>
      <c r="AF1361" s="72">
        <v>0.999354144241119</v>
      </c>
      <c r="AG1361" s="72">
        <v>0.998830087399353</v>
      </c>
      <c r="AH1361" s="74">
        <v>0.92</v>
      </c>
      <c r="AI1361" s="72">
        <v>0.963647959183674</v>
      </c>
      <c r="AJ1361" s="72">
        <v>0.962252663622527</v>
      </c>
      <c r="AK1361" s="72">
        <v>0.97746747064424</v>
      </c>
      <c r="AL1361" s="72">
        <v>0.971984594935415</v>
      </c>
      <c r="AM1361" s="71">
        <v>0.99</v>
      </c>
      <c r="AN1361" s="76">
        <v>1</v>
      </c>
      <c r="AO1361" s="76">
        <v>1</v>
      </c>
      <c r="AP1361" s="76">
        <v>1</v>
      </c>
      <c r="AQ1361" s="76">
        <v>1</v>
      </c>
      <c r="AR1361" s="96">
        <v>0.0721861525408278</v>
      </c>
      <c r="AS1361" s="80">
        <v>0.0526315789473684</v>
      </c>
      <c r="AT1361" s="80">
        <v>0</v>
      </c>
      <c r="AU1361" s="80">
        <v>0.0454545454545455</v>
      </c>
      <c r="AV1361" s="80">
        <v>0.032051282051282</v>
      </c>
      <c r="AW1361" s="36"/>
      <c r="AX1361" s="34"/>
    </row>
    <row r="1362" ht="14.5" spans="1:50">
      <c r="A1362" s="32"/>
      <c r="B1362" s="36"/>
      <c r="C1362" s="91" t="s">
        <v>1105</v>
      </c>
      <c r="D1362" s="69" t="s">
        <v>25</v>
      </c>
      <c r="E1362" s="129" t="s">
        <v>1411</v>
      </c>
      <c r="F1362" s="129" t="s">
        <v>1411</v>
      </c>
      <c r="G1362" s="129" t="s">
        <v>1411</v>
      </c>
      <c r="H1362" s="129" t="s">
        <v>1411</v>
      </c>
      <c r="I1362" s="71">
        <v>0.9</v>
      </c>
      <c r="J1362" s="72">
        <v>0.977777777777778</v>
      </c>
      <c r="K1362" s="72">
        <v>0.955555555555556</v>
      </c>
      <c r="L1362" s="73">
        <v>0.977777777777778</v>
      </c>
      <c r="M1362" s="72">
        <v>0.965853658536585</v>
      </c>
      <c r="N1362" s="74">
        <v>0.9</v>
      </c>
      <c r="O1362" s="72">
        <v>0.992466426465771</v>
      </c>
      <c r="P1362" s="72">
        <v>0.986614430297094</v>
      </c>
      <c r="Q1362" s="72">
        <v>0.987976640329784</v>
      </c>
      <c r="R1362" s="72">
        <v>0.972935257610811</v>
      </c>
      <c r="S1362" s="74">
        <v>0.9</v>
      </c>
      <c r="T1362" s="72">
        <v>0.903701277432034</v>
      </c>
      <c r="U1362" s="72">
        <v>0.937969311132876</v>
      </c>
      <c r="V1362" s="72">
        <v>0.926142219168671</v>
      </c>
      <c r="W1362" s="72">
        <v>0.921045866842936</v>
      </c>
      <c r="X1362" s="74">
        <v>0.92</v>
      </c>
      <c r="Y1362" s="74">
        <v>0.94921875</v>
      </c>
      <c r="Z1362" s="74">
        <v>0.955629770992366</v>
      </c>
      <c r="AA1362" s="74">
        <v>0.95710843373494</v>
      </c>
      <c r="AB1362" s="74">
        <v>0.962380881105623</v>
      </c>
      <c r="AC1362" s="74">
        <v>0.92</v>
      </c>
      <c r="AD1362" s="72">
        <v>0.993980738362761</v>
      </c>
      <c r="AE1362" s="72">
        <v>0.976423487544484</v>
      </c>
      <c r="AF1362" s="72">
        <v>0.967671366067088</v>
      </c>
      <c r="AG1362" s="72">
        <v>0.991193505507026</v>
      </c>
      <c r="AH1362" s="74">
        <v>0.92</v>
      </c>
      <c r="AI1362" s="72">
        <v>0.964908841403646</v>
      </c>
      <c r="AJ1362" s="72">
        <v>0.972669121922853</v>
      </c>
      <c r="AK1362" s="72">
        <v>0.973726434015243</v>
      </c>
      <c r="AL1362" s="72">
        <v>0.975142598556124</v>
      </c>
      <c r="AM1362" s="71">
        <v>0.99</v>
      </c>
      <c r="AN1362" s="76">
        <v>1</v>
      </c>
      <c r="AO1362" s="76">
        <v>1</v>
      </c>
      <c r="AP1362" s="76">
        <v>1</v>
      </c>
      <c r="AQ1362" s="76">
        <v>1</v>
      </c>
      <c r="AR1362" s="96">
        <v>0.0721861525408278</v>
      </c>
      <c r="AS1362" s="80">
        <v>0</v>
      </c>
      <c r="AT1362" s="80">
        <v>0</v>
      </c>
      <c r="AU1362" s="80">
        <v>0.0277777777777778</v>
      </c>
      <c r="AV1362" s="80">
        <v>0.0340909090909091</v>
      </c>
      <c r="AW1362" s="36"/>
      <c r="AX1362" s="34"/>
    </row>
    <row r="1363" ht="14.5" spans="1:50">
      <c r="A1363" s="32"/>
      <c r="B1363" s="36"/>
      <c r="C1363" s="91" t="s">
        <v>1105</v>
      </c>
      <c r="D1363" s="69" t="s">
        <v>25</v>
      </c>
      <c r="E1363" s="129" t="s">
        <v>1412</v>
      </c>
      <c r="F1363" s="129" t="s">
        <v>1412</v>
      </c>
      <c r="G1363" s="129" t="s">
        <v>1412</v>
      </c>
      <c r="H1363" s="129" t="s">
        <v>1412</v>
      </c>
      <c r="I1363" s="71">
        <v>0.9</v>
      </c>
      <c r="J1363" s="72">
        <v>0.968253968253968</v>
      </c>
      <c r="K1363" s="72">
        <v>0.974025974025974</v>
      </c>
      <c r="L1363" s="73">
        <v>0.973684210526316</v>
      </c>
      <c r="M1363" s="72">
        <v>0.967741935483871</v>
      </c>
      <c r="N1363" s="74">
        <v>0.9</v>
      </c>
      <c r="O1363" s="72">
        <v>0.987665600730927</v>
      </c>
      <c r="P1363" s="72">
        <v>0.997691597414589</v>
      </c>
      <c r="Q1363" s="72">
        <v>0.991741741741742</v>
      </c>
      <c r="R1363" s="72">
        <v>0.991774656630713</v>
      </c>
      <c r="S1363" s="74">
        <v>0.9</v>
      </c>
      <c r="T1363" s="72">
        <v>0.939698492462312</v>
      </c>
      <c r="U1363" s="72">
        <v>0.952908587257618</v>
      </c>
      <c r="V1363" s="72">
        <v>0.952202202202202</v>
      </c>
      <c r="W1363" s="72">
        <v>0.944310804169577</v>
      </c>
      <c r="X1363" s="74">
        <v>0.92</v>
      </c>
      <c r="Y1363" s="74">
        <v>0.959794146027662</v>
      </c>
      <c r="Z1363" s="74">
        <v>0.949681897050318</v>
      </c>
      <c r="AA1363" s="74">
        <v>0.974619289340102</v>
      </c>
      <c r="AB1363" s="74">
        <v>0.966965061126328</v>
      </c>
      <c r="AC1363" s="74">
        <v>0.92</v>
      </c>
      <c r="AD1363" s="72">
        <v>0.994594594594595</v>
      </c>
      <c r="AE1363" s="72">
        <v>0.995167785234899</v>
      </c>
      <c r="AF1363" s="72">
        <v>0.969502897224764</v>
      </c>
      <c r="AG1363" s="72">
        <v>0.989703949427302</v>
      </c>
      <c r="AH1363" s="74">
        <v>0.92</v>
      </c>
      <c r="AI1363" s="72">
        <v>0.972752771470549</v>
      </c>
      <c r="AJ1363" s="72">
        <v>0.970478757540752</v>
      </c>
      <c r="AK1363" s="72">
        <v>0.982534043812907</v>
      </c>
      <c r="AL1363" s="72">
        <v>0.977742147073828</v>
      </c>
      <c r="AM1363" s="71">
        <v>0.99</v>
      </c>
      <c r="AN1363" s="76">
        <v>1</v>
      </c>
      <c r="AO1363" s="76">
        <v>1</v>
      </c>
      <c r="AP1363" s="76">
        <v>1</v>
      </c>
      <c r="AQ1363" s="76">
        <v>1</v>
      </c>
      <c r="AR1363" s="96">
        <v>0.0721861525408278</v>
      </c>
      <c r="AS1363" s="80">
        <v>0</v>
      </c>
      <c r="AT1363" s="80">
        <v>0.0208333333333333</v>
      </c>
      <c r="AU1363" s="80">
        <v>0</v>
      </c>
      <c r="AV1363" s="80">
        <v>0.025974025974026</v>
      </c>
      <c r="AW1363" s="36"/>
      <c r="AX1363" s="34"/>
    </row>
    <row r="1364" ht="14.5" spans="1:50">
      <c r="A1364" s="32"/>
      <c r="B1364" s="36"/>
      <c r="C1364" s="91" t="s">
        <v>1105</v>
      </c>
      <c r="D1364" s="69" t="s">
        <v>25</v>
      </c>
      <c r="E1364" s="129" t="s">
        <v>1413</v>
      </c>
      <c r="F1364" s="129" t="s">
        <v>1413</v>
      </c>
      <c r="G1364" s="129" t="s">
        <v>1413</v>
      </c>
      <c r="H1364" s="129" t="s">
        <v>1413</v>
      </c>
      <c r="I1364" s="71">
        <v>0.9</v>
      </c>
      <c r="J1364" s="72">
        <v>1</v>
      </c>
      <c r="K1364" s="72">
        <v>1</v>
      </c>
      <c r="L1364" s="73">
        <v>1</v>
      </c>
      <c r="M1364" s="72">
        <v>0.977142857142857</v>
      </c>
      <c r="N1364" s="74">
        <v>0.9</v>
      </c>
      <c r="O1364" s="72">
        <v>0.978142076502732</v>
      </c>
      <c r="P1364" s="72">
        <v>0.993469387755102</v>
      </c>
      <c r="Q1364" s="72">
        <v>0.997370727432077</v>
      </c>
      <c r="R1364" s="72">
        <v>0.981724418709852</v>
      </c>
      <c r="S1364" s="74">
        <v>0.9</v>
      </c>
      <c r="T1364" s="72">
        <v>0.950039032006245</v>
      </c>
      <c r="U1364" s="72">
        <v>0.908571428571429</v>
      </c>
      <c r="V1364" s="72">
        <v>0.927256792287467</v>
      </c>
      <c r="W1364" s="72">
        <v>0.921740703881299</v>
      </c>
      <c r="X1364" s="74">
        <v>0.92</v>
      </c>
      <c r="Y1364" s="74">
        <v>0.949074074074074</v>
      </c>
      <c r="Z1364" s="74">
        <v>0.966666666666667</v>
      </c>
      <c r="AA1364" s="74">
        <v>0.958244111349036</v>
      </c>
      <c r="AB1364" s="74">
        <v>0.957114026236125</v>
      </c>
      <c r="AC1364" s="74">
        <v>0.92</v>
      </c>
      <c r="AD1364" s="72">
        <v>0.998380566801619</v>
      </c>
      <c r="AE1364" s="72">
        <v>0.97009735744089</v>
      </c>
      <c r="AF1364" s="72">
        <v>0.976588628762542</v>
      </c>
      <c r="AG1364" s="72">
        <v>0.989809651990002</v>
      </c>
      <c r="AH1364" s="74">
        <v>0.92</v>
      </c>
      <c r="AI1364" s="72">
        <v>0.969080897924608</v>
      </c>
      <c r="AJ1364" s="72">
        <v>0.975782881002088</v>
      </c>
      <c r="AK1364" s="72">
        <v>0.973012048192771</v>
      </c>
      <c r="AL1364" s="72">
        <v>0.972333524136615</v>
      </c>
      <c r="AM1364" s="71">
        <v>0.99</v>
      </c>
      <c r="AN1364" s="76">
        <v>1</v>
      </c>
      <c r="AO1364" s="76">
        <v>1</v>
      </c>
      <c r="AP1364" s="76">
        <v>1</v>
      </c>
      <c r="AQ1364" s="76">
        <v>1</v>
      </c>
      <c r="AR1364" s="96">
        <v>0.0721861525408278</v>
      </c>
      <c r="AS1364" s="80">
        <v>0</v>
      </c>
      <c r="AT1364" s="80">
        <v>0</v>
      </c>
      <c r="AU1364" s="80">
        <v>0.1</v>
      </c>
      <c r="AV1364" s="80">
        <v>0.0736842105263158</v>
      </c>
      <c r="AW1364" s="36"/>
      <c r="AX1364" s="34"/>
    </row>
    <row r="1365" ht="14.5" spans="1:50">
      <c r="A1365" s="32"/>
      <c r="B1365" s="36"/>
      <c r="C1365" s="91" t="s">
        <v>1105</v>
      </c>
      <c r="D1365" s="69" t="s">
        <v>25</v>
      </c>
      <c r="E1365" s="129" t="s">
        <v>1414</v>
      </c>
      <c r="F1365" s="129" t="s">
        <v>1414</v>
      </c>
      <c r="G1365" s="129" t="s">
        <v>1414</v>
      </c>
      <c r="H1365" s="129" t="s">
        <v>1414</v>
      </c>
      <c r="I1365" s="71">
        <v>0.9</v>
      </c>
      <c r="J1365" s="72">
        <v>0.934782608695652</v>
      </c>
      <c r="K1365" s="72">
        <v>0.884615384615385</v>
      </c>
      <c r="L1365" s="73">
        <v>0.948275862068966</v>
      </c>
      <c r="M1365" s="72">
        <v>0.932346723044397</v>
      </c>
      <c r="N1365" s="74">
        <v>0.9</v>
      </c>
      <c r="O1365" s="72">
        <v>0.932651991614256</v>
      </c>
      <c r="P1365" s="72">
        <v>0.970172684458399</v>
      </c>
      <c r="Q1365" s="72">
        <v>0.975225225225225</v>
      </c>
      <c r="R1365" s="72">
        <v>0.965397713451715</v>
      </c>
      <c r="S1365" s="74">
        <v>0.9</v>
      </c>
      <c r="T1365" s="72">
        <v>0.89937106918239</v>
      </c>
      <c r="U1365" s="72">
        <v>0.898482469911041</v>
      </c>
      <c r="V1365" s="72">
        <v>0.924831081081081</v>
      </c>
      <c r="W1365" s="72">
        <v>0.906531257601557</v>
      </c>
      <c r="X1365" s="74">
        <v>0.92</v>
      </c>
      <c r="Y1365" s="74">
        <v>0.90639175257732</v>
      </c>
      <c r="Z1365" s="74">
        <v>0.938315539739027</v>
      </c>
      <c r="AA1365" s="74">
        <v>0.960869565217391</v>
      </c>
      <c r="AB1365" s="74">
        <v>0.942970145445267</v>
      </c>
      <c r="AC1365" s="74">
        <v>0.92</v>
      </c>
      <c r="AD1365" s="72">
        <v>0.97347294938918</v>
      </c>
      <c r="AE1365" s="72">
        <v>0.998392282958199</v>
      </c>
      <c r="AF1365" s="72">
        <v>0.94146581406788</v>
      </c>
      <c r="AG1365" s="72">
        <v>0.983965823346649</v>
      </c>
      <c r="AH1365" s="74">
        <v>0.92</v>
      </c>
      <c r="AI1365" s="72">
        <v>0.936067937830476</v>
      </c>
      <c r="AJ1365" s="72">
        <v>0.961423397890096</v>
      </c>
      <c r="AK1365" s="72">
        <v>0.972668261018107</v>
      </c>
      <c r="AL1365" s="72">
        <v>0.961544598691559</v>
      </c>
      <c r="AM1365" s="71">
        <v>0.99</v>
      </c>
      <c r="AN1365" s="76">
        <v>1</v>
      </c>
      <c r="AO1365" s="76">
        <v>1</v>
      </c>
      <c r="AP1365" s="76">
        <v>1</v>
      </c>
      <c r="AQ1365" s="76">
        <v>1</v>
      </c>
      <c r="AR1365" s="96">
        <v>0.0721861525408278</v>
      </c>
      <c r="AS1365" s="80">
        <v>0.0666666666666667</v>
      </c>
      <c r="AT1365" s="80">
        <v>0</v>
      </c>
      <c r="AU1365" s="80">
        <v>0</v>
      </c>
      <c r="AV1365" s="80">
        <v>0.0484848484848485</v>
      </c>
      <c r="AW1365" s="36"/>
      <c r="AX1365" s="34"/>
    </row>
    <row r="1366" ht="14.5" spans="1:50">
      <c r="A1366" s="32"/>
      <c r="B1366" s="36"/>
      <c r="C1366" s="91" t="s">
        <v>1105</v>
      </c>
      <c r="D1366" s="69" t="s">
        <v>25</v>
      </c>
      <c r="E1366" s="129" t="s">
        <v>1415</v>
      </c>
      <c r="F1366" s="129" t="s">
        <v>1415</v>
      </c>
      <c r="G1366" s="129" t="s">
        <v>1415</v>
      </c>
      <c r="H1366" s="129" t="s">
        <v>1415</v>
      </c>
      <c r="I1366" s="71">
        <v>0.9</v>
      </c>
      <c r="J1366" s="72">
        <v>0.971830985915493</v>
      </c>
      <c r="K1366" s="72">
        <v>0.985714285714286</v>
      </c>
      <c r="L1366" s="73">
        <v>0.973333333333333</v>
      </c>
      <c r="M1366" s="72">
        <v>0.951293759512938</v>
      </c>
      <c r="N1366" s="74">
        <v>0.9</v>
      </c>
      <c r="O1366" s="72">
        <v>0.895871202285121</v>
      </c>
      <c r="P1366" s="72">
        <v>0.977369165487977</v>
      </c>
      <c r="Q1366" s="72">
        <v>0.967589864466706</v>
      </c>
      <c r="R1366" s="72">
        <v>0.9319690103786</v>
      </c>
      <c r="S1366" s="74">
        <v>0.9</v>
      </c>
      <c r="T1366" s="72">
        <v>0.732017657751233</v>
      </c>
      <c r="U1366" s="72">
        <v>0.77001414427157</v>
      </c>
      <c r="V1366" s="72">
        <v>0.767530936947554</v>
      </c>
      <c r="W1366" s="72">
        <v>0.745505043122351</v>
      </c>
      <c r="X1366" s="74">
        <v>0.92</v>
      </c>
      <c r="Y1366" s="74">
        <v>0.858680555555556</v>
      </c>
      <c r="Z1366" s="74">
        <v>0.894752018454441</v>
      </c>
      <c r="AA1366" s="74">
        <v>0.921336206896552</v>
      </c>
      <c r="AB1366" s="74">
        <v>0.892114069547505</v>
      </c>
      <c r="AC1366" s="74">
        <v>0.92</v>
      </c>
      <c r="AD1366" s="72">
        <v>0.998445998445998</v>
      </c>
      <c r="AE1366" s="72">
        <v>0.997534921939195</v>
      </c>
      <c r="AF1366" s="72">
        <v>0.967213114754098</v>
      </c>
      <c r="AG1366" s="72">
        <v>0.991144728346094</v>
      </c>
      <c r="AH1366" s="74">
        <v>0.92</v>
      </c>
      <c r="AI1366" s="72">
        <v>0.908348187759953</v>
      </c>
      <c r="AJ1366" s="72">
        <v>0.925888904755105</v>
      </c>
      <c r="AK1366" s="72">
        <v>0.94512787309809</v>
      </c>
      <c r="AL1366" s="72">
        <v>0.929431595325694</v>
      </c>
      <c r="AM1366" s="71">
        <v>0.99</v>
      </c>
      <c r="AN1366" s="76">
        <v>1</v>
      </c>
      <c r="AO1366" s="76">
        <v>1</v>
      </c>
      <c r="AP1366" s="76">
        <v>1</v>
      </c>
      <c r="AQ1366" s="76">
        <v>1</v>
      </c>
      <c r="AR1366" s="96">
        <v>0.0721861525408278</v>
      </c>
      <c r="AS1366" s="80">
        <v>0.0588235294117647</v>
      </c>
      <c r="AT1366" s="80">
        <v>0</v>
      </c>
      <c r="AU1366" s="80">
        <v>0.0454545454545455</v>
      </c>
      <c r="AV1366" s="80">
        <v>0.0651162790697674</v>
      </c>
      <c r="AW1366" s="36"/>
      <c r="AX1366" s="34"/>
    </row>
    <row r="1367" ht="14.5" spans="1:50">
      <c r="A1367" s="32"/>
      <c r="B1367" s="36"/>
      <c r="C1367" s="91" t="s">
        <v>1105</v>
      </c>
      <c r="D1367" s="69" t="s">
        <v>25</v>
      </c>
      <c r="E1367" s="129" t="s">
        <v>1416</v>
      </c>
      <c r="F1367" s="129" t="s">
        <v>1416</v>
      </c>
      <c r="G1367" s="129" t="s">
        <v>1416</v>
      </c>
      <c r="H1367" s="129" t="s">
        <v>1416</v>
      </c>
      <c r="I1367" s="71">
        <v>0.9</v>
      </c>
      <c r="J1367" s="72">
        <v>0.941176470588235</v>
      </c>
      <c r="K1367" s="72">
        <v>0.948717948717949</v>
      </c>
      <c r="L1367" s="73">
        <v>1</v>
      </c>
      <c r="M1367" s="72">
        <v>0.963068181818182</v>
      </c>
      <c r="N1367" s="74">
        <v>0.9</v>
      </c>
      <c r="O1367" s="72">
        <v>0.963509635096351</v>
      </c>
      <c r="P1367" s="72">
        <v>0.987202118270079</v>
      </c>
      <c r="Q1367" s="72">
        <v>0.984595070422535</v>
      </c>
      <c r="R1367" s="72">
        <v>0.97799952482775</v>
      </c>
      <c r="S1367" s="74">
        <v>0.9</v>
      </c>
      <c r="T1367" s="72">
        <v>0.920049200492005</v>
      </c>
      <c r="U1367" s="72">
        <v>0.936893203883495</v>
      </c>
      <c r="V1367" s="72">
        <v>0.934859154929577</v>
      </c>
      <c r="W1367" s="72">
        <v>0.933048229983369</v>
      </c>
      <c r="X1367" s="74">
        <v>0.92</v>
      </c>
      <c r="Y1367" s="74">
        <v>0.945760598503741</v>
      </c>
      <c r="Z1367" s="74">
        <v>0.957317073170732</v>
      </c>
      <c r="AA1367" s="74">
        <v>0.961869618696187</v>
      </c>
      <c r="AB1367" s="74">
        <v>0.959847036328872</v>
      </c>
      <c r="AC1367" s="74">
        <v>0.92</v>
      </c>
      <c r="AD1367" s="72">
        <v>0.994341147938561</v>
      </c>
      <c r="AE1367" s="72">
        <v>0.985949908368968</v>
      </c>
      <c r="AF1367" s="72">
        <v>0.985834207764953</v>
      </c>
      <c r="AG1367" s="72">
        <v>0.991304347826087</v>
      </c>
      <c r="AH1367" s="74">
        <v>0.92</v>
      </c>
      <c r="AI1367" s="72">
        <v>0.965124907247094</v>
      </c>
      <c r="AJ1367" s="72">
        <v>0.971253071253071</v>
      </c>
      <c r="AK1367" s="72">
        <v>0.976917158245704</v>
      </c>
      <c r="AL1367" s="72">
        <v>0.975447765256682</v>
      </c>
      <c r="AM1367" s="71">
        <v>0.99</v>
      </c>
      <c r="AN1367" s="76">
        <v>1</v>
      </c>
      <c r="AO1367" s="76">
        <v>1</v>
      </c>
      <c r="AP1367" s="76">
        <v>1</v>
      </c>
      <c r="AQ1367" s="76">
        <v>1</v>
      </c>
      <c r="AR1367" s="96">
        <v>0.0721861525408278</v>
      </c>
      <c r="AS1367" s="80">
        <v>0</v>
      </c>
      <c r="AT1367" s="80">
        <v>0.0357142857142857</v>
      </c>
      <c r="AU1367" s="80">
        <v>0</v>
      </c>
      <c r="AV1367" s="80">
        <v>0.0208333333333333</v>
      </c>
      <c r="AW1367" s="36"/>
      <c r="AX1367" s="34"/>
    </row>
    <row r="1368" ht="14.5" spans="1:50">
      <c r="A1368" s="32"/>
      <c r="B1368" s="36"/>
      <c r="C1368" s="91" t="s">
        <v>1105</v>
      </c>
      <c r="D1368" s="69" t="s">
        <v>25</v>
      </c>
      <c r="E1368" s="129" t="s">
        <v>1417</v>
      </c>
      <c r="F1368" s="129" t="s">
        <v>1417</v>
      </c>
      <c r="G1368" s="129" t="s">
        <v>1417</v>
      </c>
      <c r="H1368" s="129" t="s">
        <v>1417</v>
      </c>
      <c r="I1368" s="71">
        <v>0.9</v>
      </c>
      <c r="J1368" s="72">
        <v>1</v>
      </c>
      <c r="K1368" s="72">
        <v>0.979166666666667</v>
      </c>
      <c r="L1368" s="73">
        <v>1</v>
      </c>
      <c r="M1368" s="72">
        <v>0.995283018867924</v>
      </c>
      <c r="N1368" s="74">
        <v>0.9</v>
      </c>
      <c r="O1368" s="72">
        <v>0.997414111562615</v>
      </c>
      <c r="P1368" s="72">
        <v>0.994871794871795</v>
      </c>
      <c r="Q1368" s="72">
        <v>0.996232733361239</v>
      </c>
      <c r="R1368" s="72">
        <v>0.995979562777452</v>
      </c>
      <c r="S1368" s="74">
        <v>0.9</v>
      </c>
      <c r="T1368" s="72">
        <v>0.919837458441079</v>
      </c>
      <c r="U1368" s="72">
        <v>0.936996336996337</v>
      </c>
      <c r="V1368" s="72">
        <v>0.928421933863541</v>
      </c>
      <c r="W1368" s="72">
        <v>0.923569813217187</v>
      </c>
      <c r="X1368" s="74">
        <v>0.92</v>
      </c>
      <c r="Y1368" s="74">
        <v>0.979907264296754</v>
      </c>
      <c r="Z1368" s="74">
        <v>0.976733364355514</v>
      </c>
      <c r="AA1368" s="74">
        <v>0.984771573604061</v>
      </c>
      <c r="AB1368" s="74">
        <v>0.977782548030482</v>
      </c>
      <c r="AC1368" s="74">
        <v>0.92</v>
      </c>
      <c r="AD1368" s="72">
        <v>0.998300764655905</v>
      </c>
      <c r="AE1368" s="72">
        <v>0.998554913294798</v>
      </c>
      <c r="AF1368" s="72">
        <v>0.995233555767397</v>
      </c>
      <c r="AG1368" s="72">
        <v>0.996508636530687</v>
      </c>
      <c r="AH1368" s="74">
        <v>0.92</v>
      </c>
      <c r="AI1368" s="72">
        <v>0.983433734939759</v>
      </c>
      <c r="AJ1368" s="72">
        <v>0.984013117442099</v>
      </c>
      <c r="AK1368" s="72">
        <v>0.989668428640077</v>
      </c>
      <c r="AL1368" s="72">
        <v>0.985746207220981</v>
      </c>
      <c r="AM1368" s="71">
        <v>0.99</v>
      </c>
      <c r="AN1368" s="76">
        <v>1</v>
      </c>
      <c r="AO1368" s="76">
        <v>1</v>
      </c>
      <c r="AP1368" s="76">
        <v>1</v>
      </c>
      <c r="AQ1368" s="76">
        <v>1</v>
      </c>
      <c r="AR1368" s="96">
        <v>0.0721861525408278</v>
      </c>
      <c r="AS1368" s="80">
        <v>0</v>
      </c>
      <c r="AT1368" s="80">
        <v>0.0625</v>
      </c>
      <c r="AU1368" s="80">
        <v>0</v>
      </c>
      <c r="AV1368" s="80">
        <v>0.0588235294117647</v>
      </c>
      <c r="AW1368" s="36"/>
      <c r="AX1368" s="34"/>
    </row>
    <row r="1369" ht="14.5" spans="1:50">
      <c r="A1369" s="32"/>
      <c r="B1369" s="36"/>
      <c r="C1369" s="91" t="s">
        <v>1105</v>
      </c>
      <c r="D1369" s="69" t="s">
        <v>25</v>
      </c>
      <c r="E1369" s="129" t="s">
        <v>1418</v>
      </c>
      <c r="F1369" s="129" t="s">
        <v>1418</v>
      </c>
      <c r="G1369" s="129" t="s">
        <v>1418</v>
      </c>
      <c r="H1369" s="129" t="s">
        <v>1418</v>
      </c>
      <c r="I1369" s="71">
        <v>0.9</v>
      </c>
      <c r="J1369" s="72">
        <v>0.857142857142857</v>
      </c>
      <c r="K1369" s="72">
        <v>0.96551724137931</v>
      </c>
      <c r="L1369" s="73">
        <v>1</v>
      </c>
      <c r="M1369" s="72">
        <v>0.935483870967742</v>
      </c>
      <c r="N1369" s="74">
        <v>0.9</v>
      </c>
      <c r="O1369" s="72">
        <v>0.98613251155624</v>
      </c>
      <c r="P1369" s="72">
        <v>0.998460946517892</v>
      </c>
      <c r="Q1369" s="72">
        <v>0.996463306808134</v>
      </c>
      <c r="R1369" s="72">
        <v>0.98272644416475</v>
      </c>
      <c r="S1369" s="74">
        <v>0.9</v>
      </c>
      <c r="T1369" s="72">
        <v>0.914869029275809</v>
      </c>
      <c r="U1369" s="72">
        <v>0.961908426317815</v>
      </c>
      <c r="V1369" s="72">
        <v>0.974801061007958</v>
      </c>
      <c r="W1369" s="72">
        <v>0.95034937719717</v>
      </c>
      <c r="X1369" s="74">
        <v>0.92</v>
      </c>
      <c r="Y1369" s="74">
        <v>0.958555358200118</v>
      </c>
      <c r="Z1369" s="74">
        <v>0.963427947598253</v>
      </c>
      <c r="AA1369" s="74">
        <v>0.978145304193739</v>
      </c>
      <c r="AB1369" s="74">
        <v>0.971397971397971</v>
      </c>
      <c r="AC1369" s="74">
        <v>0.92</v>
      </c>
      <c r="AD1369" s="72">
        <v>1</v>
      </c>
      <c r="AE1369" s="72">
        <v>1</v>
      </c>
      <c r="AF1369" s="72">
        <v>1</v>
      </c>
      <c r="AG1369" s="72">
        <v>0.999676375404531</v>
      </c>
      <c r="AH1369" s="74">
        <v>0.92</v>
      </c>
      <c r="AI1369" s="72">
        <v>0.963844180079309</v>
      </c>
      <c r="AJ1369" s="72">
        <v>0.977206048296096</v>
      </c>
      <c r="AK1369" s="72">
        <v>0.988621997471555</v>
      </c>
      <c r="AL1369" s="72">
        <v>0.980574541343337</v>
      </c>
      <c r="AM1369" s="71">
        <v>0.99</v>
      </c>
      <c r="AN1369" s="76">
        <v>1</v>
      </c>
      <c r="AO1369" s="76">
        <v>1</v>
      </c>
      <c r="AP1369" s="76">
        <v>1</v>
      </c>
      <c r="AQ1369" s="76">
        <v>1</v>
      </c>
      <c r="AR1369" s="96">
        <v>0.0721861525408278</v>
      </c>
      <c r="AS1369" s="80">
        <v>0</v>
      </c>
      <c r="AT1369" s="80">
        <v>0.142857142857143</v>
      </c>
      <c r="AU1369" s="80">
        <v>0</v>
      </c>
      <c r="AV1369" s="80">
        <v>0.0384615384615385</v>
      </c>
      <c r="AW1369" s="36"/>
      <c r="AX1369" s="34"/>
    </row>
    <row r="1370" ht="14.5" spans="1:50">
      <c r="A1370" s="32"/>
      <c r="B1370" s="36"/>
      <c r="C1370" s="91" t="s">
        <v>1105</v>
      </c>
      <c r="D1370" s="69" t="s">
        <v>25</v>
      </c>
      <c r="E1370" s="129" t="s">
        <v>1419</v>
      </c>
      <c r="F1370" s="129" t="s">
        <v>1419</v>
      </c>
      <c r="G1370" s="129" t="s">
        <v>1419</v>
      </c>
      <c r="H1370" s="129" t="s">
        <v>1419</v>
      </c>
      <c r="I1370" s="71">
        <v>0.9</v>
      </c>
      <c r="J1370" s="72">
        <v>0.96875</v>
      </c>
      <c r="K1370" s="72">
        <v>1</v>
      </c>
      <c r="L1370" s="73">
        <v>0.975609756097561</v>
      </c>
      <c r="M1370" s="72">
        <v>0.975535168195719</v>
      </c>
      <c r="N1370" s="74">
        <v>0.9</v>
      </c>
      <c r="O1370" s="72">
        <v>0.984626471294739</v>
      </c>
      <c r="P1370" s="72">
        <v>0.975924987328941</v>
      </c>
      <c r="Q1370" s="72">
        <v>0.960836909871245</v>
      </c>
      <c r="R1370" s="72">
        <v>0.974761589213172</v>
      </c>
      <c r="S1370" s="74">
        <v>0.9</v>
      </c>
      <c r="T1370" s="72">
        <v>0.956041316358395</v>
      </c>
      <c r="U1370" s="72">
        <v>0.955651292448049</v>
      </c>
      <c r="V1370" s="72">
        <v>0.967542918454936</v>
      </c>
      <c r="W1370" s="72">
        <v>0.960240859719381</v>
      </c>
      <c r="X1370" s="74">
        <v>0.92</v>
      </c>
      <c r="Y1370" s="74">
        <v>0</v>
      </c>
      <c r="Z1370" s="74">
        <v>0</v>
      </c>
      <c r="AA1370" s="74">
        <v>0</v>
      </c>
      <c r="AB1370" s="74">
        <v>0</v>
      </c>
      <c r="AC1370" s="74">
        <v>0.92</v>
      </c>
      <c r="AD1370" s="72">
        <v>0.997621878715815</v>
      </c>
      <c r="AE1370" s="72">
        <v>0.999571183533448</v>
      </c>
      <c r="AF1370" s="72">
        <v>0.999048977650975</v>
      </c>
      <c r="AG1370" s="72">
        <v>0.998801833715357</v>
      </c>
      <c r="AH1370" s="74">
        <v>0.92</v>
      </c>
      <c r="AI1370" s="72">
        <v>0.979851283281362</v>
      </c>
      <c r="AJ1370" s="72">
        <v>0.986065366100836</v>
      </c>
      <c r="AK1370" s="72">
        <v>0.990611587982833</v>
      </c>
      <c r="AL1370" s="72">
        <v>0.985885877235936</v>
      </c>
      <c r="AM1370" s="71">
        <v>0.99</v>
      </c>
      <c r="AN1370" s="76">
        <v>1</v>
      </c>
      <c r="AO1370" s="76">
        <v>1</v>
      </c>
      <c r="AP1370" s="76">
        <v>1</v>
      </c>
      <c r="AQ1370" s="76">
        <v>1</v>
      </c>
      <c r="AR1370" s="96">
        <v>0.0721861525408278</v>
      </c>
      <c r="AS1370" s="80">
        <v>0</v>
      </c>
      <c r="AT1370" s="80">
        <v>0.05</v>
      </c>
      <c r="AU1370" s="80">
        <v>0.333333333333333</v>
      </c>
      <c r="AV1370" s="80">
        <v>0.0634920634920635</v>
      </c>
      <c r="AW1370" s="36"/>
      <c r="AX1370" s="34"/>
    </row>
    <row r="1371" ht="14.5" spans="1:50">
      <c r="A1371" s="32"/>
      <c r="B1371" s="36"/>
      <c r="C1371" s="91" t="s">
        <v>1105</v>
      </c>
      <c r="D1371" s="69" t="s">
        <v>25</v>
      </c>
      <c r="E1371" s="129" t="s">
        <v>1420</v>
      </c>
      <c r="F1371" s="129" t="s">
        <v>1420</v>
      </c>
      <c r="G1371" s="129" t="s">
        <v>1420</v>
      </c>
      <c r="H1371" s="129" t="s">
        <v>1420</v>
      </c>
      <c r="I1371" s="71">
        <v>0.9</v>
      </c>
      <c r="J1371" s="72">
        <v>1</v>
      </c>
      <c r="K1371" s="72">
        <v>0.942857142857143</v>
      </c>
      <c r="L1371" s="73">
        <v>0.973684210526316</v>
      </c>
      <c r="M1371" s="72">
        <v>0.932692307692308</v>
      </c>
      <c r="N1371" s="74">
        <v>0.9</v>
      </c>
      <c r="O1371" s="72">
        <v>0.987829040475517</v>
      </c>
      <c r="P1371" s="72">
        <v>0.989795918367347</v>
      </c>
      <c r="Q1371" s="72">
        <v>0.991090629800307</v>
      </c>
      <c r="R1371" s="72">
        <v>0.986523819149653</v>
      </c>
      <c r="S1371" s="74">
        <v>0.9</v>
      </c>
      <c r="T1371" s="72">
        <v>0.943956977073309</v>
      </c>
      <c r="U1371" s="72">
        <v>0.927334570191713</v>
      </c>
      <c r="V1371" s="72">
        <v>0.949308755760369</v>
      </c>
      <c r="W1371" s="72">
        <v>0.922276126945624</v>
      </c>
      <c r="X1371" s="74">
        <v>0.92</v>
      </c>
      <c r="Y1371" s="74">
        <v>0</v>
      </c>
      <c r="Z1371" s="74">
        <v>0</v>
      </c>
      <c r="AA1371" s="74">
        <v>0</v>
      </c>
      <c r="AB1371" s="74">
        <v>0</v>
      </c>
      <c r="AC1371" s="74">
        <v>0.92</v>
      </c>
      <c r="AD1371" s="72">
        <v>0.997716894977169</v>
      </c>
      <c r="AE1371" s="72">
        <v>0.993502977801841</v>
      </c>
      <c r="AF1371" s="72">
        <v>1</v>
      </c>
      <c r="AG1371" s="72">
        <v>0.998505231689088</v>
      </c>
      <c r="AH1371" s="74">
        <v>0.92</v>
      </c>
      <c r="AI1371" s="72">
        <v>0.980780101752402</v>
      </c>
      <c r="AJ1371" s="72">
        <v>0.984230055658627</v>
      </c>
      <c r="AK1371" s="72">
        <v>0.991397849462366</v>
      </c>
      <c r="AL1371" s="72">
        <v>0.987233899218539</v>
      </c>
      <c r="AM1371" s="71">
        <v>0.99</v>
      </c>
      <c r="AN1371" s="76">
        <v>1</v>
      </c>
      <c r="AO1371" s="76">
        <v>1</v>
      </c>
      <c r="AP1371" s="76">
        <v>1</v>
      </c>
      <c r="AQ1371" s="76">
        <v>1</v>
      </c>
      <c r="AR1371" s="96">
        <v>0.0721861525408278</v>
      </c>
      <c r="AS1371" s="80">
        <v>0</v>
      </c>
      <c r="AT1371" s="80">
        <v>0.0526315789473684</v>
      </c>
      <c r="AU1371" s="80">
        <v>0</v>
      </c>
      <c r="AV1371" s="80">
        <v>0.0397350993377483</v>
      </c>
      <c r="AW1371" s="36"/>
      <c r="AX1371" s="34"/>
    </row>
    <row r="1372" ht="14.5" spans="1:50">
      <c r="A1372" s="32"/>
      <c r="B1372" s="36"/>
      <c r="C1372" s="91" t="s">
        <v>1105</v>
      </c>
      <c r="D1372" s="69" t="s">
        <v>25</v>
      </c>
      <c r="E1372" s="129" t="s">
        <v>1421</v>
      </c>
      <c r="F1372" s="129" t="s">
        <v>1421</v>
      </c>
      <c r="G1372" s="129" t="s">
        <v>1421</v>
      </c>
      <c r="H1372" s="129" t="s">
        <v>1421</v>
      </c>
      <c r="I1372" s="71">
        <v>0.9</v>
      </c>
      <c r="J1372" s="72">
        <v>0.939393939393939</v>
      </c>
      <c r="K1372" s="72">
        <v>0.923076923076923</v>
      </c>
      <c r="L1372" s="73">
        <v>1</v>
      </c>
      <c r="M1372" s="72">
        <v>0.957575757575758</v>
      </c>
      <c r="N1372" s="74">
        <v>0.9</v>
      </c>
      <c r="O1372" s="72">
        <v>0.936898395721925</v>
      </c>
      <c r="P1372" s="72">
        <v>0.938885730528709</v>
      </c>
      <c r="Q1372" s="72">
        <v>0.946239717978848</v>
      </c>
      <c r="R1372" s="72">
        <v>0.947449371955909</v>
      </c>
      <c r="S1372" s="74">
        <v>0.9</v>
      </c>
      <c r="T1372" s="72">
        <v>0.903475935828877</v>
      </c>
      <c r="U1372" s="72">
        <v>0.922683342808414</v>
      </c>
      <c r="V1372" s="72">
        <v>0.914806110458284</v>
      </c>
      <c r="W1372" s="72">
        <v>0.924346321456037</v>
      </c>
      <c r="X1372" s="74">
        <v>0.92</v>
      </c>
      <c r="Y1372" s="74">
        <v>0</v>
      </c>
      <c r="Z1372" s="74">
        <v>0</v>
      </c>
      <c r="AA1372" s="74">
        <v>0</v>
      </c>
      <c r="AB1372" s="74">
        <v>0</v>
      </c>
      <c r="AC1372" s="74">
        <v>0.92</v>
      </c>
      <c r="AD1372" s="72">
        <v>0.989276139410188</v>
      </c>
      <c r="AE1372" s="72">
        <v>1</v>
      </c>
      <c r="AF1372" s="72">
        <v>0.996268656716418</v>
      </c>
      <c r="AG1372" s="72">
        <v>0.992737176577394</v>
      </c>
      <c r="AH1372" s="74">
        <v>0.92</v>
      </c>
      <c r="AI1372" s="72">
        <v>0.940106951871658</v>
      </c>
      <c r="AJ1372" s="72">
        <v>0.961341671404207</v>
      </c>
      <c r="AK1372" s="72">
        <v>0.965628672150411</v>
      </c>
      <c r="AL1372" s="72">
        <v>0.966675211484235</v>
      </c>
      <c r="AM1372" s="71">
        <v>0.99</v>
      </c>
      <c r="AN1372" s="76">
        <v>1</v>
      </c>
      <c r="AO1372" s="76">
        <v>1</v>
      </c>
      <c r="AP1372" s="76">
        <v>1</v>
      </c>
      <c r="AQ1372" s="76">
        <v>1</v>
      </c>
      <c r="AR1372" s="96">
        <v>0.0721861525408278</v>
      </c>
      <c r="AS1372" s="80">
        <v>0</v>
      </c>
      <c r="AT1372" s="80">
        <v>0.0909090909090909</v>
      </c>
      <c r="AU1372" s="80">
        <v>0</v>
      </c>
      <c r="AV1372" s="80">
        <v>0.012987012987013</v>
      </c>
      <c r="AW1372" s="36"/>
      <c r="AX1372" s="34"/>
    </row>
    <row r="1373" ht="14.5" spans="1:50">
      <c r="A1373" s="32"/>
      <c r="B1373" s="36"/>
      <c r="C1373" s="91" t="s">
        <v>1105</v>
      </c>
      <c r="D1373" s="69" t="s">
        <v>25</v>
      </c>
      <c r="E1373" s="129" t="s">
        <v>1422</v>
      </c>
      <c r="F1373" s="129" t="s">
        <v>1422</v>
      </c>
      <c r="G1373" s="129" t="s">
        <v>1422</v>
      </c>
      <c r="H1373" s="129" t="s">
        <v>1422</v>
      </c>
      <c r="I1373" s="71">
        <v>0.9</v>
      </c>
      <c r="J1373" s="72">
        <v>1</v>
      </c>
      <c r="K1373" s="72">
        <v>1</v>
      </c>
      <c r="L1373" s="73">
        <v>0.962962962962963</v>
      </c>
      <c r="M1373" s="72">
        <v>0.991031390134529</v>
      </c>
      <c r="N1373" s="74">
        <v>0.9</v>
      </c>
      <c r="O1373" s="72">
        <v>0.989292088042832</v>
      </c>
      <c r="P1373" s="72">
        <v>0.959467284308049</v>
      </c>
      <c r="Q1373" s="72">
        <v>0.990013315579228</v>
      </c>
      <c r="R1373" s="72">
        <v>0.988817463506093</v>
      </c>
      <c r="S1373" s="74">
        <v>0.9</v>
      </c>
      <c r="T1373" s="72">
        <v>0.94883997620464</v>
      </c>
      <c r="U1373" s="72">
        <v>0.962941517081644</v>
      </c>
      <c r="V1373" s="72">
        <v>0.962050599201065</v>
      </c>
      <c r="W1373" s="72">
        <v>0.953060131244141</v>
      </c>
      <c r="X1373" s="74">
        <v>0.92</v>
      </c>
      <c r="Y1373" s="74">
        <v>0.978515625</v>
      </c>
      <c r="Z1373" s="74">
        <v>0.983200707338638</v>
      </c>
      <c r="AA1373" s="74">
        <v>0.983365949119374</v>
      </c>
      <c r="AB1373" s="74">
        <v>0.982035337084197</v>
      </c>
      <c r="AC1373" s="74">
        <v>0.92</v>
      </c>
      <c r="AD1373" s="72">
        <v>0.996173469387755</v>
      </c>
      <c r="AE1373" s="72">
        <v>0.998613037447989</v>
      </c>
      <c r="AF1373" s="72">
        <v>0.99866844207723</v>
      </c>
      <c r="AG1373" s="72">
        <v>0.997098084735926</v>
      </c>
      <c r="AH1373" s="74">
        <v>0.92</v>
      </c>
      <c r="AI1373" s="72">
        <v>0.983733826247689</v>
      </c>
      <c r="AJ1373" s="72">
        <v>0.988107729975516</v>
      </c>
      <c r="AK1373" s="72">
        <v>0.98970297029703</v>
      </c>
      <c r="AL1373" s="72">
        <v>0.988272368263592</v>
      </c>
      <c r="AM1373" s="71">
        <v>0.99</v>
      </c>
      <c r="AN1373" s="76">
        <v>1</v>
      </c>
      <c r="AO1373" s="76">
        <v>1</v>
      </c>
      <c r="AP1373" s="76">
        <v>1</v>
      </c>
      <c r="AQ1373" s="76">
        <v>1</v>
      </c>
      <c r="AR1373" s="96">
        <v>0.0721861525408278</v>
      </c>
      <c r="AS1373" s="80">
        <v>0</v>
      </c>
      <c r="AT1373" s="80">
        <v>0.142857142857143</v>
      </c>
      <c r="AU1373" s="80">
        <v>0</v>
      </c>
      <c r="AV1373" s="80">
        <v>0.0674157303370786</v>
      </c>
      <c r="AW1373" s="36"/>
      <c r="AX1373" s="34"/>
    </row>
    <row r="1374" ht="14.5" spans="1:50">
      <c r="A1374" s="32"/>
      <c r="B1374" s="36"/>
      <c r="C1374" s="91" t="s">
        <v>1105</v>
      </c>
      <c r="D1374" s="69" t="s">
        <v>25</v>
      </c>
      <c r="E1374" s="129" t="s">
        <v>1423</v>
      </c>
      <c r="F1374" s="129" t="s">
        <v>1423</v>
      </c>
      <c r="G1374" s="129" t="s">
        <v>1423</v>
      </c>
      <c r="H1374" s="129" t="s">
        <v>1423</v>
      </c>
      <c r="I1374" s="71">
        <v>0.9</v>
      </c>
      <c r="J1374" s="72">
        <v>0.921052631578947</v>
      </c>
      <c r="K1374" s="72">
        <v>0.975</v>
      </c>
      <c r="L1374" s="73">
        <v>0.975</v>
      </c>
      <c r="M1374" s="72">
        <v>0.983286908077994</v>
      </c>
      <c r="N1374" s="74">
        <v>0.9</v>
      </c>
      <c r="O1374" s="72">
        <v>0.83943457774556</v>
      </c>
      <c r="P1374" s="72">
        <v>0.969101123595506</v>
      </c>
      <c r="Q1374" s="72">
        <v>0.985584843492586</v>
      </c>
      <c r="R1374" s="72">
        <v>0.949342324342324</v>
      </c>
      <c r="S1374" s="74">
        <v>0.9</v>
      </c>
      <c r="T1374" s="72">
        <v>0.909025009061254</v>
      </c>
      <c r="U1374" s="72">
        <v>0.938553370786517</v>
      </c>
      <c r="V1374" s="72">
        <v>0.949752883031301</v>
      </c>
      <c r="W1374" s="72">
        <v>0.938186813186813</v>
      </c>
      <c r="X1374" s="74">
        <v>0.92</v>
      </c>
      <c r="Y1374" s="74">
        <v>0.936013590033975</v>
      </c>
      <c r="Z1374" s="74">
        <v>0.948807157057654</v>
      </c>
      <c r="AA1374" s="74">
        <v>0.963378617838157</v>
      </c>
      <c r="AB1374" s="74">
        <v>0.960665304931427</v>
      </c>
      <c r="AC1374" s="74">
        <v>0.92</v>
      </c>
      <c r="AD1374" s="72">
        <v>1</v>
      </c>
      <c r="AE1374" s="72">
        <v>1</v>
      </c>
      <c r="AF1374" s="72">
        <v>0.98936170212766</v>
      </c>
      <c r="AG1374" s="72">
        <v>0.99799509913121</v>
      </c>
      <c r="AH1374" s="74">
        <v>0.92</v>
      </c>
      <c r="AI1374" s="72">
        <v>0.955801104972376</v>
      </c>
      <c r="AJ1374" s="72">
        <v>0.966872427983539</v>
      </c>
      <c r="AK1374" s="72">
        <v>0.976947342877942</v>
      </c>
      <c r="AL1374" s="72">
        <v>0.974319103962681</v>
      </c>
      <c r="AM1374" s="71">
        <v>0.99</v>
      </c>
      <c r="AN1374" s="76">
        <v>1</v>
      </c>
      <c r="AO1374" s="76">
        <v>1</v>
      </c>
      <c r="AP1374" s="76">
        <v>1</v>
      </c>
      <c r="AQ1374" s="76">
        <v>1</v>
      </c>
      <c r="AR1374" s="96">
        <v>0.0721861525408278</v>
      </c>
      <c r="AS1374" s="80">
        <v>0</v>
      </c>
      <c r="AT1374" s="80">
        <v>0.111111111111111</v>
      </c>
      <c r="AU1374" s="80">
        <v>0</v>
      </c>
      <c r="AV1374" s="80">
        <v>0.0432098765432099</v>
      </c>
      <c r="AW1374" s="36"/>
      <c r="AX1374" s="34"/>
    </row>
    <row r="1375" ht="14.5" spans="1:50">
      <c r="A1375" s="32"/>
      <c r="B1375" s="36"/>
      <c r="C1375" s="91" t="s">
        <v>1105</v>
      </c>
      <c r="D1375" s="69" t="s">
        <v>25</v>
      </c>
      <c r="E1375" s="129" t="s">
        <v>1424</v>
      </c>
      <c r="F1375" s="129" t="s">
        <v>1424</v>
      </c>
      <c r="G1375" s="129" t="s">
        <v>1424</v>
      </c>
      <c r="H1375" s="129" t="s">
        <v>1424</v>
      </c>
      <c r="I1375" s="71">
        <v>0.9</v>
      </c>
      <c r="J1375" s="72">
        <v>0.941176470588235</v>
      </c>
      <c r="K1375" s="72">
        <v>0.941176470588235</v>
      </c>
      <c r="L1375" s="73">
        <v>1</v>
      </c>
      <c r="M1375" s="72">
        <v>0.975308641975309</v>
      </c>
      <c r="N1375" s="74">
        <v>0.9</v>
      </c>
      <c r="O1375" s="72">
        <v>0.981818181818182</v>
      </c>
      <c r="P1375" s="72">
        <v>0.991408934707904</v>
      </c>
      <c r="Q1375" s="72">
        <v>0.989574283231972</v>
      </c>
      <c r="R1375" s="72">
        <v>0.98813056379822</v>
      </c>
      <c r="S1375" s="74">
        <v>0.9</v>
      </c>
      <c r="T1375" s="72">
        <v>0.92034632034632</v>
      </c>
      <c r="U1375" s="72">
        <v>0.900343642611684</v>
      </c>
      <c r="V1375" s="72">
        <v>0.917463075586447</v>
      </c>
      <c r="W1375" s="72">
        <v>0.918541208002297</v>
      </c>
      <c r="X1375" s="74">
        <v>0.92</v>
      </c>
      <c r="Y1375" s="74">
        <v>0.907563025210084</v>
      </c>
      <c r="Z1375" s="74">
        <v>0.947103274559194</v>
      </c>
      <c r="AA1375" s="74">
        <v>0.946142649199418</v>
      </c>
      <c r="AB1375" s="74">
        <v>0.946851879812774</v>
      </c>
      <c r="AC1375" s="74">
        <v>0.92</v>
      </c>
      <c r="AD1375" s="72">
        <v>0.997340425531915</v>
      </c>
      <c r="AE1375" s="72">
        <v>0.994174757281553</v>
      </c>
      <c r="AF1375" s="72">
        <v>0.993438320209974</v>
      </c>
      <c r="AG1375" s="72">
        <v>0.996914822266935</v>
      </c>
      <c r="AH1375" s="74">
        <v>0.92</v>
      </c>
      <c r="AI1375" s="72">
        <v>0.937934724451578</v>
      </c>
      <c r="AJ1375" s="72">
        <v>0.960163432073544</v>
      </c>
      <c r="AK1375" s="72">
        <v>0.970076169749728</v>
      </c>
      <c r="AL1375" s="72">
        <v>0.965595794392523</v>
      </c>
      <c r="AM1375" s="71">
        <v>0.99</v>
      </c>
      <c r="AN1375" s="76">
        <v>1</v>
      </c>
      <c r="AO1375" s="76">
        <v>1</v>
      </c>
      <c r="AP1375" s="76">
        <v>1</v>
      </c>
      <c r="AQ1375" s="76">
        <v>1</v>
      </c>
      <c r="AR1375" s="96">
        <v>0.0721861525408278</v>
      </c>
      <c r="AS1375" s="80">
        <v>0</v>
      </c>
      <c r="AT1375" s="80">
        <v>0</v>
      </c>
      <c r="AU1375" s="80">
        <v>0</v>
      </c>
      <c r="AV1375" s="80">
        <v>0.0515463917525773</v>
      </c>
      <c r="AW1375" s="36"/>
      <c r="AX1375" s="34"/>
    </row>
    <row r="1376" ht="14.5" spans="1:50">
      <c r="A1376" s="32"/>
      <c r="B1376" s="36"/>
      <c r="C1376" s="91" t="s">
        <v>1105</v>
      </c>
      <c r="D1376" s="69" t="s">
        <v>25</v>
      </c>
      <c r="E1376" s="129" t="s">
        <v>1425</v>
      </c>
      <c r="F1376" s="129" t="s">
        <v>1425</v>
      </c>
      <c r="G1376" s="129" t="s">
        <v>1425</v>
      </c>
      <c r="H1376" s="129" t="s">
        <v>1425</v>
      </c>
      <c r="I1376" s="71">
        <v>0.9</v>
      </c>
      <c r="J1376" s="72">
        <v>0.871794871794872</v>
      </c>
      <c r="K1376" s="72">
        <v>1</v>
      </c>
      <c r="L1376" s="73">
        <v>0.976744186046512</v>
      </c>
      <c r="M1376" s="72">
        <v>0.955497382198953</v>
      </c>
      <c r="N1376" s="74">
        <v>0.9</v>
      </c>
      <c r="O1376" s="72">
        <v>0.914922907488987</v>
      </c>
      <c r="P1376" s="72">
        <v>0.88829185520362</v>
      </c>
      <c r="Q1376" s="72">
        <v>0.986453943407586</v>
      </c>
      <c r="R1376" s="72">
        <v>0.951587351878842</v>
      </c>
      <c r="S1376" s="74">
        <v>0.9</v>
      </c>
      <c r="T1376" s="72">
        <v>0.788546255506608</v>
      </c>
      <c r="U1376" s="72">
        <v>0.810237556561086</v>
      </c>
      <c r="V1376" s="72">
        <v>0.853702588801927</v>
      </c>
      <c r="W1376" s="72">
        <v>0.86046511627907</v>
      </c>
      <c r="X1376" s="74">
        <v>0.92</v>
      </c>
      <c r="Y1376" s="74">
        <v>0</v>
      </c>
      <c r="Z1376" s="74">
        <v>0</v>
      </c>
      <c r="AA1376" s="74">
        <v>0</v>
      </c>
      <c r="AB1376" s="74">
        <v>0</v>
      </c>
      <c r="AC1376" s="74">
        <v>0.92</v>
      </c>
      <c r="AD1376" s="72">
        <v>1</v>
      </c>
      <c r="AE1376" s="72">
        <v>1</v>
      </c>
      <c r="AF1376" s="72">
        <v>1</v>
      </c>
      <c r="AG1376" s="72">
        <v>1</v>
      </c>
      <c r="AH1376" s="74">
        <v>0.92</v>
      </c>
      <c r="AI1376" s="72">
        <v>0.960352422907489</v>
      </c>
      <c r="AJ1376" s="72">
        <v>0.969739819004525</v>
      </c>
      <c r="AK1376" s="72">
        <v>0.974111980734497</v>
      </c>
      <c r="AL1376" s="72">
        <v>0.968221278752931</v>
      </c>
      <c r="AM1376" s="71">
        <v>0.99</v>
      </c>
      <c r="AN1376" s="76">
        <v>1</v>
      </c>
      <c r="AO1376" s="76">
        <v>1</v>
      </c>
      <c r="AP1376" s="76">
        <v>1</v>
      </c>
      <c r="AQ1376" s="76">
        <v>1</v>
      </c>
      <c r="AR1376" s="96">
        <v>0.0721861525408278</v>
      </c>
      <c r="AS1376" s="80">
        <v>0</v>
      </c>
      <c r="AT1376" s="80">
        <v>0</v>
      </c>
      <c r="AU1376" s="80">
        <v>0.0833333333333333</v>
      </c>
      <c r="AV1376" s="80">
        <v>0.032967032967033</v>
      </c>
      <c r="AW1376" s="36"/>
      <c r="AX1376" s="34"/>
    </row>
    <row r="1377" ht="14.5" spans="1:50">
      <c r="A1377" s="32"/>
      <c r="B1377" s="36"/>
      <c r="C1377" s="91" t="s">
        <v>1105</v>
      </c>
      <c r="D1377" s="69" t="s">
        <v>25</v>
      </c>
      <c r="E1377" s="129" t="s">
        <v>1426</v>
      </c>
      <c r="F1377" s="129" t="s">
        <v>1426</v>
      </c>
      <c r="G1377" s="129" t="s">
        <v>1426</v>
      </c>
      <c r="H1377" s="129" t="s">
        <v>1426</v>
      </c>
      <c r="I1377" s="71">
        <v>0.9</v>
      </c>
      <c r="J1377" s="72">
        <v>0.888888888888889</v>
      </c>
      <c r="K1377" s="72">
        <v>0.871794871794872</v>
      </c>
      <c r="L1377" s="73">
        <v>0.944444444444444</v>
      </c>
      <c r="M1377" s="72">
        <v>0.946107784431138</v>
      </c>
      <c r="N1377" s="74">
        <v>0.9</v>
      </c>
      <c r="O1377" s="72">
        <v>0.956543456543457</v>
      </c>
      <c r="P1377" s="72">
        <v>0.951256281407035</v>
      </c>
      <c r="Q1377" s="72">
        <v>0.988944168048646</v>
      </c>
      <c r="R1377" s="72">
        <v>0.979352580927384</v>
      </c>
      <c r="S1377" s="74">
        <v>0.9</v>
      </c>
      <c r="T1377" s="72">
        <v>0.873626373626374</v>
      </c>
      <c r="U1377" s="72">
        <v>0.924623115577889</v>
      </c>
      <c r="V1377" s="72">
        <v>0.943615257048093</v>
      </c>
      <c r="W1377" s="72">
        <v>0.889122193059201</v>
      </c>
      <c r="X1377" s="74">
        <v>0.92</v>
      </c>
      <c r="Y1377" s="74">
        <v>0.945836701697656</v>
      </c>
      <c r="Z1377" s="74">
        <v>0.966053748231966</v>
      </c>
      <c r="AA1377" s="74">
        <v>0.953833470733718</v>
      </c>
      <c r="AB1377" s="74">
        <v>0.957224741209684</v>
      </c>
      <c r="AC1377" s="74">
        <v>0.92</v>
      </c>
      <c r="AD1377" s="72">
        <v>0.996153846153846</v>
      </c>
      <c r="AE1377" s="72">
        <v>1</v>
      </c>
      <c r="AF1377" s="72">
        <v>1</v>
      </c>
      <c r="AG1377" s="72">
        <v>0.999491029393053</v>
      </c>
      <c r="AH1377" s="74">
        <v>0.92</v>
      </c>
      <c r="AI1377" s="72">
        <v>0.963569002778635</v>
      </c>
      <c r="AJ1377" s="72">
        <v>0.974148061104583</v>
      </c>
      <c r="AK1377" s="72">
        <v>0.971872931833223</v>
      </c>
      <c r="AL1377" s="72">
        <v>0.969515155718943</v>
      </c>
      <c r="AM1377" s="71">
        <v>0.99</v>
      </c>
      <c r="AN1377" s="76">
        <v>1</v>
      </c>
      <c r="AO1377" s="76">
        <v>1</v>
      </c>
      <c r="AP1377" s="76">
        <v>1</v>
      </c>
      <c r="AQ1377" s="76">
        <v>1</v>
      </c>
      <c r="AR1377" s="96">
        <v>0.0721861525408278</v>
      </c>
      <c r="AS1377" s="80">
        <v>0.0909090909090909</v>
      </c>
      <c r="AT1377" s="80">
        <v>0.0769230769230769</v>
      </c>
      <c r="AU1377" s="80">
        <v>0</v>
      </c>
      <c r="AV1377" s="80">
        <v>0.0760869565217391</v>
      </c>
      <c r="AW1377" s="36"/>
      <c r="AX1377" s="34"/>
    </row>
    <row r="1378" ht="14.5" spans="1:50">
      <c r="A1378" s="32"/>
      <c r="B1378" s="36"/>
      <c r="C1378" s="91" t="s">
        <v>1105</v>
      </c>
      <c r="D1378" s="69" t="s">
        <v>25</v>
      </c>
      <c r="E1378" s="129" t="s">
        <v>1427</v>
      </c>
      <c r="F1378" s="129" t="s">
        <v>1427</v>
      </c>
      <c r="G1378" s="129" t="s">
        <v>1427</v>
      </c>
      <c r="H1378" s="129" t="s">
        <v>1427</v>
      </c>
      <c r="I1378" s="71">
        <v>0.9</v>
      </c>
      <c r="J1378" s="72">
        <v>0.925925925925926</v>
      </c>
      <c r="K1378" s="72">
        <v>0.962264150943396</v>
      </c>
      <c r="L1378" s="73">
        <v>1</v>
      </c>
      <c r="M1378" s="72">
        <v>0.939262472885033</v>
      </c>
      <c r="N1378" s="74">
        <v>0.9</v>
      </c>
      <c r="O1378" s="72">
        <v>0.947491248541424</v>
      </c>
      <c r="P1378" s="72">
        <v>0.962033067973056</v>
      </c>
      <c r="Q1378" s="72">
        <v>0.97024</v>
      </c>
      <c r="R1378" s="72">
        <v>0.920510095642933</v>
      </c>
      <c r="S1378" s="74">
        <v>0.9</v>
      </c>
      <c r="T1378" s="72">
        <v>0.886231038506418</v>
      </c>
      <c r="U1378" s="72">
        <v>0.89742804654011</v>
      </c>
      <c r="V1378" s="72">
        <v>0.9264</v>
      </c>
      <c r="W1378" s="72">
        <v>0.888877081119377</v>
      </c>
      <c r="X1378" s="74">
        <v>0.92</v>
      </c>
      <c r="Y1378" s="74">
        <v>0</v>
      </c>
      <c r="Z1378" s="74">
        <v>0</v>
      </c>
      <c r="AA1378" s="74">
        <v>0</v>
      </c>
      <c r="AB1378" s="74">
        <v>0</v>
      </c>
      <c r="AC1378" s="74">
        <v>0.92</v>
      </c>
      <c r="AD1378" s="72">
        <v>0.997429305912596</v>
      </c>
      <c r="AE1378" s="72">
        <v>0.993827160493827</v>
      </c>
      <c r="AF1378" s="72">
        <v>0.981012658227848</v>
      </c>
      <c r="AG1378" s="72">
        <v>0.995114942528736</v>
      </c>
      <c r="AH1378" s="74">
        <v>0.92</v>
      </c>
      <c r="AI1378" s="72">
        <v>0.941707956863888</v>
      </c>
      <c r="AJ1378" s="72">
        <v>0.943049601959584</v>
      </c>
      <c r="AK1378" s="72">
        <v>0.97312</v>
      </c>
      <c r="AL1378" s="72">
        <v>0.949952183614919</v>
      </c>
      <c r="AM1378" s="71">
        <v>0.99</v>
      </c>
      <c r="AN1378" s="76">
        <v>1</v>
      </c>
      <c r="AO1378" s="76">
        <v>1</v>
      </c>
      <c r="AP1378" s="76">
        <v>1</v>
      </c>
      <c r="AQ1378" s="76">
        <v>1</v>
      </c>
      <c r="AR1378" s="96">
        <v>0.0721861525408278</v>
      </c>
      <c r="AS1378" s="80">
        <v>0.0909090909090909</v>
      </c>
      <c r="AT1378" s="80">
        <v>0.0588235294117647</v>
      </c>
      <c r="AU1378" s="80">
        <v>0.0666666666666667</v>
      </c>
      <c r="AV1378" s="80">
        <v>0.0505050505050505</v>
      </c>
      <c r="AW1378" s="36"/>
      <c r="AX1378" s="34"/>
    </row>
    <row r="1379" ht="14.5" spans="1:50">
      <c r="A1379" s="32"/>
      <c r="B1379" s="36"/>
      <c r="C1379" s="91" t="s">
        <v>1105</v>
      </c>
      <c r="D1379" s="69" t="s">
        <v>25</v>
      </c>
      <c r="E1379" s="129" t="s">
        <v>1428</v>
      </c>
      <c r="F1379" s="129" t="s">
        <v>1428</v>
      </c>
      <c r="G1379" s="129" t="s">
        <v>1428</v>
      </c>
      <c r="H1379" s="129" t="s">
        <v>1428</v>
      </c>
      <c r="I1379" s="71">
        <v>0.9</v>
      </c>
      <c r="J1379" s="72">
        <v>1</v>
      </c>
      <c r="K1379" s="72">
        <v>0.975</v>
      </c>
      <c r="L1379" s="73">
        <v>1</v>
      </c>
      <c r="M1379" s="72">
        <v>0.968390804597701</v>
      </c>
      <c r="N1379" s="74">
        <v>0.9</v>
      </c>
      <c r="O1379" s="72">
        <v>0.968005223636957</v>
      </c>
      <c r="P1379" s="72">
        <v>0.904123711340206</v>
      </c>
      <c r="Q1379" s="72">
        <v>0.955587914088096</v>
      </c>
      <c r="R1379" s="72">
        <v>0.94419754994783</v>
      </c>
      <c r="S1379" s="74">
        <v>0.9</v>
      </c>
      <c r="T1379" s="72">
        <v>0.904015670910872</v>
      </c>
      <c r="U1379" s="72">
        <v>0.916151202749141</v>
      </c>
      <c r="V1379" s="72">
        <v>0.92282489989079</v>
      </c>
      <c r="W1379" s="72">
        <v>0.906171503651892</v>
      </c>
      <c r="X1379" s="74">
        <v>0.92</v>
      </c>
      <c r="Y1379" s="74">
        <v>0</v>
      </c>
      <c r="Z1379" s="74">
        <v>0</v>
      </c>
      <c r="AA1379" s="74">
        <v>0</v>
      </c>
      <c r="AB1379" s="74">
        <v>0</v>
      </c>
      <c r="AC1379" s="74">
        <v>0.92</v>
      </c>
      <c r="AD1379" s="72">
        <v>0.992063492063492</v>
      </c>
      <c r="AE1379" s="72">
        <v>0.994186046511628</v>
      </c>
      <c r="AF1379" s="72">
        <v>1</v>
      </c>
      <c r="AG1379" s="72">
        <v>0.996074032529445</v>
      </c>
      <c r="AH1379" s="74">
        <v>0.92</v>
      </c>
      <c r="AI1379" s="72">
        <v>0.952380952380952</v>
      </c>
      <c r="AJ1379" s="72">
        <v>0.966666666666667</v>
      </c>
      <c r="AK1379" s="72">
        <v>0.966508918820531</v>
      </c>
      <c r="AL1379" s="72">
        <v>0.960432766615147</v>
      </c>
      <c r="AM1379" s="71">
        <v>0.99</v>
      </c>
      <c r="AN1379" s="76">
        <v>1</v>
      </c>
      <c r="AO1379" s="76">
        <v>1</v>
      </c>
      <c r="AP1379" s="76">
        <v>1</v>
      </c>
      <c r="AQ1379" s="76">
        <v>1</v>
      </c>
      <c r="AR1379" s="96">
        <v>0.0721861525408278</v>
      </c>
      <c r="AS1379" s="80">
        <v>0</v>
      </c>
      <c r="AT1379" s="80">
        <v>0</v>
      </c>
      <c r="AU1379" s="80">
        <v>0</v>
      </c>
      <c r="AV1379" s="80">
        <v>0.036144578313253</v>
      </c>
      <c r="AW1379" s="36"/>
      <c r="AX1379" s="34"/>
    </row>
    <row r="1380" ht="14.5" spans="1:50">
      <c r="A1380" s="32"/>
      <c r="B1380" s="36"/>
      <c r="C1380" s="91" t="s">
        <v>1105</v>
      </c>
      <c r="D1380" s="69" t="s">
        <v>25</v>
      </c>
      <c r="E1380" s="129" t="s">
        <v>1429</v>
      </c>
      <c r="F1380" s="129" t="s">
        <v>1429</v>
      </c>
      <c r="G1380" s="129" t="s">
        <v>1429</v>
      </c>
      <c r="H1380" s="129" t="s">
        <v>1429</v>
      </c>
      <c r="I1380" s="71">
        <v>0.9</v>
      </c>
      <c r="J1380" s="72">
        <v>1</v>
      </c>
      <c r="K1380" s="72">
        <v>1</v>
      </c>
      <c r="L1380" s="73">
        <v>0.96875</v>
      </c>
      <c r="M1380" s="72">
        <v>0.989655172413793</v>
      </c>
      <c r="N1380" s="74">
        <v>0.9</v>
      </c>
      <c r="O1380" s="72">
        <v>0.989406779661017</v>
      </c>
      <c r="P1380" s="72">
        <v>0.989231873653984</v>
      </c>
      <c r="Q1380" s="72">
        <v>0.9967585089141</v>
      </c>
      <c r="R1380" s="72">
        <v>0.97292388971438</v>
      </c>
      <c r="S1380" s="74">
        <v>0.9</v>
      </c>
      <c r="T1380" s="72">
        <v>0.894774011299435</v>
      </c>
      <c r="U1380" s="72">
        <v>0.885139985642498</v>
      </c>
      <c r="V1380" s="72">
        <v>0.915316045380875</v>
      </c>
      <c r="W1380" s="72">
        <v>0.888930163447251</v>
      </c>
      <c r="X1380" s="74">
        <v>0.92</v>
      </c>
      <c r="Y1380" s="74">
        <v>0</v>
      </c>
      <c r="Z1380" s="74">
        <v>0</v>
      </c>
      <c r="AA1380" s="74">
        <v>0</v>
      </c>
      <c r="AB1380" s="74">
        <v>0</v>
      </c>
      <c r="AC1380" s="74">
        <v>0.92</v>
      </c>
      <c r="AD1380" s="72">
        <v>0.993939393939394</v>
      </c>
      <c r="AE1380" s="72">
        <v>1</v>
      </c>
      <c r="AF1380" s="72">
        <v>1</v>
      </c>
      <c r="AG1380" s="72">
        <v>0.996305418719212</v>
      </c>
      <c r="AH1380" s="74">
        <v>0.92</v>
      </c>
      <c r="AI1380" s="72">
        <v>0.97316384180791</v>
      </c>
      <c r="AJ1380" s="72">
        <v>0.976669059583632</v>
      </c>
      <c r="AK1380" s="72">
        <v>0.971231766612642</v>
      </c>
      <c r="AL1380" s="72">
        <v>0.974451048373782</v>
      </c>
      <c r="AM1380" s="71">
        <v>0.99</v>
      </c>
      <c r="AN1380" s="76">
        <v>1</v>
      </c>
      <c r="AO1380" s="76">
        <v>1</v>
      </c>
      <c r="AP1380" s="76">
        <v>1</v>
      </c>
      <c r="AQ1380" s="76">
        <v>1</v>
      </c>
      <c r="AR1380" s="96">
        <v>0.0721861525408278</v>
      </c>
      <c r="AS1380" s="80">
        <v>0.181818181818182</v>
      </c>
      <c r="AT1380" s="80">
        <v>0</v>
      </c>
      <c r="AU1380" s="80">
        <v>0.1</v>
      </c>
      <c r="AV1380" s="80">
        <v>0.0957446808510638</v>
      </c>
      <c r="AW1380" s="36"/>
      <c r="AX1380" s="34"/>
    </row>
    <row r="1381" ht="14.5" spans="1:50">
      <c r="A1381" s="32"/>
      <c r="B1381" s="36"/>
      <c r="C1381" s="91" t="s">
        <v>1105</v>
      </c>
      <c r="D1381" s="69" t="s">
        <v>25</v>
      </c>
      <c r="E1381" s="129" t="s">
        <v>1430</v>
      </c>
      <c r="F1381" s="129" t="s">
        <v>1430</v>
      </c>
      <c r="G1381" s="129" t="s">
        <v>1430</v>
      </c>
      <c r="H1381" s="129" t="s">
        <v>1430</v>
      </c>
      <c r="I1381" s="71">
        <v>0.9</v>
      </c>
      <c r="J1381" s="72">
        <v>1</v>
      </c>
      <c r="K1381" s="72">
        <v>1</v>
      </c>
      <c r="L1381" s="73">
        <v>1</v>
      </c>
      <c r="M1381" s="72">
        <v>1</v>
      </c>
      <c r="N1381" s="74">
        <v>0.9</v>
      </c>
      <c r="O1381" s="72">
        <v>0.96309963099631</v>
      </c>
      <c r="P1381" s="72">
        <v>0.976394849785408</v>
      </c>
      <c r="Q1381" s="72">
        <v>0.976686094920899</v>
      </c>
      <c r="R1381" s="72">
        <v>0.976451981372463</v>
      </c>
      <c r="S1381" s="74">
        <v>0.9</v>
      </c>
      <c r="T1381" s="72">
        <v>0.948339483394834</v>
      </c>
      <c r="U1381" s="72">
        <v>0.964234620886981</v>
      </c>
      <c r="V1381" s="72">
        <v>0.968359700249792</v>
      </c>
      <c r="W1381" s="72">
        <v>0.956330726649679</v>
      </c>
      <c r="X1381" s="74">
        <v>0.92</v>
      </c>
      <c r="Y1381" s="74">
        <v>0.956714761376249</v>
      </c>
      <c r="Z1381" s="74">
        <v>0.974186307519641</v>
      </c>
      <c r="AA1381" s="74">
        <v>0.969194312796208</v>
      </c>
      <c r="AB1381" s="74">
        <v>0.967234744365036</v>
      </c>
      <c r="AC1381" s="74">
        <v>0.92</v>
      </c>
      <c r="AD1381" s="72">
        <v>1</v>
      </c>
      <c r="AE1381" s="72">
        <v>0.993569131832797</v>
      </c>
      <c r="AF1381" s="72">
        <v>1</v>
      </c>
      <c r="AG1381" s="72">
        <v>0.998431126451208</v>
      </c>
      <c r="AH1381" s="74">
        <v>0.92</v>
      </c>
      <c r="AI1381" s="72">
        <v>0.973847517730496</v>
      </c>
      <c r="AJ1381" s="72">
        <v>0.986456968108344</v>
      </c>
      <c r="AK1381" s="72">
        <v>0.985330073349633</v>
      </c>
      <c r="AL1381" s="72">
        <v>0.981099824184411</v>
      </c>
      <c r="AM1381" s="71">
        <v>0.99</v>
      </c>
      <c r="AN1381" s="76">
        <v>1</v>
      </c>
      <c r="AO1381" s="76">
        <v>1</v>
      </c>
      <c r="AP1381" s="76">
        <v>1</v>
      </c>
      <c r="AQ1381" s="76">
        <v>1</v>
      </c>
      <c r="AR1381" s="96">
        <v>0.0721861525408278</v>
      </c>
      <c r="AS1381" s="80">
        <v>0</v>
      </c>
      <c r="AT1381" s="80">
        <v>0</v>
      </c>
      <c r="AU1381" s="80">
        <v>0</v>
      </c>
      <c r="AV1381" s="80">
        <v>0</v>
      </c>
      <c r="AW1381" s="36"/>
      <c r="AX1381" s="34"/>
    </row>
    <row r="1382" ht="14.5" spans="1:50">
      <c r="A1382" s="32"/>
      <c r="B1382" s="36"/>
      <c r="C1382" s="91" t="s">
        <v>1105</v>
      </c>
      <c r="D1382" s="69" t="s">
        <v>25</v>
      </c>
      <c r="E1382" s="129" t="s">
        <v>1431</v>
      </c>
      <c r="F1382" s="129" t="s">
        <v>1431</v>
      </c>
      <c r="G1382" s="129" t="s">
        <v>1431</v>
      </c>
      <c r="H1382" s="129" t="s">
        <v>1431</v>
      </c>
      <c r="I1382" s="71">
        <v>0.9</v>
      </c>
      <c r="J1382" s="72">
        <v>1</v>
      </c>
      <c r="K1382" s="72">
        <v>1</v>
      </c>
      <c r="L1382" s="73">
        <v>1</v>
      </c>
      <c r="M1382" s="72">
        <v>0.979591836734694</v>
      </c>
      <c r="N1382" s="74">
        <v>0.9</v>
      </c>
      <c r="O1382" s="72">
        <v>0.972375690607735</v>
      </c>
      <c r="P1382" s="72">
        <v>0.98494623655914</v>
      </c>
      <c r="Q1382" s="72">
        <v>0.966101694915254</v>
      </c>
      <c r="R1382" s="72">
        <v>0.954420791432676</v>
      </c>
      <c r="S1382" s="74">
        <v>0.9</v>
      </c>
      <c r="T1382" s="72">
        <v>0.940331491712707</v>
      </c>
      <c r="U1382" s="72">
        <v>0.950537634408602</v>
      </c>
      <c r="V1382" s="72">
        <v>0.941888619854721</v>
      </c>
      <c r="W1382" s="72">
        <v>0.922946323625441</v>
      </c>
      <c r="X1382" s="74">
        <v>0.92</v>
      </c>
      <c r="Y1382" s="74">
        <v>0.925724637681159</v>
      </c>
      <c r="Z1382" s="74">
        <v>0.962199312714777</v>
      </c>
      <c r="AA1382" s="74">
        <v>0.968085106382979</v>
      </c>
      <c r="AB1382" s="74">
        <v>0.962495618647038</v>
      </c>
      <c r="AC1382" s="74">
        <v>0.92</v>
      </c>
      <c r="AD1382" s="72">
        <v>1</v>
      </c>
      <c r="AE1382" s="72">
        <v>0.997782705099778</v>
      </c>
      <c r="AF1382" s="72">
        <v>1</v>
      </c>
      <c r="AG1382" s="72">
        <v>0.999733404425487</v>
      </c>
      <c r="AH1382" s="74">
        <v>0.92</v>
      </c>
      <c r="AI1382" s="72">
        <v>0.952674897119342</v>
      </c>
      <c r="AJ1382" s="72">
        <v>0.98015873015873</v>
      </c>
      <c r="AK1382" s="72">
        <v>0.976258992805755</v>
      </c>
      <c r="AL1382" s="72">
        <v>0.975531278060461</v>
      </c>
      <c r="AM1382" s="71">
        <v>0.99</v>
      </c>
      <c r="AN1382" s="76">
        <v>1</v>
      </c>
      <c r="AO1382" s="76">
        <v>1</v>
      </c>
      <c r="AP1382" s="76">
        <v>1</v>
      </c>
      <c r="AQ1382" s="76">
        <v>1</v>
      </c>
      <c r="AR1382" s="96">
        <v>0.0721861525408278</v>
      </c>
      <c r="AS1382" s="80">
        <v>0.142857142857143</v>
      </c>
      <c r="AT1382" s="80">
        <v>0</v>
      </c>
      <c r="AU1382" s="80">
        <v>0</v>
      </c>
      <c r="AV1382" s="80">
        <v>0.0263157894736842</v>
      </c>
      <c r="AW1382" s="36"/>
      <c r="AX1382" s="34"/>
    </row>
    <row r="1383" ht="14.5" spans="1:50">
      <c r="A1383" s="32"/>
      <c r="B1383" s="36"/>
      <c r="C1383" s="91" t="s">
        <v>1105</v>
      </c>
      <c r="D1383" s="69" t="s">
        <v>25</v>
      </c>
      <c r="E1383" s="129" t="s">
        <v>1432</v>
      </c>
      <c r="F1383" s="129" t="s">
        <v>1432</v>
      </c>
      <c r="G1383" s="129" t="s">
        <v>1432</v>
      </c>
      <c r="H1383" s="129" t="s">
        <v>1432</v>
      </c>
      <c r="I1383" s="71">
        <v>0.9</v>
      </c>
      <c r="J1383" s="72">
        <v>1</v>
      </c>
      <c r="K1383" s="72">
        <v>0.947368421052632</v>
      </c>
      <c r="L1383" s="73">
        <v>0.9</v>
      </c>
      <c r="M1383" s="72">
        <v>0.955307262569832</v>
      </c>
      <c r="N1383" s="74">
        <v>0.9</v>
      </c>
      <c r="O1383" s="72">
        <v>0.909281894576012</v>
      </c>
      <c r="P1383" s="72">
        <v>0.944615384615385</v>
      </c>
      <c r="Q1383" s="72">
        <v>0.936441563872047</v>
      </c>
      <c r="R1383" s="72">
        <v>0.936623850818283</v>
      </c>
      <c r="S1383" s="74">
        <v>0.9</v>
      </c>
      <c r="T1383" s="72">
        <v>0.845492742551566</v>
      </c>
      <c r="U1383" s="72">
        <v>0.890666666666667</v>
      </c>
      <c r="V1383" s="72">
        <v>0.909261969475225</v>
      </c>
      <c r="W1383" s="72">
        <v>0.885353502423334</v>
      </c>
      <c r="X1383" s="74">
        <v>0.92</v>
      </c>
      <c r="Y1383" s="74">
        <v>0</v>
      </c>
      <c r="Z1383" s="74">
        <v>0</v>
      </c>
      <c r="AA1383" s="74">
        <v>0</v>
      </c>
      <c r="AB1383" s="74">
        <v>0</v>
      </c>
      <c r="AC1383" s="74">
        <v>0.92</v>
      </c>
      <c r="AD1383" s="72">
        <v>0.960591133004926</v>
      </c>
      <c r="AE1383" s="72">
        <v>0.989409984871407</v>
      </c>
      <c r="AF1383" s="72">
        <v>0.968885047536733</v>
      </c>
      <c r="AG1383" s="72">
        <v>0.982698645184914</v>
      </c>
      <c r="AH1383" s="74">
        <v>0.92</v>
      </c>
      <c r="AI1383" s="72">
        <v>0.947519083969466</v>
      </c>
      <c r="AJ1383" s="72">
        <v>0.961846153846154</v>
      </c>
      <c r="AK1383" s="72">
        <v>0.976165586452018</v>
      </c>
      <c r="AL1383" s="72">
        <v>0.968336412039552</v>
      </c>
      <c r="AM1383" s="71">
        <v>0.99</v>
      </c>
      <c r="AN1383" s="76">
        <v>1</v>
      </c>
      <c r="AO1383" s="76">
        <v>1</v>
      </c>
      <c r="AP1383" s="76">
        <v>1</v>
      </c>
      <c r="AQ1383" s="76">
        <v>1</v>
      </c>
      <c r="AR1383" s="96">
        <v>0.0721861525408278</v>
      </c>
      <c r="AS1383" s="80">
        <v>0.0555555555555556</v>
      </c>
      <c r="AT1383" s="80">
        <v>0</v>
      </c>
      <c r="AU1383" s="80">
        <v>0</v>
      </c>
      <c r="AV1383" s="80">
        <v>0.0287769784172662</v>
      </c>
      <c r="AW1383" s="36"/>
      <c r="AX1383" s="34"/>
    </row>
    <row r="1384" ht="14.5" spans="1:50">
      <c r="A1384" s="32"/>
      <c r="B1384" s="36"/>
      <c r="C1384" s="91" t="s">
        <v>1105</v>
      </c>
      <c r="D1384" s="69" t="s">
        <v>25</v>
      </c>
      <c r="E1384" s="129" t="s">
        <v>1433</v>
      </c>
      <c r="F1384" s="129" t="s">
        <v>1433</v>
      </c>
      <c r="G1384" s="129" t="s">
        <v>1433</v>
      </c>
      <c r="H1384" s="129" t="s">
        <v>1433</v>
      </c>
      <c r="I1384" s="71">
        <v>0.9</v>
      </c>
      <c r="J1384" s="72">
        <v>0.983870967741935</v>
      </c>
      <c r="K1384" s="72">
        <v>0.971428571428571</v>
      </c>
      <c r="L1384" s="73">
        <v>0.972222222222222</v>
      </c>
      <c r="M1384" s="72">
        <v>0.967948717948718</v>
      </c>
      <c r="N1384" s="74">
        <v>0.9</v>
      </c>
      <c r="O1384" s="72">
        <v>0.968452110758057</v>
      </c>
      <c r="P1384" s="72">
        <v>0.980591288648161</v>
      </c>
      <c r="Q1384" s="72">
        <v>0.985147365978185</v>
      </c>
      <c r="R1384" s="72">
        <v>0.976780467510856</v>
      </c>
      <c r="S1384" s="74">
        <v>0.9</v>
      </c>
      <c r="T1384" s="72">
        <v>0.913980935088516</v>
      </c>
      <c r="U1384" s="72">
        <v>0.93522906793049</v>
      </c>
      <c r="V1384" s="72">
        <v>0.938500812253423</v>
      </c>
      <c r="W1384" s="72">
        <v>0.931667490054344</v>
      </c>
      <c r="X1384" s="74">
        <v>0.92</v>
      </c>
      <c r="Y1384" s="74">
        <v>0.918333879960643</v>
      </c>
      <c r="Z1384" s="74">
        <v>0.936986301369863</v>
      </c>
      <c r="AA1384" s="74">
        <v>0.955849178214631</v>
      </c>
      <c r="AB1384" s="74">
        <v>0.944497444633731</v>
      </c>
      <c r="AC1384" s="74">
        <v>0.92</v>
      </c>
      <c r="AD1384" s="72">
        <v>0.996508728179551</v>
      </c>
      <c r="AE1384" s="72">
        <v>0.997275204359673</v>
      </c>
      <c r="AF1384" s="72">
        <v>0.99321376635967</v>
      </c>
      <c r="AG1384" s="72">
        <v>0.994955535909304</v>
      </c>
      <c r="AH1384" s="74">
        <v>0.92</v>
      </c>
      <c r="AI1384" s="72">
        <v>0.942454728370221</v>
      </c>
      <c r="AJ1384" s="72">
        <v>0.959205874354093</v>
      </c>
      <c r="AK1384" s="72">
        <v>0.97275424871864</v>
      </c>
      <c r="AL1384" s="72">
        <v>0.963209272148166</v>
      </c>
      <c r="AM1384" s="71">
        <v>0.99</v>
      </c>
      <c r="AN1384" s="76">
        <v>1</v>
      </c>
      <c r="AO1384" s="76">
        <v>1</v>
      </c>
      <c r="AP1384" s="76">
        <v>1</v>
      </c>
      <c r="AQ1384" s="76">
        <v>1</v>
      </c>
      <c r="AR1384" s="96">
        <v>0.0721861525408278</v>
      </c>
      <c r="AS1384" s="80">
        <v>0.0517241379310345</v>
      </c>
      <c r="AT1384" s="80">
        <v>0.0363636363636364</v>
      </c>
      <c r="AU1384" s="80">
        <v>0.0681818181818182</v>
      </c>
      <c r="AV1384" s="80">
        <v>0.024390243902439</v>
      </c>
      <c r="AW1384" s="36"/>
      <c r="AX1384" s="34"/>
    </row>
    <row r="1385" ht="14.5" spans="1:50">
      <c r="A1385" s="32"/>
      <c r="B1385" s="36"/>
      <c r="C1385" s="91" t="s">
        <v>1105</v>
      </c>
      <c r="D1385" s="69" t="s">
        <v>25</v>
      </c>
      <c r="E1385" s="129" t="s">
        <v>1434</v>
      </c>
      <c r="F1385" s="129" t="s">
        <v>1434</v>
      </c>
      <c r="G1385" s="129" t="s">
        <v>1434</v>
      </c>
      <c r="H1385" s="129" t="s">
        <v>1434</v>
      </c>
      <c r="I1385" s="71">
        <v>0.9</v>
      </c>
      <c r="J1385" s="72">
        <v>0.950819672131147</v>
      </c>
      <c r="K1385" s="72">
        <v>0.919354838709677</v>
      </c>
      <c r="L1385" s="73">
        <v>0.940298507462687</v>
      </c>
      <c r="M1385" s="72">
        <v>0.932862190812721</v>
      </c>
      <c r="N1385" s="74">
        <v>0.9</v>
      </c>
      <c r="O1385" s="72">
        <v>0.859602649006623</v>
      </c>
      <c r="P1385" s="72">
        <v>0.880744756068819</v>
      </c>
      <c r="Q1385" s="72">
        <v>0.912419594260267</v>
      </c>
      <c r="R1385" s="72">
        <v>0.877750163505559</v>
      </c>
      <c r="S1385" s="74">
        <v>0.9</v>
      </c>
      <c r="T1385" s="72">
        <v>0.764900662251656</v>
      </c>
      <c r="U1385" s="72">
        <v>0.806740513787415</v>
      </c>
      <c r="V1385" s="72">
        <v>0.827560613557645</v>
      </c>
      <c r="W1385" s="72">
        <v>0.811641595814258</v>
      </c>
      <c r="X1385" s="74">
        <v>0.92</v>
      </c>
      <c r="Y1385" s="74">
        <v>0.832464146023468</v>
      </c>
      <c r="Z1385" s="74">
        <v>0.898327759197324</v>
      </c>
      <c r="AA1385" s="74">
        <v>0.913461538461538</v>
      </c>
      <c r="AB1385" s="74">
        <v>0.905388492372222</v>
      </c>
      <c r="AC1385" s="74">
        <v>0.92</v>
      </c>
      <c r="AD1385" s="72">
        <v>0.99874686716792</v>
      </c>
      <c r="AE1385" s="72">
        <v>0.99601833976834</v>
      </c>
      <c r="AF1385" s="72">
        <v>0.999191965831698</v>
      </c>
      <c r="AG1385" s="72">
        <v>0.9953205499497</v>
      </c>
      <c r="AH1385" s="74">
        <v>0.92</v>
      </c>
      <c r="AI1385" s="72">
        <v>0.894709133982627</v>
      </c>
      <c r="AJ1385" s="72">
        <v>0.935296557445044</v>
      </c>
      <c r="AK1385" s="72">
        <v>0.943610087843582</v>
      </c>
      <c r="AL1385" s="72">
        <v>0.937800525089236</v>
      </c>
      <c r="AM1385" s="71">
        <v>0.99</v>
      </c>
      <c r="AN1385" s="76">
        <v>1</v>
      </c>
      <c r="AO1385" s="76">
        <v>1</v>
      </c>
      <c r="AP1385" s="76">
        <v>1</v>
      </c>
      <c r="AQ1385" s="76">
        <v>1</v>
      </c>
      <c r="AR1385" s="96">
        <v>0.0721861525408278</v>
      </c>
      <c r="AS1385" s="80">
        <v>0.0555555555555556</v>
      </c>
      <c r="AT1385" s="80">
        <v>0.0357142857142857</v>
      </c>
      <c r="AU1385" s="80">
        <v>0.025</v>
      </c>
      <c r="AV1385" s="80">
        <v>0.0522388059701493</v>
      </c>
      <c r="AW1385" s="36"/>
      <c r="AX1385" s="34"/>
    </row>
    <row r="1386" ht="14.5" spans="1:50">
      <c r="A1386" s="32"/>
      <c r="B1386" s="36"/>
      <c r="C1386" s="91" t="s">
        <v>1105</v>
      </c>
      <c r="D1386" s="69" t="s">
        <v>25</v>
      </c>
      <c r="E1386" s="129" t="s">
        <v>1435</v>
      </c>
      <c r="F1386" s="129" t="s">
        <v>1435</v>
      </c>
      <c r="G1386" s="129" t="s">
        <v>1435</v>
      </c>
      <c r="H1386" s="129" t="s">
        <v>1435</v>
      </c>
      <c r="I1386" s="71">
        <v>0.9</v>
      </c>
      <c r="J1386" s="72">
        <v>0.837209302325581</v>
      </c>
      <c r="K1386" s="72">
        <v>0.916666666666667</v>
      </c>
      <c r="L1386" s="73">
        <v>0.957446808510638</v>
      </c>
      <c r="M1386" s="72">
        <v>0.893867924528302</v>
      </c>
      <c r="N1386" s="74">
        <v>0.9</v>
      </c>
      <c r="O1386" s="72">
        <v>0.942234848484849</v>
      </c>
      <c r="P1386" s="72">
        <v>0.940767519466073</v>
      </c>
      <c r="Q1386" s="72">
        <v>0.954076086956522</v>
      </c>
      <c r="R1386" s="72">
        <v>0.937545992641177</v>
      </c>
      <c r="S1386" s="74">
        <v>0.9</v>
      </c>
      <c r="T1386" s="72">
        <v>0.95675505050505</v>
      </c>
      <c r="U1386" s="72">
        <v>0.942714126807564</v>
      </c>
      <c r="V1386" s="72">
        <v>0.954619565217391</v>
      </c>
      <c r="W1386" s="72">
        <v>0.962629979203327</v>
      </c>
      <c r="X1386" s="74">
        <v>0.92</v>
      </c>
      <c r="Y1386" s="74">
        <v>0.935082408341742</v>
      </c>
      <c r="Z1386" s="74">
        <v>0.961821527138914</v>
      </c>
      <c r="AA1386" s="74">
        <v>0.963636363636364</v>
      </c>
      <c r="AB1386" s="74">
        <v>0.961339721909057</v>
      </c>
      <c r="AC1386" s="74">
        <v>0.92</v>
      </c>
      <c r="AD1386" s="72">
        <v>0.997282608695652</v>
      </c>
      <c r="AE1386" s="72">
        <v>0.996244131455399</v>
      </c>
      <c r="AF1386" s="72">
        <v>0.976442873969376</v>
      </c>
      <c r="AG1386" s="72">
        <v>0.99096569405445</v>
      </c>
      <c r="AH1386" s="74">
        <v>0.92</v>
      </c>
      <c r="AI1386" s="72">
        <v>0.955559173042487</v>
      </c>
      <c r="AJ1386" s="72">
        <v>0.963951473136915</v>
      </c>
      <c r="AK1386" s="72">
        <v>0.980713245997089</v>
      </c>
      <c r="AL1386" s="72">
        <v>0.975451483377419</v>
      </c>
      <c r="AM1386" s="71">
        <v>0.99</v>
      </c>
      <c r="AN1386" s="76">
        <v>1</v>
      </c>
      <c r="AO1386" s="76">
        <v>1</v>
      </c>
      <c r="AP1386" s="76">
        <v>1</v>
      </c>
      <c r="AQ1386" s="76">
        <v>1</v>
      </c>
      <c r="AR1386" s="96">
        <v>0.0721861525408278</v>
      </c>
      <c r="AS1386" s="80">
        <v>0.0689655172413793</v>
      </c>
      <c r="AT1386" s="80">
        <v>0</v>
      </c>
      <c r="AU1386" s="80">
        <v>0.0384615384615385</v>
      </c>
      <c r="AV1386" s="80">
        <v>0.0212765957446809</v>
      </c>
      <c r="AW1386" s="36"/>
      <c r="AX1386" s="34"/>
    </row>
    <row r="1387" ht="14.5" spans="1:50">
      <c r="A1387" s="32"/>
      <c r="B1387" s="36"/>
      <c r="C1387" s="91" t="s">
        <v>1105</v>
      </c>
      <c r="D1387" s="69" t="s">
        <v>25</v>
      </c>
      <c r="E1387" s="129" t="s">
        <v>1436</v>
      </c>
      <c r="F1387" s="129" t="s">
        <v>1436</v>
      </c>
      <c r="G1387" s="129" t="s">
        <v>1436</v>
      </c>
      <c r="H1387" s="129" t="s">
        <v>1436</v>
      </c>
      <c r="I1387" s="71">
        <v>0.9</v>
      </c>
      <c r="J1387" s="72">
        <v>1</v>
      </c>
      <c r="K1387" s="72">
        <v>0.971428571428571</v>
      </c>
      <c r="L1387" s="73">
        <v>0.971428571428571</v>
      </c>
      <c r="M1387" s="72">
        <v>0.986577181208054</v>
      </c>
      <c r="N1387" s="74">
        <v>0.9</v>
      </c>
      <c r="O1387" s="72">
        <v>0.985687022900763</v>
      </c>
      <c r="P1387" s="72">
        <v>0.987920621225194</v>
      </c>
      <c r="Q1387" s="72">
        <v>0.983065953654189</v>
      </c>
      <c r="R1387" s="72">
        <v>0.9853468748421</v>
      </c>
      <c r="S1387" s="74">
        <v>0.9</v>
      </c>
      <c r="T1387" s="72">
        <v>0.968034351145038</v>
      </c>
      <c r="U1387" s="72">
        <v>0.976272648835203</v>
      </c>
      <c r="V1387" s="72">
        <v>0.975490196078431</v>
      </c>
      <c r="W1387" s="72">
        <v>0.975594967409429</v>
      </c>
      <c r="X1387" s="74">
        <v>0.92</v>
      </c>
      <c r="Y1387" s="74">
        <v>0.976325270200721</v>
      </c>
      <c r="Z1387" s="74">
        <v>0.986778009742519</v>
      </c>
      <c r="AA1387" s="74">
        <v>0.978405315614618</v>
      </c>
      <c r="AB1387" s="74">
        <v>0.980689049813474</v>
      </c>
      <c r="AC1387" s="74">
        <v>0.92</v>
      </c>
      <c r="AD1387" s="72">
        <v>0.997126436781609</v>
      </c>
      <c r="AE1387" s="72">
        <v>0.992374727668845</v>
      </c>
      <c r="AF1387" s="72">
        <v>0.995090016366612</v>
      </c>
      <c r="AG1387" s="72">
        <v>0.986000589448865</v>
      </c>
      <c r="AH1387" s="74">
        <v>0.92</v>
      </c>
      <c r="AI1387" s="72">
        <v>0.979202772963605</v>
      </c>
      <c r="AJ1387" s="72">
        <v>0.988548601864181</v>
      </c>
      <c r="AK1387" s="72">
        <v>0.989849187935035</v>
      </c>
      <c r="AL1387" s="72">
        <v>0.987210136265838</v>
      </c>
      <c r="AM1387" s="71">
        <v>0.99</v>
      </c>
      <c r="AN1387" s="76">
        <v>1</v>
      </c>
      <c r="AO1387" s="76">
        <v>1</v>
      </c>
      <c r="AP1387" s="76">
        <v>1</v>
      </c>
      <c r="AQ1387" s="76">
        <v>1</v>
      </c>
      <c r="AR1387" s="96">
        <v>0.0721861525408278</v>
      </c>
      <c r="AS1387" s="80">
        <v>0</v>
      </c>
      <c r="AT1387" s="80">
        <v>0</v>
      </c>
      <c r="AU1387" s="80">
        <v>0.142857142857143</v>
      </c>
      <c r="AV1387" s="80">
        <v>0.0547945205479452</v>
      </c>
      <c r="AW1387" s="36"/>
      <c r="AX1387" s="34"/>
    </row>
    <row r="1388" ht="14.5" spans="1:50">
      <c r="A1388" s="32"/>
      <c r="B1388" s="36"/>
      <c r="C1388" s="91" t="s">
        <v>1105</v>
      </c>
      <c r="D1388" s="69" t="s">
        <v>25</v>
      </c>
      <c r="E1388" s="129" t="s">
        <v>1437</v>
      </c>
      <c r="F1388" s="129" t="s">
        <v>1437</v>
      </c>
      <c r="G1388" s="129" t="s">
        <v>1437</v>
      </c>
      <c r="H1388" s="129" t="s">
        <v>1437</v>
      </c>
      <c r="I1388" s="71">
        <v>0.9</v>
      </c>
      <c r="J1388" s="72">
        <v>0.970588235294118</v>
      </c>
      <c r="K1388" s="72">
        <v>0.948717948717949</v>
      </c>
      <c r="L1388" s="73">
        <v>0.888888888888889</v>
      </c>
      <c r="M1388" s="72">
        <v>0.918918918918919</v>
      </c>
      <c r="N1388" s="74">
        <v>0.9</v>
      </c>
      <c r="O1388" s="72">
        <v>0.977735670298437</v>
      </c>
      <c r="P1388" s="72">
        <v>0.972547254725473</v>
      </c>
      <c r="Q1388" s="72">
        <v>0.984682713347921</v>
      </c>
      <c r="R1388" s="72">
        <v>0.980925889131731</v>
      </c>
      <c r="S1388" s="74">
        <v>0.9</v>
      </c>
      <c r="T1388" s="72">
        <v>0.94789199431549</v>
      </c>
      <c r="U1388" s="72">
        <v>0.953195319531953</v>
      </c>
      <c r="V1388" s="72">
        <v>0.969365426695842</v>
      </c>
      <c r="W1388" s="72">
        <v>0.961653089608583</v>
      </c>
      <c r="X1388" s="74">
        <v>0.92</v>
      </c>
      <c r="Y1388" s="74">
        <v>0.9595</v>
      </c>
      <c r="Z1388" s="74">
        <v>0.967302452316076</v>
      </c>
      <c r="AA1388" s="74">
        <v>0.975128644939966</v>
      </c>
      <c r="AB1388" s="74">
        <v>0.973275983641235</v>
      </c>
      <c r="AC1388" s="74">
        <v>0.92</v>
      </c>
      <c r="AD1388" s="72">
        <v>1</v>
      </c>
      <c r="AE1388" s="72">
        <v>1</v>
      </c>
      <c r="AF1388" s="72">
        <v>1</v>
      </c>
      <c r="AG1388" s="72">
        <v>0.975177304964539</v>
      </c>
      <c r="AH1388" s="74">
        <v>0.92</v>
      </c>
      <c r="AI1388" s="72">
        <v>0.970810021892484</v>
      </c>
      <c r="AJ1388" s="72">
        <v>0.978054727716066</v>
      </c>
      <c r="AK1388" s="72">
        <v>0.98580121703854</v>
      </c>
      <c r="AL1388" s="72">
        <v>0.98274857209465</v>
      </c>
      <c r="AM1388" s="71">
        <v>0.99</v>
      </c>
      <c r="AN1388" s="76">
        <v>1</v>
      </c>
      <c r="AO1388" s="76">
        <v>1</v>
      </c>
      <c r="AP1388" s="76">
        <v>1</v>
      </c>
      <c r="AQ1388" s="76">
        <v>1</v>
      </c>
      <c r="AR1388" s="96">
        <v>0.0721861525408278</v>
      </c>
      <c r="AS1388" s="80">
        <v>0</v>
      </c>
      <c r="AT1388" s="80">
        <v>0.0909090909090909</v>
      </c>
      <c r="AU1388" s="80">
        <v>0</v>
      </c>
      <c r="AV1388" s="80">
        <v>-0.0135135135135135</v>
      </c>
      <c r="AW1388" s="36"/>
      <c r="AX1388" s="34"/>
    </row>
    <row r="1389" ht="14.5" spans="1:50">
      <c r="A1389" s="32"/>
      <c r="B1389" s="36"/>
      <c r="C1389" s="91" t="s">
        <v>1105</v>
      </c>
      <c r="D1389" s="69" t="s">
        <v>25</v>
      </c>
      <c r="E1389" s="129" t="s">
        <v>1438</v>
      </c>
      <c r="F1389" s="129" t="s">
        <v>1438</v>
      </c>
      <c r="G1389" s="129" t="s">
        <v>1438</v>
      </c>
      <c r="H1389" s="129" t="s">
        <v>1438</v>
      </c>
      <c r="I1389" s="71">
        <v>0.9</v>
      </c>
      <c r="J1389" s="72">
        <v>0.90625</v>
      </c>
      <c r="K1389" s="72">
        <v>0.875</v>
      </c>
      <c r="L1389" s="73">
        <v>0.90625</v>
      </c>
      <c r="M1389" s="72">
        <v>0.91726618705036</v>
      </c>
      <c r="N1389" s="74">
        <v>0.9</v>
      </c>
      <c r="O1389" s="72">
        <v>0.977643504531722</v>
      </c>
      <c r="P1389" s="72">
        <v>0.963226571767497</v>
      </c>
      <c r="Q1389" s="72">
        <v>0.956377691882938</v>
      </c>
      <c r="R1389" s="72">
        <v>0.965684666360475</v>
      </c>
      <c r="S1389" s="74">
        <v>0.9</v>
      </c>
      <c r="T1389" s="72">
        <v>0.946827794561934</v>
      </c>
      <c r="U1389" s="72">
        <v>0.94661921708185</v>
      </c>
      <c r="V1389" s="72">
        <v>0.937603533959139</v>
      </c>
      <c r="W1389" s="72">
        <v>0.948297355816548</v>
      </c>
      <c r="X1389" s="74">
        <v>0.92</v>
      </c>
      <c r="Y1389" s="74">
        <v>0.944713199723566</v>
      </c>
      <c r="Z1389" s="74">
        <v>0.920282542885974</v>
      </c>
      <c r="AA1389" s="74">
        <v>0.965745856353591</v>
      </c>
      <c r="AB1389" s="74">
        <v>0.949483672899805</v>
      </c>
      <c r="AC1389" s="74">
        <v>0.92</v>
      </c>
      <c r="AD1389" s="72">
        <v>0.993827160493827</v>
      </c>
      <c r="AE1389" s="72">
        <v>1</v>
      </c>
      <c r="AF1389" s="72">
        <v>0.995145631067961</v>
      </c>
      <c r="AG1389" s="72">
        <v>0.905660377358491</v>
      </c>
      <c r="AH1389" s="74">
        <v>0.92</v>
      </c>
      <c r="AI1389" s="72">
        <v>0.960348162475822</v>
      </c>
      <c r="AJ1389" s="72">
        <v>0.951064624579753</v>
      </c>
      <c r="AK1389" s="72">
        <v>0.979749631811487</v>
      </c>
      <c r="AL1389" s="72">
        <v>0.967756829549827</v>
      </c>
      <c r="AM1389" s="71">
        <v>0.99</v>
      </c>
      <c r="AN1389" s="76">
        <v>1</v>
      </c>
      <c r="AO1389" s="76">
        <v>1</v>
      </c>
      <c r="AP1389" s="76">
        <v>1</v>
      </c>
      <c r="AQ1389" s="76">
        <v>1</v>
      </c>
      <c r="AR1389" s="96">
        <v>0.0721861525408278</v>
      </c>
      <c r="AS1389" s="80">
        <v>0</v>
      </c>
      <c r="AT1389" s="80">
        <v>0</v>
      </c>
      <c r="AU1389" s="80">
        <v>0.0769230769230769</v>
      </c>
      <c r="AV1389" s="80">
        <v>0.0675675675675676</v>
      </c>
      <c r="AW1389" s="36"/>
      <c r="AX1389" s="34"/>
    </row>
    <row r="1390" ht="14.5" spans="1:50">
      <c r="A1390" s="32"/>
      <c r="B1390" s="36"/>
      <c r="C1390" s="91" t="s">
        <v>1105</v>
      </c>
      <c r="D1390" s="69" t="s">
        <v>25</v>
      </c>
      <c r="E1390" s="129" t="s">
        <v>1439</v>
      </c>
      <c r="F1390" s="129" t="s">
        <v>1439</v>
      </c>
      <c r="G1390" s="129" t="s">
        <v>1439</v>
      </c>
      <c r="H1390" s="129" t="s">
        <v>1439</v>
      </c>
      <c r="I1390" s="71">
        <v>0.9</v>
      </c>
      <c r="J1390" s="72">
        <v>0.904761904761905</v>
      </c>
      <c r="K1390" s="72">
        <v>1</v>
      </c>
      <c r="L1390" s="73">
        <v>0.958333333333333</v>
      </c>
      <c r="M1390" s="72">
        <v>0.959390862944162</v>
      </c>
      <c r="N1390" s="74">
        <v>0.9</v>
      </c>
      <c r="O1390" s="72">
        <v>0.992261904761905</v>
      </c>
      <c r="P1390" s="72">
        <v>0.981034482758621</v>
      </c>
      <c r="Q1390" s="72">
        <v>0.992825607064018</v>
      </c>
      <c r="R1390" s="72">
        <v>0.989991712883279</v>
      </c>
      <c r="S1390" s="74">
        <v>0.9</v>
      </c>
      <c r="T1390" s="72">
        <v>0.902380952380952</v>
      </c>
      <c r="U1390" s="72">
        <v>0.93448275862069</v>
      </c>
      <c r="V1390" s="72">
        <v>0.944260485651214</v>
      </c>
      <c r="W1390" s="72">
        <v>0.942500159367629</v>
      </c>
      <c r="X1390" s="74">
        <v>0.92</v>
      </c>
      <c r="Y1390" s="74">
        <v>0</v>
      </c>
      <c r="Z1390" s="74">
        <v>0</v>
      </c>
      <c r="AA1390" s="74">
        <v>0</v>
      </c>
      <c r="AB1390" s="74">
        <v>0</v>
      </c>
      <c r="AC1390" s="74">
        <v>0.92</v>
      </c>
      <c r="AD1390" s="72">
        <v>0.99645390070922</v>
      </c>
      <c r="AE1390" s="72">
        <v>0.997933884297521</v>
      </c>
      <c r="AF1390" s="72">
        <v>1</v>
      </c>
      <c r="AG1390" s="72">
        <v>0.990407673860911</v>
      </c>
      <c r="AH1390" s="74">
        <v>0.92</v>
      </c>
      <c r="AI1390" s="72">
        <v>0.956547619047619</v>
      </c>
      <c r="AJ1390" s="72">
        <v>0.954597701149425</v>
      </c>
      <c r="AK1390" s="72">
        <v>0.962472406181015</v>
      </c>
      <c r="AL1390" s="72">
        <v>0.965066615669025</v>
      </c>
      <c r="AM1390" s="71">
        <v>0.99</v>
      </c>
      <c r="AN1390" s="76">
        <v>1</v>
      </c>
      <c r="AO1390" s="76">
        <v>1</v>
      </c>
      <c r="AP1390" s="76">
        <v>1</v>
      </c>
      <c r="AQ1390" s="76">
        <v>1</v>
      </c>
      <c r="AR1390" s="96">
        <v>0.0721861525408278</v>
      </c>
      <c r="AS1390" s="80">
        <v>0</v>
      </c>
      <c r="AT1390" s="80">
        <v>0</v>
      </c>
      <c r="AU1390" s="80">
        <v>0</v>
      </c>
      <c r="AV1390" s="80">
        <v>0</v>
      </c>
      <c r="AW1390" s="36"/>
      <c r="AX1390" s="34"/>
    </row>
    <row r="1391" ht="14.5" spans="1:50">
      <c r="A1391" s="32"/>
      <c r="B1391" s="36"/>
      <c r="C1391" s="91" t="s">
        <v>1105</v>
      </c>
      <c r="D1391" s="69" t="s">
        <v>25</v>
      </c>
      <c r="E1391" s="129" t="s">
        <v>1440</v>
      </c>
      <c r="F1391" s="129" t="s">
        <v>1440</v>
      </c>
      <c r="G1391" s="129" t="s">
        <v>1440</v>
      </c>
      <c r="H1391" s="129" t="s">
        <v>1440</v>
      </c>
      <c r="I1391" s="71">
        <v>0.9</v>
      </c>
      <c r="J1391" s="72">
        <v>0.891891891891892</v>
      </c>
      <c r="K1391" s="72">
        <v>0.875</v>
      </c>
      <c r="L1391" s="73">
        <v>0.837209302325581</v>
      </c>
      <c r="M1391" s="72">
        <v>0.894285714285714</v>
      </c>
      <c r="N1391" s="74">
        <v>0.9</v>
      </c>
      <c r="O1391" s="72">
        <v>0.983478260869565</v>
      </c>
      <c r="P1391" s="72">
        <v>0.972597299444003</v>
      </c>
      <c r="Q1391" s="72">
        <v>0.985442329227324</v>
      </c>
      <c r="R1391" s="72">
        <v>0.976204558897129</v>
      </c>
      <c r="S1391" s="74">
        <v>0.9</v>
      </c>
      <c r="T1391" s="72">
        <v>0.908260869565217</v>
      </c>
      <c r="U1391" s="72">
        <v>0.90746624305004</v>
      </c>
      <c r="V1391" s="72">
        <v>0.920492721164614</v>
      </c>
      <c r="W1391" s="72">
        <v>0.908094089813003</v>
      </c>
      <c r="X1391" s="74">
        <v>0.92</v>
      </c>
      <c r="Y1391" s="74">
        <v>0.944794188861986</v>
      </c>
      <c r="Z1391" s="74">
        <v>0.920551543007223</v>
      </c>
      <c r="AA1391" s="74">
        <v>0.90400604686319</v>
      </c>
      <c r="AB1391" s="74">
        <v>0.934422948632422</v>
      </c>
      <c r="AC1391" s="74">
        <v>0.92</v>
      </c>
      <c r="AD1391" s="72">
        <v>0.997050147492625</v>
      </c>
      <c r="AE1391" s="72">
        <v>0.999328408327737</v>
      </c>
      <c r="AF1391" s="72">
        <v>0.955610357583231</v>
      </c>
      <c r="AG1391" s="72">
        <v>0.995532050697547</v>
      </c>
      <c r="AH1391" s="74">
        <v>0.92</v>
      </c>
      <c r="AI1391" s="72">
        <v>0.95418098510882</v>
      </c>
      <c r="AJ1391" s="72">
        <v>0.950519544779812</v>
      </c>
      <c r="AK1391" s="72">
        <v>0.951774112943528</v>
      </c>
      <c r="AL1391" s="72">
        <v>0.957615428308674</v>
      </c>
      <c r="AM1391" s="71">
        <v>0.99</v>
      </c>
      <c r="AN1391" s="76">
        <v>1</v>
      </c>
      <c r="AO1391" s="76">
        <v>1</v>
      </c>
      <c r="AP1391" s="76">
        <v>1</v>
      </c>
      <c r="AQ1391" s="76">
        <v>1</v>
      </c>
      <c r="AR1391" s="96">
        <v>0.0721861525408278</v>
      </c>
      <c r="AS1391" s="80">
        <v>0.0833333333333333</v>
      </c>
      <c r="AT1391" s="80">
        <v>0</v>
      </c>
      <c r="AU1391" s="80">
        <v>0.111111111111111</v>
      </c>
      <c r="AV1391" s="80">
        <v>0.0578512396694215</v>
      </c>
      <c r="AW1391" s="36"/>
      <c r="AX1391" s="34"/>
    </row>
    <row r="1392" ht="14.5" spans="1:50">
      <c r="A1392" s="32"/>
      <c r="B1392" s="36"/>
      <c r="C1392" s="91" t="s">
        <v>1105</v>
      </c>
      <c r="D1392" s="69" t="s">
        <v>25</v>
      </c>
      <c r="E1392" s="129" t="s">
        <v>1441</v>
      </c>
      <c r="F1392" s="129" t="s">
        <v>1441</v>
      </c>
      <c r="G1392" s="129" t="s">
        <v>1441</v>
      </c>
      <c r="H1392" s="129" t="s">
        <v>1441</v>
      </c>
      <c r="I1392" s="71">
        <v>0.9</v>
      </c>
      <c r="J1392" s="72">
        <v>1</v>
      </c>
      <c r="K1392" s="72">
        <v>0.95</v>
      </c>
      <c r="L1392" s="73">
        <v>0.976744186046512</v>
      </c>
      <c r="M1392" s="72">
        <v>0.967479674796748</v>
      </c>
      <c r="N1392" s="74">
        <v>0.9</v>
      </c>
      <c r="O1392" s="72">
        <v>0.986910994764398</v>
      </c>
      <c r="P1392" s="72">
        <v>0.987419122933142</v>
      </c>
      <c r="Q1392" s="72">
        <v>0.988023952095808</v>
      </c>
      <c r="R1392" s="72">
        <v>0.988680016346547</v>
      </c>
      <c r="S1392" s="74">
        <v>0.9</v>
      </c>
      <c r="T1392" s="72">
        <v>0.93530291697831</v>
      </c>
      <c r="U1392" s="72">
        <v>0.949317038102085</v>
      </c>
      <c r="V1392" s="72">
        <v>0.970412116942585</v>
      </c>
      <c r="W1392" s="72">
        <v>0.961789946873723</v>
      </c>
      <c r="X1392" s="74">
        <v>0.92</v>
      </c>
      <c r="Y1392" s="74">
        <v>0.952071486596263</v>
      </c>
      <c r="Z1392" s="74">
        <v>0.959613196814562</v>
      </c>
      <c r="AA1392" s="74">
        <v>0.961930659415364</v>
      </c>
      <c r="AB1392" s="74">
        <v>0.964508690027561</v>
      </c>
      <c r="AC1392" s="74">
        <v>0.92</v>
      </c>
      <c r="AD1392" s="72">
        <v>0.99372197309417</v>
      </c>
      <c r="AE1392" s="72">
        <v>0.991800223630265</v>
      </c>
      <c r="AF1392" s="72">
        <v>0.999134948096886</v>
      </c>
      <c r="AG1392" s="72">
        <v>0.995687965503724</v>
      </c>
      <c r="AH1392" s="74">
        <v>0.92</v>
      </c>
      <c r="AI1392" s="72">
        <v>0.958536110570372</v>
      </c>
      <c r="AJ1392" s="72">
        <v>0.965418502202643</v>
      </c>
      <c r="AK1392" s="72">
        <v>0.981674785432614</v>
      </c>
      <c r="AL1392" s="72">
        <v>0.975859702269661</v>
      </c>
      <c r="AM1392" s="71">
        <v>0.99</v>
      </c>
      <c r="AN1392" s="76">
        <v>1</v>
      </c>
      <c r="AO1392" s="76">
        <v>1</v>
      </c>
      <c r="AP1392" s="76">
        <v>1</v>
      </c>
      <c r="AQ1392" s="76">
        <v>1</v>
      </c>
      <c r="AR1392" s="96">
        <v>0.0721861525408278</v>
      </c>
      <c r="AS1392" s="80">
        <v>0</v>
      </c>
      <c r="AT1392" s="80">
        <v>0</v>
      </c>
      <c r="AU1392" s="80">
        <v>0</v>
      </c>
      <c r="AV1392" s="80">
        <v>0</v>
      </c>
      <c r="AW1392" s="36"/>
      <c r="AX1392" s="34"/>
    </row>
    <row r="1393" ht="14.5" spans="1:50">
      <c r="A1393" s="32"/>
      <c r="B1393" s="36"/>
      <c r="C1393" s="91" t="s">
        <v>1105</v>
      </c>
      <c r="D1393" s="69" t="s">
        <v>25</v>
      </c>
      <c r="E1393" s="129" t="s">
        <v>1442</v>
      </c>
      <c r="F1393" s="129" t="s">
        <v>1442</v>
      </c>
      <c r="G1393" s="129" t="s">
        <v>1442</v>
      </c>
      <c r="H1393" s="129" t="s">
        <v>1442</v>
      </c>
      <c r="I1393" s="71">
        <v>0.9</v>
      </c>
      <c r="J1393" s="72">
        <v>0.769230769230769</v>
      </c>
      <c r="K1393" s="72">
        <v>0.857142857142857</v>
      </c>
      <c r="L1393" s="73">
        <v>0.862068965517241</v>
      </c>
      <c r="M1393" s="72">
        <v>0.856</v>
      </c>
      <c r="N1393" s="74">
        <v>0.9</v>
      </c>
      <c r="O1393" s="72">
        <v>0.990013315579228</v>
      </c>
      <c r="P1393" s="72">
        <v>0.988498402555911</v>
      </c>
      <c r="Q1393" s="72">
        <v>0.982175783650891</v>
      </c>
      <c r="R1393" s="72">
        <v>0.985834096835577</v>
      </c>
      <c r="S1393" s="74">
        <v>0.9</v>
      </c>
      <c r="T1393" s="72">
        <v>0.984021304926764</v>
      </c>
      <c r="U1393" s="72">
        <v>0.965495207667732</v>
      </c>
      <c r="V1393" s="72">
        <v>0.960049170251998</v>
      </c>
      <c r="W1393" s="72">
        <v>0.966664317428994</v>
      </c>
      <c r="X1393" s="74">
        <v>0.92</v>
      </c>
      <c r="Y1393" s="74">
        <v>0.969512195121951</v>
      </c>
      <c r="Z1393" s="74">
        <v>0.987487969201155</v>
      </c>
      <c r="AA1393" s="74">
        <v>0.97281993204983</v>
      </c>
      <c r="AB1393" s="74">
        <v>0.978366995309658</v>
      </c>
      <c r="AC1393" s="74">
        <v>0.92</v>
      </c>
      <c r="AD1393" s="72">
        <v>0.996865203761755</v>
      </c>
      <c r="AE1393" s="72">
        <v>0.999208860759494</v>
      </c>
      <c r="AF1393" s="72">
        <v>0.988805970149254</v>
      </c>
      <c r="AG1393" s="72">
        <v>0.995759541032676</v>
      </c>
      <c r="AH1393" s="74">
        <v>0.92</v>
      </c>
      <c r="AI1393" s="72">
        <v>0.981867024848892</v>
      </c>
      <c r="AJ1393" s="72">
        <v>0.988479262672811</v>
      </c>
      <c r="AK1393" s="72">
        <v>0.98605577689243</v>
      </c>
      <c r="AL1393" s="72">
        <v>0.986444255042818</v>
      </c>
      <c r="AM1393" s="71">
        <v>0.99</v>
      </c>
      <c r="AN1393" s="76">
        <v>1</v>
      </c>
      <c r="AO1393" s="76">
        <v>1</v>
      </c>
      <c r="AP1393" s="76">
        <v>1</v>
      </c>
      <c r="AQ1393" s="76">
        <v>1</v>
      </c>
      <c r="AR1393" s="96">
        <v>0.0721861525408278</v>
      </c>
      <c r="AS1393" s="80">
        <v>0.111111111111111</v>
      </c>
      <c r="AT1393" s="80">
        <v>0.2</v>
      </c>
      <c r="AU1393" s="80">
        <v>0</v>
      </c>
      <c r="AV1393" s="80">
        <v>0.102564102564103</v>
      </c>
      <c r="AW1393" s="36"/>
      <c r="AX1393" s="34"/>
    </row>
    <row r="1394" ht="14.5" spans="1:50">
      <c r="A1394" s="32"/>
      <c r="B1394" s="36"/>
      <c r="C1394" s="91" t="s">
        <v>1105</v>
      </c>
      <c r="D1394" s="69" t="s">
        <v>25</v>
      </c>
      <c r="E1394" s="129" t="s">
        <v>1443</v>
      </c>
      <c r="F1394" s="129" t="s">
        <v>1443</v>
      </c>
      <c r="G1394" s="129" t="s">
        <v>1443</v>
      </c>
      <c r="H1394" s="129" t="s">
        <v>1443</v>
      </c>
      <c r="I1394" s="71">
        <v>0.9</v>
      </c>
      <c r="J1394" s="72">
        <v>0.836363636363636</v>
      </c>
      <c r="K1394" s="72">
        <v>0.852459016393443</v>
      </c>
      <c r="L1394" s="73">
        <v>0.688524590163934</v>
      </c>
      <c r="M1394" s="72">
        <v>0.818525519848771</v>
      </c>
      <c r="N1394" s="74">
        <v>0.9</v>
      </c>
      <c r="O1394" s="72">
        <v>0.975160051216389</v>
      </c>
      <c r="P1394" s="72">
        <v>0.977317073170732</v>
      </c>
      <c r="Q1394" s="72">
        <v>0.977238990598714</v>
      </c>
      <c r="R1394" s="72">
        <v>0.973823017788003</v>
      </c>
      <c r="S1394" s="74">
        <v>0.9</v>
      </c>
      <c r="T1394" s="72">
        <v>0.954929577464789</v>
      </c>
      <c r="U1394" s="72">
        <v>0.959268292682927</v>
      </c>
      <c r="V1394" s="72">
        <v>0.969074715487382</v>
      </c>
      <c r="W1394" s="72">
        <v>0.959317658941698</v>
      </c>
      <c r="X1394" s="74">
        <v>0.92</v>
      </c>
      <c r="Y1394" s="74">
        <v>0.948150224215247</v>
      </c>
      <c r="Z1394" s="74">
        <v>0.959146117040854</v>
      </c>
      <c r="AA1394" s="74">
        <v>0.971946482520501</v>
      </c>
      <c r="AB1394" s="74">
        <v>0.967085301686062</v>
      </c>
      <c r="AC1394" s="74">
        <v>0.92</v>
      </c>
      <c r="AD1394" s="72">
        <v>0.988294314381271</v>
      </c>
      <c r="AE1394" s="72">
        <v>0.981352992194276</v>
      </c>
      <c r="AF1394" s="72">
        <v>0.979904812268641</v>
      </c>
      <c r="AG1394" s="72">
        <v>0.983430313106124</v>
      </c>
      <c r="AH1394" s="74">
        <v>0.92</v>
      </c>
      <c r="AI1394" s="72">
        <v>0.964147157190635</v>
      </c>
      <c r="AJ1394" s="72">
        <v>0.971688425993839</v>
      </c>
      <c r="AK1394" s="72">
        <v>0.985375058971536</v>
      </c>
      <c r="AL1394" s="72">
        <v>0.980141683012628</v>
      </c>
      <c r="AM1394" s="71">
        <v>0.99</v>
      </c>
      <c r="AN1394" s="76">
        <v>1</v>
      </c>
      <c r="AO1394" s="76">
        <v>1</v>
      </c>
      <c r="AP1394" s="76">
        <v>1</v>
      </c>
      <c r="AQ1394" s="76">
        <v>1</v>
      </c>
      <c r="AR1394" s="96">
        <v>0.0721861525408278</v>
      </c>
      <c r="AS1394" s="80">
        <v>0.1</v>
      </c>
      <c r="AT1394" s="80">
        <v>0</v>
      </c>
      <c r="AU1394" s="80">
        <v>0.0666666666666667</v>
      </c>
      <c r="AV1394" s="80">
        <v>0.0479452054794521</v>
      </c>
      <c r="AW1394" s="36"/>
      <c r="AX1394" s="34"/>
    </row>
    <row r="1395" ht="14.5" spans="1:50">
      <c r="A1395" s="32"/>
      <c r="B1395" s="36"/>
      <c r="C1395" s="91" t="s">
        <v>1105</v>
      </c>
      <c r="D1395" s="69" t="s">
        <v>25</v>
      </c>
      <c r="E1395" s="129" t="s">
        <v>1444</v>
      </c>
      <c r="F1395" s="129" t="s">
        <v>1444</v>
      </c>
      <c r="G1395" s="129" t="s">
        <v>1444</v>
      </c>
      <c r="H1395" s="129" t="s">
        <v>1444</v>
      </c>
      <c r="I1395" s="71">
        <v>0.9</v>
      </c>
      <c r="J1395" s="72">
        <v>0.888888888888889</v>
      </c>
      <c r="K1395" s="72">
        <v>0.875</v>
      </c>
      <c r="L1395" s="73">
        <v>0.863636363636364</v>
      </c>
      <c r="M1395" s="72">
        <v>0.870879120879121</v>
      </c>
      <c r="N1395" s="74">
        <v>0.9</v>
      </c>
      <c r="O1395" s="72">
        <v>0.987076648841355</v>
      </c>
      <c r="P1395" s="72">
        <v>0.992583436341162</v>
      </c>
      <c r="Q1395" s="72">
        <v>0.994749596122779</v>
      </c>
      <c r="R1395" s="72">
        <v>0.988563629518072</v>
      </c>
      <c r="S1395" s="74">
        <v>0.9</v>
      </c>
      <c r="T1395" s="72">
        <v>0.967914438502674</v>
      </c>
      <c r="U1395" s="72">
        <v>0.974042027194067</v>
      </c>
      <c r="V1395" s="72">
        <v>0.989903069466882</v>
      </c>
      <c r="W1395" s="72">
        <v>0.98070406626506</v>
      </c>
      <c r="X1395" s="74">
        <v>0.92</v>
      </c>
      <c r="Y1395" s="74">
        <v>0.94572864321608</v>
      </c>
      <c r="Z1395" s="74">
        <v>0.978635423845624</v>
      </c>
      <c r="AA1395" s="74">
        <v>0.98804780876494</v>
      </c>
      <c r="AB1395" s="74">
        <v>0.974742750233863</v>
      </c>
      <c r="AC1395" s="74">
        <v>0.92</v>
      </c>
      <c r="AD1395" s="72">
        <v>0.998289623717218</v>
      </c>
      <c r="AE1395" s="72">
        <v>0.997387173396675</v>
      </c>
      <c r="AF1395" s="72">
        <v>0.997891963109354</v>
      </c>
      <c r="AG1395" s="72">
        <v>0.995842257780018</v>
      </c>
      <c r="AH1395" s="74">
        <v>0.92</v>
      </c>
      <c r="AI1395" s="72">
        <v>0.961511216056671</v>
      </c>
      <c r="AJ1395" s="72">
        <v>0.979633926269657</v>
      </c>
      <c r="AK1395" s="72">
        <v>0.992497320471597</v>
      </c>
      <c r="AL1395" s="72">
        <v>0.983792589320228</v>
      </c>
      <c r="AM1395" s="71">
        <v>0.99</v>
      </c>
      <c r="AN1395" s="76">
        <v>1</v>
      </c>
      <c r="AO1395" s="76">
        <v>1</v>
      </c>
      <c r="AP1395" s="76">
        <v>1</v>
      </c>
      <c r="AQ1395" s="76">
        <v>1</v>
      </c>
      <c r="AR1395" s="96">
        <v>0.0721861525408278</v>
      </c>
      <c r="AS1395" s="80">
        <v>0</v>
      </c>
      <c r="AT1395" s="80">
        <v>0.0625</v>
      </c>
      <c r="AU1395" s="80">
        <v>0</v>
      </c>
      <c r="AV1395" s="80">
        <v>0.0109289617486339</v>
      </c>
      <c r="AW1395" s="36"/>
      <c r="AX1395" s="34"/>
    </row>
    <row r="1396" ht="14.5" spans="1:50">
      <c r="A1396" s="32"/>
      <c r="B1396" s="36"/>
      <c r="C1396" s="91" t="s">
        <v>1105</v>
      </c>
      <c r="D1396" s="69" t="s">
        <v>25</v>
      </c>
      <c r="E1396" s="129" t="s">
        <v>1445</v>
      </c>
      <c r="F1396" s="129" t="s">
        <v>1445</v>
      </c>
      <c r="G1396" s="129" t="s">
        <v>1445</v>
      </c>
      <c r="H1396" s="129" t="s">
        <v>1445</v>
      </c>
      <c r="I1396" s="71">
        <v>0.9</v>
      </c>
      <c r="J1396" s="72">
        <v>0.891891891891892</v>
      </c>
      <c r="K1396" s="72">
        <v>0.975609756097561</v>
      </c>
      <c r="L1396" s="73">
        <v>0.977272727272727</v>
      </c>
      <c r="M1396" s="72">
        <v>0.960339943342776</v>
      </c>
      <c r="N1396" s="74">
        <v>0.9</v>
      </c>
      <c r="O1396" s="72">
        <v>0.964303178484108</v>
      </c>
      <c r="P1396" s="72">
        <v>0.961469534050179</v>
      </c>
      <c r="Q1396" s="72">
        <v>0.989093959731544</v>
      </c>
      <c r="R1396" s="72">
        <v>0.964249748237664</v>
      </c>
      <c r="S1396" s="74">
        <v>0.9</v>
      </c>
      <c r="T1396" s="72">
        <v>0.935941320293398</v>
      </c>
      <c r="U1396" s="72">
        <v>0.940412186379928</v>
      </c>
      <c r="V1396" s="72">
        <v>0.962248322147651</v>
      </c>
      <c r="W1396" s="72">
        <v>0.936606243705942</v>
      </c>
      <c r="X1396" s="74">
        <v>0.92</v>
      </c>
      <c r="Y1396" s="74">
        <v>0.954437588989084</v>
      </c>
      <c r="Z1396" s="74">
        <v>0.943543153796236</v>
      </c>
      <c r="AA1396" s="74">
        <v>0.946993670886076</v>
      </c>
      <c r="AB1396" s="74">
        <v>0.955218809459092</v>
      </c>
      <c r="AC1396" s="74">
        <v>0.92</v>
      </c>
      <c r="AD1396" s="72">
        <v>0.99618320610687</v>
      </c>
      <c r="AE1396" s="72">
        <v>1</v>
      </c>
      <c r="AF1396" s="72">
        <v>1</v>
      </c>
      <c r="AG1396" s="72">
        <v>0.998837209302326</v>
      </c>
      <c r="AH1396" s="74">
        <v>0.92</v>
      </c>
      <c r="AI1396" s="72">
        <v>0.962196002889477</v>
      </c>
      <c r="AJ1396" s="72">
        <v>0.961038961038961</v>
      </c>
      <c r="AK1396" s="72">
        <v>0.975328947368421</v>
      </c>
      <c r="AL1396" s="72">
        <v>0.971397998727515</v>
      </c>
      <c r="AM1396" s="71">
        <v>0.99</v>
      </c>
      <c r="AN1396" s="76">
        <v>1</v>
      </c>
      <c r="AO1396" s="76">
        <v>1</v>
      </c>
      <c r="AP1396" s="76">
        <v>1</v>
      </c>
      <c r="AQ1396" s="76">
        <v>1</v>
      </c>
      <c r="AR1396" s="96">
        <v>0.0721861525408278</v>
      </c>
      <c r="AS1396" s="80">
        <v>0</v>
      </c>
      <c r="AT1396" s="80">
        <v>0.0714285714285714</v>
      </c>
      <c r="AU1396" s="80">
        <v>0</v>
      </c>
      <c r="AV1396" s="80">
        <v>0.0686274509803922</v>
      </c>
      <c r="AW1396" s="36"/>
      <c r="AX1396" s="34"/>
    </row>
    <row r="1397" ht="14.5" spans="1:50">
      <c r="A1397" s="32"/>
      <c r="B1397" s="36"/>
      <c r="C1397" s="91" t="s">
        <v>1105</v>
      </c>
      <c r="D1397" s="69" t="s">
        <v>25</v>
      </c>
      <c r="E1397" s="129" t="s">
        <v>1446</v>
      </c>
      <c r="F1397" s="129" t="s">
        <v>1446</v>
      </c>
      <c r="G1397" s="129" t="s">
        <v>1446</v>
      </c>
      <c r="H1397" s="129" t="s">
        <v>1446</v>
      </c>
      <c r="I1397" s="71">
        <v>0.9</v>
      </c>
      <c r="J1397" s="72">
        <v>0.86</v>
      </c>
      <c r="K1397" s="72">
        <v>0.925925925925926</v>
      </c>
      <c r="L1397" s="73">
        <v>0.980392156862745</v>
      </c>
      <c r="M1397" s="72">
        <v>0.926160337552743</v>
      </c>
      <c r="N1397" s="74">
        <v>0.9</v>
      </c>
      <c r="O1397" s="72">
        <v>0.94334054692111</v>
      </c>
      <c r="P1397" s="72">
        <v>0.976758663623158</v>
      </c>
      <c r="Q1397" s="72">
        <v>0.971964387194544</v>
      </c>
      <c r="R1397" s="72">
        <v>0.967659247233734</v>
      </c>
      <c r="S1397" s="74">
        <v>0.9</v>
      </c>
      <c r="T1397" s="72">
        <v>0.752508361204013</v>
      </c>
      <c r="U1397" s="72">
        <v>0.814276820917203</v>
      </c>
      <c r="V1397" s="72">
        <v>0.777419965902633</v>
      </c>
      <c r="W1397" s="72">
        <v>0.796257529798778</v>
      </c>
      <c r="X1397" s="74">
        <v>0.92</v>
      </c>
      <c r="Y1397" s="74">
        <v>0</v>
      </c>
      <c r="Z1397" s="74">
        <v>0</v>
      </c>
      <c r="AA1397" s="74">
        <v>0</v>
      </c>
      <c r="AB1397" s="74">
        <v>0</v>
      </c>
      <c r="AC1397" s="74">
        <v>0.92</v>
      </c>
      <c r="AD1397" s="72">
        <v>0.999151463725074</v>
      </c>
      <c r="AE1397" s="72">
        <v>0.998492462311558</v>
      </c>
      <c r="AF1397" s="72">
        <v>0.998188405797101</v>
      </c>
      <c r="AG1397" s="72">
        <v>0.998415957758874</v>
      </c>
      <c r="AH1397" s="74">
        <v>0.92</v>
      </c>
      <c r="AI1397" s="72">
        <v>0.912650009836711</v>
      </c>
      <c r="AJ1397" s="72">
        <v>0.958912637476655</v>
      </c>
      <c r="AK1397" s="72">
        <v>0.965144913809434</v>
      </c>
      <c r="AL1397" s="72">
        <v>0.959776989789379</v>
      </c>
      <c r="AM1397" s="71">
        <v>0.99</v>
      </c>
      <c r="AN1397" s="76">
        <v>1</v>
      </c>
      <c r="AO1397" s="76">
        <v>1</v>
      </c>
      <c r="AP1397" s="76">
        <v>1</v>
      </c>
      <c r="AQ1397" s="76">
        <v>1</v>
      </c>
      <c r="AR1397" s="96">
        <v>0.0721861525408278</v>
      </c>
      <c r="AS1397" s="80">
        <v>0</v>
      </c>
      <c r="AT1397" s="80">
        <v>0.0526315789473684</v>
      </c>
      <c r="AU1397" s="80">
        <v>0.0769230769230769</v>
      </c>
      <c r="AV1397" s="80">
        <v>0.0446428571428571</v>
      </c>
      <c r="AW1397" s="36"/>
      <c r="AX1397" s="34"/>
    </row>
    <row r="1398" ht="14.5" spans="1:50">
      <c r="A1398" s="32"/>
      <c r="B1398" s="36"/>
      <c r="C1398" s="91" t="s">
        <v>1105</v>
      </c>
      <c r="D1398" s="69" t="s">
        <v>25</v>
      </c>
      <c r="E1398" s="129" t="s">
        <v>1447</v>
      </c>
      <c r="F1398" s="129" t="s">
        <v>1447</v>
      </c>
      <c r="G1398" s="129" t="s">
        <v>1447</v>
      </c>
      <c r="H1398" s="129" t="s">
        <v>1447</v>
      </c>
      <c r="I1398" s="71">
        <v>0.9</v>
      </c>
      <c r="J1398" s="72">
        <v>0.918918918918919</v>
      </c>
      <c r="K1398" s="72">
        <v>0.975609756097561</v>
      </c>
      <c r="L1398" s="73">
        <v>0.975609756097561</v>
      </c>
      <c r="M1398" s="72">
        <v>0.943181818181818</v>
      </c>
      <c r="N1398" s="74">
        <v>0.9</v>
      </c>
      <c r="O1398" s="72">
        <v>0.986254295532646</v>
      </c>
      <c r="P1398" s="72">
        <v>0.986558188892819</v>
      </c>
      <c r="Q1398" s="72">
        <v>0.991443452380952</v>
      </c>
      <c r="R1398" s="72">
        <v>0.984192209316953</v>
      </c>
      <c r="S1398" s="74">
        <v>0.9</v>
      </c>
      <c r="T1398" s="72">
        <v>0.966017563955708</v>
      </c>
      <c r="U1398" s="72">
        <v>0.962504421648391</v>
      </c>
      <c r="V1398" s="72">
        <v>0.970238095238095</v>
      </c>
      <c r="W1398" s="72">
        <v>0.962639942974548</v>
      </c>
      <c r="X1398" s="74">
        <v>0.92</v>
      </c>
      <c r="Y1398" s="74">
        <v>0.948381810733306</v>
      </c>
      <c r="Z1398" s="74">
        <v>0.974619289340102</v>
      </c>
      <c r="AA1398" s="74">
        <v>0.986311239193084</v>
      </c>
      <c r="AB1398" s="74">
        <v>0.964094775212637</v>
      </c>
      <c r="AC1398" s="74">
        <v>0.92</v>
      </c>
      <c r="AD1398" s="72">
        <v>0.999073215940686</v>
      </c>
      <c r="AE1398" s="72">
        <v>0.999012833168806</v>
      </c>
      <c r="AF1398" s="72">
        <v>1</v>
      </c>
      <c r="AG1398" s="72">
        <v>0.988611404864557</v>
      </c>
      <c r="AH1398" s="74">
        <v>0.92</v>
      </c>
      <c r="AI1398" s="72">
        <v>0.966600790513834</v>
      </c>
      <c r="AJ1398" s="72">
        <v>0.982173913043478</v>
      </c>
      <c r="AK1398" s="72">
        <v>0.990186457311089</v>
      </c>
      <c r="AL1398" s="72">
        <v>0.978714959067229</v>
      </c>
      <c r="AM1398" s="71">
        <v>0.99</v>
      </c>
      <c r="AN1398" s="76">
        <v>1</v>
      </c>
      <c r="AO1398" s="76">
        <v>1</v>
      </c>
      <c r="AP1398" s="76">
        <v>1</v>
      </c>
      <c r="AQ1398" s="76">
        <v>1</v>
      </c>
      <c r="AR1398" s="96">
        <v>0.0721861525408278</v>
      </c>
      <c r="AS1398" s="80">
        <v>0</v>
      </c>
      <c r="AT1398" s="80">
        <v>0</v>
      </c>
      <c r="AU1398" s="80">
        <v>0</v>
      </c>
      <c r="AV1398" s="80">
        <v>0.0180505415162455</v>
      </c>
      <c r="AW1398" s="36"/>
      <c r="AX1398" s="34"/>
    </row>
    <row r="1399" ht="14.5" spans="1:50">
      <c r="A1399" s="32"/>
      <c r="B1399" s="36"/>
      <c r="C1399" s="91" t="s">
        <v>1105</v>
      </c>
      <c r="D1399" s="69" t="s">
        <v>25</v>
      </c>
      <c r="E1399" s="129" t="s">
        <v>1448</v>
      </c>
      <c r="F1399" s="129" t="s">
        <v>1448</v>
      </c>
      <c r="G1399" s="129" t="s">
        <v>1448</v>
      </c>
      <c r="H1399" s="129" t="s">
        <v>1448</v>
      </c>
      <c r="I1399" s="71">
        <v>0.9</v>
      </c>
      <c r="J1399" s="72">
        <v>0.936507936507937</v>
      </c>
      <c r="K1399" s="72">
        <v>0.985714285714286</v>
      </c>
      <c r="L1399" s="73">
        <v>0.986111111111111</v>
      </c>
      <c r="M1399" s="72">
        <v>0.955555555555556</v>
      </c>
      <c r="N1399" s="74">
        <v>0.9</v>
      </c>
      <c r="O1399" s="72">
        <v>0.921220400728597</v>
      </c>
      <c r="P1399" s="72">
        <v>0.956492487104732</v>
      </c>
      <c r="Q1399" s="72">
        <v>0.98016492088255</v>
      </c>
      <c r="R1399" s="72">
        <v>0.963598014888338</v>
      </c>
      <c r="S1399" s="74">
        <v>0.9</v>
      </c>
      <c r="T1399" s="72">
        <v>0.937386156648452</v>
      </c>
      <c r="U1399" s="72">
        <v>0.923301188607311</v>
      </c>
      <c r="V1399" s="72">
        <v>0.944283485625139</v>
      </c>
      <c r="W1399" s="72">
        <v>0.94468982630273</v>
      </c>
      <c r="X1399" s="74">
        <v>0.92</v>
      </c>
      <c r="Y1399" s="74">
        <v>0.956555072834143</v>
      </c>
      <c r="Z1399" s="74">
        <v>0.92497358224727</v>
      </c>
      <c r="AA1399" s="74">
        <v>0.970973017170891</v>
      </c>
      <c r="AB1399" s="74">
        <v>0.956978595436052</v>
      </c>
      <c r="AC1399" s="74">
        <v>0.92</v>
      </c>
      <c r="AD1399" s="72">
        <v>0.996138996138996</v>
      </c>
      <c r="AE1399" s="72">
        <v>0.997032640949555</v>
      </c>
      <c r="AF1399" s="72">
        <v>0.990825688073395</v>
      </c>
      <c r="AG1399" s="72">
        <v>0.95395055744062</v>
      </c>
      <c r="AH1399" s="74">
        <v>0.92</v>
      </c>
      <c r="AI1399" s="72">
        <v>0.967140105922003</v>
      </c>
      <c r="AJ1399" s="72">
        <v>0.950815180161666</v>
      </c>
      <c r="AK1399" s="72">
        <v>0.982696467195386</v>
      </c>
      <c r="AL1399" s="72">
        <v>0.972758163071852</v>
      </c>
      <c r="AM1399" s="71">
        <v>0.99</v>
      </c>
      <c r="AN1399" s="76">
        <v>1</v>
      </c>
      <c r="AO1399" s="76">
        <v>1</v>
      </c>
      <c r="AP1399" s="76">
        <v>1</v>
      </c>
      <c r="AQ1399" s="76">
        <v>1</v>
      </c>
      <c r="AR1399" s="96">
        <v>0.0721861525408278</v>
      </c>
      <c r="AS1399" s="80">
        <v>0.111111111111111</v>
      </c>
      <c r="AT1399" s="80">
        <v>0</v>
      </c>
      <c r="AU1399" s="80">
        <v>0.111111111111111</v>
      </c>
      <c r="AV1399" s="80">
        <v>0.0616438356164384</v>
      </c>
      <c r="AW1399" s="36"/>
      <c r="AX1399" s="34"/>
    </row>
    <row r="1400" ht="14.5" spans="1:50">
      <c r="A1400" s="32"/>
      <c r="B1400" s="36"/>
      <c r="C1400" s="91" t="s">
        <v>1105</v>
      </c>
      <c r="D1400" s="69" t="s">
        <v>25</v>
      </c>
      <c r="E1400" s="129" t="s">
        <v>1449</v>
      </c>
      <c r="F1400" s="129" t="s">
        <v>1449</v>
      </c>
      <c r="G1400" s="129" t="s">
        <v>1449</v>
      </c>
      <c r="H1400" s="129" t="s">
        <v>1449</v>
      </c>
      <c r="I1400" s="71">
        <v>0.9</v>
      </c>
      <c r="J1400" s="72">
        <v>0.875</v>
      </c>
      <c r="K1400" s="72">
        <v>0.944444444444444</v>
      </c>
      <c r="L1400" s="73">
        <v>0.882352941176471</v>
      </c>
      <c r="M1400" s="72">
        <v>0.830065359477124</v>
      </c>
      <c r="N1400" s="74">
        <v>0.9</v>
      </c>
      <c r="O1400" s="72">
        <v>0.947043248014122</v>
      </c>
      <c r="P1400" s="72">
        <v>0.964322120285423</v>
      </c>
      <c r="Q1400" s="72">
        <v>0.937246963562753</v>
      </c>
      <c r="R1400" s="72">
        <v>0.966455759766998</v>
      </c>
      <c r="S1400" s="74">
        <v>0.9</v>
      </c>
      <c r="T1400" s="72">
        <v>0.711385701676964</v>
      </c>
      <c r="U1400" s="72">
        <v>0.793068297655454</v>
      </c>
      <c r="V1400" s="72">
        <v>0.708502024291498</v>
      </c>
      <c r="W1400" s="72">
        <v>0.683137491212213</v>
      </c>
      <c r="X1400" s="74">
        <v>0.92</v>
      </c>
      <c r="Y1400" s="74">
        <v>0</v>
      </c>
      <c r="Z1400" s="74">
        <v>0</v>
      </c>
      <c r="AA1400" s="74">
        <v>0</v>
      </c>
      <c r="AB1400" s="74">
        <v>0</v>
      </c>
      <c r="AC1400" s="74">
        <v>0.92</v>
      </c>
      <c r="AD1400" s="72">
        <v>1</v>
      </c>
      <c r="AE1400" s="72">
        <v>0.25</v>
      </c>
      <c r="AF1400" s="72">
        <v>1</v>
      </c>
      <c r="AG1400" s="72">
        <v>0.839506172839506</v>
      </c>
      <c r="AH1400" s="74">
        <v>0.92</v>
      </c>
      <c r="AI1400" s="72">
        <v>0.8693733451015</v>
      </c>
      <c r="AJ1400" s="72">
        <v>0.893985728848114</v>
      </c>
      <c r="AK1400" s="72">
        <v>0.831983805668016</v>
      </c>
      <c r="AL1400" s="72">
        <v>0.882305683872263</v>
      </c>
      <c r="AM1400" s="71">
        <v>0.99</v>
      </c>
      <c r="AN1400" s="76">
        <v>1</v>
      </c>
      <c r="AO1400" s="76">
        <v>1</v>
      </c>
      <c r="AP1400" s="76">
        <v>1</v>
      </c>
      <c r="AQ1400" s="76">
        <v>1</v>
      </c>
      <c r="AR1400" s="96">
        <v>0.0721861525408278</v>
      </c>
      <c r="AS1400" s="80">
        <v>0</v>
      </c>
      <c r="AT1400" s="80">
        <v>0</v>
      </c>
      <c r="AU1400" s="80">
        <v>0</v>
      </c>
      <c r="AV1400" s="80">
        <v>0.0634920634920635</v>
      </c>
      <c r="AW1400" s="36"/>
      <c r="AX1400" s="34"/>
    </row>
    <row r="1401" ht="14.5" spans="1:50">
      <c r="A1401" s="32"/>
      <c r="B1401" s="36"/>
      <c r="C1401" s="91" t="s">
        <v>1105</v>
      </c>
      <c r="D1401" s="69" t="s">
        <v>25</v>
      </c>
      <c r="E1401" s="129" t="s">
        <v>1450</v>
      </c>
      <c r="F1401" s="129" t="s">
        <v>1450</v>
      </c>
      <c r="G1401" s="129" t="s">
        <v>1450</v>
      </c>
      <c r="H1401" s="129" t="s">
        <v>1450</v>
      </c>
      <c r="I1401" s="71">
        <v>0.9</v>
      </c>
      <c r="J1401" s="72">
        <v>0.970588235294118</v>
      </c>
      <c r="K1401" s="72">
        <v>0.972972972972973</v>
      </c>
      <c r="L1401" s="73">
        <v>1</v>
      </c>
      <c r="M1401" s="72">
        <v>0.954682779456193</v>
      </c>
      <c r="N1401" s="74">
        <v>0.9</v>
      </c>
      <c r="O1401" s="72">
        <v>0.929118002416432</v>
      </c>
      <c r="P1401" s="72">
        <v>0.987057480015227</v>
      </c>
      <c r="Q1401" s="72">
        <v>0.990059642147117</v>
      </c>
      <c r="R1401" s="72">
        <v>0.970145852324521</v>
      </c>
      <c r="S1401" s="74">
        <v>0.9</v>
      </c>
      <c r="T1401" s="72">
        <v>0.945227547321788</v>
      </c>
      <c r="U1401" s="72">
        <v>0.935668062428626</v>
      </c>
      <c r="V1401" s="72">
        <v>0.960238568588469</v>
      </c>
      <c r="W1401" s="72">
        <v>0.950546946216955</v>
      </c>
      <c r="X1401" s="74">
        <v>0.92</v>
      </c>
      <c r="Y1401" s="74">
        <v>0.937950937950938</v>
      </c>
      <c r="Z1401" s="74">
        <v>0.969957081545064</v>
      </c>
      <c r="AA1401" s="74">
        <v>0.972222222222222</v>
      </c>
      <c r="AB1401" s="74">
        <v>0.964632724446172</v>
      </c>
      <c r="AC1401" s="74">
        <v>0.92</v>
      </c>
      <c r="AD1401" s="72">
        <v>0.98858075040783</v>
      </c>
      <c r="AE1401" s="72">
        <v>0.983448806774442</v>
      </c>
      <c r="AF1401" s="72">
        <v>0.997333333333333</v>
      </c>
      <c r="AG1401" s="72">
        <v>0.99266256993488</v>
      </c>
      <c r="AH1401" s="74">
        <v>0.92</v>
      </c>
      <c r="AI1401" s="72">
        <v>0.959009206488382</v>
      </c>
      <c r="AJ1401" s="72">
        <v>0.979567872240488</v>
      </c>
      <c r="AK1401" s="72">
        <v>0.985305694043558</v>
      </c>
      <c r="AL1401" s="72">
        <v>0.977847931938573</v>
      </c>
      <c r="AM1401" s="71">
        <v>0.99</v>
      </c>
      <c r="AN1401" s="76">
        <v>1</v>
      </c>
      <c r="AO1401" s="76">
        <v>1</v>
      </c>
      <c r="AP1401" s="76">
        <v>1</v>
      </c>
      <c r="AQ1401" s="76">
        <v>1</v>
      </c>
      <c r="AR1401" s="96">
        <v>0.0721861525408278</v>
      </c>
      <c r="AS1401" s="80">
        <v>0</v>
      </c>
      <c r="AT1401" s="80">
        <v>0</v>
      </c>
      <c r="AU1401" s="80">
        <v>0</v>
      </c>
      <c r="AV1401" s="80">
        <v>-0.0256410256410256</v>
      </c>
      <c r="AW1401" s="36"/>
      <c r="AX1401" s="34"/>
    </row>
    <row r="1402" ht="14.5" spans="1:50">
      <c r="A1402" s="32"/>
      <c r="B1402" s="36"/>
      <c r="C1402" s="91" t="s">
        <v>1105</v>
      </c>
      <c r="D1402" s="69" t="s">
        <v>25</v>
      </c>
      <c r="E1402" s="129" t="s">
        <v>1451</v>
      </c>
      <c r="F1402" s="129" t="s">
        <v>1451</v>
      </c>
      <c r="G1402" s="129" t="s">
        <v>1451</v>
      </c>
      <c r="H1402" s="129" t="s">
        <v>1451</v>
      </c>
      <c r="I1402" s="71">
        <v>0.9</v>
      </c>
      <c r="J1402" s="72">
        <v>0.921052631578947</v>
      </c>
      <c r="K1402" s="72">
        <v>0.880952380952381</v>
      </c>
      <c r="L1402" s="73">
        <v>0.951219512195122</v>
      </c>
      <c r="M1402" s="72">
        <v>0.933884297520661</v>
      </c>
      <c r="N1402" s="74">
        <v>0.9</v>
      </c>
      <c r="O1402" s="72">
        <v>0.992841163310962</v>
      </c>
      <c r="P1402" s="72">
        <v>0.991789819376026</v>
      </c>
      <c r="Q1402" s="72">
        <v>0.990983606557377</v>
      </c>
      <c r="R1402" s="72">
        <v>0.989058039961941</v>
      </c>
      <c r="S1402" s="74">
        <v>0.9</v>
      </c>
      <c r="T1402" s="72">
        <v>0.927069351230425</v>
      </c>
      <c r="U1402" s="72">
        <v>0.94047619047619</v>
      </c>
      <c r="V1402" s="72">
        <v>0.965983606557377</v>
      </c>
      <c r="W1402" s="72">
        <v>0.94476688867745</v>
      </c>
      <c r="X1402" s="74">
        <v>0.92</v>
      </c>
      <c r="Y1402" s="74">
        <v>0.921190893169877</v>
      </c>
      <c r="Z1402" s="74">
        <v>0.953926022063595</v>
      </c>
      <c r="AA1402" s="74">
        <v>0.978260869565217</v>
      </c>
      <c r="AB1402" s="74">
        <v>0.96281179138322</v>
      </c>
      <c r="AC1402" s="74">
        <v>0.92</v>
      </c>
      <c r="AD1402" s="72">
        <v>0.998607242339833</v>
      </c>
      <c r="AE1402" s="72">
        <v>0.998412698412698</v>
      </c>
      <c r="AF1402" s="72">
        <v>0.998696219035202</v>
      </c>
      <c r="AG1402" s="72">
        <v>0.999071638557945</v>
      </c>
      <c r="AH1402" s="74">
        <v>0.92</v>
      </c>
      <c r="AI1402" s="72">
        <v>0.940252268200929</v>
      </c>
      <c r="AJ1402" s="72">
        <v>0.967312044254463</v>
      </c>
      <c r="AK1402" s="72">
        <v>0.986587982832618</v>
      </c>
      <c r="AL1402" s="72">
        <v>0.974076918856641</v>
      </c>
      <c r="AM1402" s="71">
        <v>0.99</v>
      </c>
      <c r="AN1402" s="76">
        <v>1</v>
      </c>
      <c r="AO1402" s="76">
        <v>1</v>
      </c>
      <c r="AP1402" s="76">
        <v>1</v>
      </c>
      <c r="AQ1402" s="76">
        <v>1</v>
      </c>
      <c r="AR1402" s="96">
        <v>0.0721861525408278</v>
      </c>
      <c r="AS1402" s="80">
        <v>0</v>
      </c>
      <c r="AT1402" s="80">
        <v>0</v>
      </c>
      <c r="AU1402" s="80">
        <v>0</v>
      </c>
      <c r="AV1402" s="80">
        <v>0.0229885057471264</v>
      </c>
      <c r="AW1402" s="36"/>
      <c r="AX1402" s="34"/>
    </row>
    <row r="1403" ht="14.5" spans="1:50">
      <c r="A1403" s="32"/>
      <c r="B1403" s="36"/>
      <c r="C1403" s="91" t="s">
        <v>1105</v>
      </c>
      <c r="D1403" s="69" t="s">
        <v>25</v>
      </c>
      <c r="E1403" s="129" t="s">
        <v>1452</v>
      </c>
      <c r="F1403" s="129" t="s">
        <v>1452</v>
      </c>
      <c r="G1403" s="129" t="s">
        <v>1452</v>
      </c>
      <c r="H1403" s="129" t="s">
        <v>1452</v>
      </c>
      <c r="I1403" s="71">
        <v>0.9</v>
      </c>
      <c r="J1403" s="72">
        <v>0.977777777777778</v>
      </c>
      <c r="K1403" s="72">
        <v>1</v>
      </c>
      <c r="L1403" s="73">
        <v>1</v>
      </c>
      <c r="M1403" s="72">
        <v>0.992924528301887</v>
      </c>
      <c r="N1403" s="74">
        <v>0.9</v>
      </c>
      <c r="O1403" s="72">
        <v>0.968070337806571</v>
      </c>
      <c r="P1403" s="72">
        <v>0.951095670764297</v>
      </c>
      <c r="Q1403" s="72">
        <v>0.986422976501306</v>
      </c>
      <c r="R1403" s="72">
        <v>0.98167951587499</v>
      </c>
      <c r="S1403" s="74">
        <v>0.9</v>
      </c>
      <c r="T1403" s="72">
        <v>0.926885701064322</v>
      </c>
      <c r="U1403" s="72">
        <v>0.950828433992517</v>
      </c>
      <c r="V1403" s="72">
        <v>0.950913838120104</v>
      </c>
      <c r="W1403" s="72">
        <v>0.947636021995634</v>
      </c>
      <c r="X1403" s="74">
        <v>0.92</v>
      </c>
      <c r="Y1403" s="74">
        <v>0.962593516209476</v>
      </c>
      <c r="Z1403" s="74">
        <v>0.963923337091319</v>
      </c>
      <c r="AA1403" s="74">
        <v>0.957528957528958</v>
      </c>
      <c r="AB1403" s="74">
        <v>0.965982991495748</v>
      </c>
      <c r="AC1403" s="74">
        <v>0.92</v>
      </c>
      <c r="AD1403" s="72">
        <v>0.877664233576642</v>
      </c>
      <c r="AE1403" s="72">
        <v>0.999693596159739</v>
      </c>
      <c r="AF1403" s="72">
        <v>0.99913291217639</v>
      </c>
      <c r="AG1403" s="72">
        <v>0.991755702053497</v>
      </c>
      <c r="AH1403" s="74">
        <v>0.92</v>
      </c>
      <c r="AI1403" s="72">
        <v>0.973458235753318</v>
      </c>
      <c r="AJ1403" s="72">
        <v>0.984877943400302</v>
      </c>
      <c r="AK1403" s="72">
        <v>0.981983937486434</v>
      </c>
      <c r="AL1403" s="72">
        <v>0.984204213718346</v>
      </c>
      <c r="AM1403" s="71">
        <v>0.99</v>
      </c>
      <c r="AN1403" s="76">
        <v>1</v>
      </c>
      <c r="AO1403" s="76">
        <v>1</v>
      </c>
      <c r="AP1403" s="76">
        <v>1</v>
      </c>
      <c r="AQ1403" s="76">
        <v>1</v>
      </c>
      <c r="AR1403" s="96">
        <v>0.0721861525408278</v>
      </c>
      <c r="AS1403" s="80">
        <v>0</v>
      </c>
      <c r="AT1403" s="80">
        <v>0</v>
      </c>
      <c r="AU1403" s="80">
        <v>0</v>
      </c>
      <c r="AV1403" s="80">
        <v>0.0182926829268293</v>
      </c>
      <c r="AW1403" s="36"/>
      <c r="AX1403" s="34"/>
    </row>
    <row r="1404" ht="14.5" spans="1:50">
      <c r="A1404" s="32"/>
      <c r="B1404" s="36"/>
      <c r="C1404" s="91" t="s">
        <v>1105</v>
      </c>
      <c r="D1404" s="69" t="s">
        <v>25</v>
      </c>
      <c r="E1404" s="129" t="s">
        <v>1453</v>
      </c>
      <c r="F1404" s="129" t="s">
        <v>1453</v>
      </c>
      <c r="G1404" s="129" t="s">
        <v>1453</v>
      </c>
      <c r="H1404" s="129" t="s">
        <v>1453</v>
      </c>
      <c r="I1404" s="71">
        <v>0.9</v>
      </c>
      <c r="J1404" s="72">
        <v>0.971428571428571</v>
      </c>
      <c r="K1404" s="72">
        <v>1</v>
      </c>
      <c r="L1404" s="73">
        <v>1</v>
      </c>
      <c r="M1404" s="72">
        <v>0.99388379204893</v>
      </c>
      <c r="N1404" s="74">
        <v>0.9</v>
      </c>
      <c r="O1404" s="72">
        <v>0.9900513478819</v>
      </c>
      <c r="P1404" s="72">
        <v>0.968761761385021</v>
      </c>
      <c r="Q1404" s="72">
        <v>0.991163475699558</v>
      </c>
      <c r="R1404" s="72">
        <v>0.991693037974684</v>
      </c>
      <c r="S1404" s="74">
        <v>0.9</v>
      </c>
      <c r="T1404" s="72">
        <v>0.965661103979461</v>
      </c>
      <c r="U1404" s="72">
        <v>0.935265336846067</v>
      </c>
      <c r="V1404" s="72">
        <v>0.970544918998527</v>
      </c>
      <c r="W1404" s="72">
        <v>0.961787974683544</v>
      </c>
      <c r="X1404" s="74">
        <v>0.92</v>
      </c>
      <c r="Y1404" s="74">
        <v>0.964774951076321</v>
      </c>
      <c r="Z1404" s="74">
        <v>0.984154929577465</v>
      </c>
      <c r="AA1404" s="74">
        <v>0.991023339317774</v>
      </c>
      <c r="AB1404" s="74">
        <v>0.982449589245706</v>
      </c>
      <c r="AC1404" s="74">
        <v>0.92</v>
      </c>
      <c r="AD1404" s="72">
        <v>1</v>
      </c>
      <c r="AE1404" s="72">
        <v>0.999583333333333</v>
      </c>
      <c r="AF1404" s="72">
        <v>0.999266324284666</v>
      </c>
      <c r="AG1404" s="72">
        <v>0.999539303196084</v>
      </c>
      <c r="AH1404" s="74">
        <v>0.92</v>
      </c>
      <c r="AI1404" s="72">
        <v>0.979873173421561</v>
      </c>
      <c r="AJ1404" s="72">
        <v>0.983875968992248</v>
      </c>
      <c r="AK1404" s="72">
        <v>0.993583868010999</v>
      </c>
      <c r="AL1404" s="72">
        <v>0.989750954727943</v>
      </c>
      <c r="AM1404" s="71">
        <v>0.99</v>
      </c>
      <c r="AN1404" s="76">
        <v>1</v>
      </c>
      <c r="AO1404" s="76">
        <v>1</v>
      </c>
      <c r="AP1404" s="76">
        <v>1</v>
      </c>
      <c r="AQ1404" s="76">
        <v>1</v>
      </c>
      <c r="AR1404" s="96">
        <v>0.0721861525408278</v>
      </c>
      <c r="AS1404" s="80">
        <v>0</v>
      </c>
      <c r="AT1404" s="80">
        <v>0.0555555555555556</v>
      </c>
      <c r="AU1404" s="80">
        <v>0</v>
      </c>
      <c r="AV1404" s="80">
        <v>0</v>
      </c>
      <c r="AW1404" s="36"/>
      <c r="AX1404" s="34"/>
    </row>
    <row r="1405" ht="14.5" spans="1:50">
      <c r="A1405" s="32"/>
      <c r="B1405" s="36"/>
      <c r="C1405" s="91" t="s">
        <v>1105</v>
      </c>
      <c r="D1405" s="69" t="s">
        <v>25</v>
      </c>
      <c r="E1405" s="129" t="s">
        <v>1454</v>
      </c>
      <c r="F1405" s="129" t="s">
        <v>1454</v>
      </c>
      <c r="G1405" s="129" t="s">
        <v>1454</v>
      </c>
      <c r="H1405" s="129" t="s">
        <v>1454</v>
      </c>
      <c r="I1405" s="71">
        <v>0.9</v>
      </c>
      <c r="J1405" s="72">
        <v>0.838709677419355</v>
      </c>
      <c r="K1405" s="72">
        <v>0.941176470588235</v>
      </c>
      <c r="L1405" s="73">
        <v>0.970588235294118</v>
      </c>
      <c r="M1405" s="72">
        <v>0.909677419354839</v>
      </c>
      <c r="N1405" s="74">
        <v>0.9</v>
      </c>
      <c r="O1405" s="72">
        <v>0.741925561365734</v>
      </c>
      <c r="P1405" s="72">
        <v>0.981078186362014</v>
      </c>
      <c r="Q1405" s="72">
        <v>0.982090643274854</v>
      </c>
      <c r="R1405" s="72">
        <v>0.876665352778873</v>
      </c>
      <c r="S1405" s="74">
        <v>0.9</v>
      </c>
      <c r="T1405" s="72">
        <v>0.792679175638265</v>
      </c>
      <c r="U1405" s="72">
        <v>0.926811852909675</v>
      </c>
      <c r="V1405" s="72">
        <v>0.908991228070175</v>
      </c>
      <c r="W1405" s="72">
        <v>0.893023255813953</v>
      </c>
      <c r="X1405" s="74">
        <v>0.92</v>
      </c>
      <c r="Y1405" s="74">
        <v>0.824866310160428</v>
      </c>
      <c r="Z1405" s="74">
        <v>0.949913644214162</v>
      </c>
      <c r="AA1405" s="74">
        <v>0.936363636363636</v>
      </c>
      <c r="AB1405" s="74">
        <v>0.924920127795527</v>
      </c>
      <c r="AC1405" s="74">
        <v>0.92</v>
      </c>
      <c r="AD1405" s="72">
        <v>0.998111871607269</v>
      </c>
      <c r="AE1405" s="72">
        <v>0.996973929236499</v>
      </c>
      <c r="AF1405" s="72">
        <v>0.994483845547675</v>
      </c>
      <c r="AG1405" s="72">
        <v>0.995076373462798</v>
      </c>
      <c r="AH1405" s="74">
        <v>0.92</v>
      </c>
      <c r="AI1405" s="72">
        <v>0.924981245311328</v>
      </c>
      <c r="AJ1405" s="72">
        <v>0.968639053254438</v>
      </c>
      <c r="AK1405" s="72">
        <v>0.956799513233952</v>
      </c>
      <c r="AL1405" s="72">
        <v>0.958041732512013</v>
      </c>
      <c r="AM1405" s="71">
        <v>0.99</v>
      </c>
      <c r="AN1405" s="76">
        <v>1</v>
      </c>
      <c r="AO1405" s="76">
        <v>1</v>
      </c>
      <c r="AP1405" s="76">
        <v>1</v>
      </c>
      <c r="AQ1405" s="76">
        <v>1</v>
      </c>
      <c r="AR1405" s="96">
        <v>0.0721861525408278</v>
      </c>
      <c r="AS1405" s="80">
        <v>0</v>
      </c>
      <c r="AT1405" s="80">
        <v>0</v>
      </c>
      <c r="AU1405" s="80">
        <v>0.111111111111111</v>
      </c>
      <c r="AV1405" s="80">
        <v>0.0483870967741935</v>
      </c>
      <c r="AW1405" s="36"/>
      <c r="AX1405" s="34"/>
    </row>
    <row r="1406" ht="14.5" spans="1:50">
      <c r="A1406" s="32"/>
      <c r="B1406" s="36"/>
      <c r="C1406" s="91" t="s">
        <v>1105</v>
      </c>
      <c r="D1406" s="69" t="s">
        <v>25</v>
      </c>
      <c r="E1406" s="129" t="s">
        <v>1455</v>
      </c>
      <c r="F1406" s="129" t="s">
        <v>1455</v>
      </c>
      <c r="G1406" s="129" t="s">
        <v>1455</v>
      </c>
      <c r="H1406" s="129" t="s">
        <v>1455</v>
      </c>
      <c r="I1406" s="71">
        <v>0.9</v>
      </c>
      <c r="J1406" s="72">
        <v>0.967741935483871</v>
      </c>
      <c r="K1406" s="72">
        <v>0.95</v>
      </c>
      <c r="L1406" s="73">
        <v>0.947368421052632</v>
      </c>
      <c r="M1406" s="72">
        <v>0.952238805970149</v>
      </c>
      <c r="N1406" s="74">
        <v>0.9</v>
      </c>
      <c r="O1406" s="72">
        <v>0.996891996891997</v>
      </c>
      <c r="P1406" s="72">
        <v>0.98172090949621</v>
      </c>
      <c r="Q1406" s="72">
        <v>0.996277338296882</v>
      </c>
      <c r="R1406" s="72">
        <v>0.979636089374941</v>
      </c>
      <c r="S1406" s="74">
        <v>0.9</v>
      </c>
      <c r="T1406" s="72">
        <v>0.954545454545455</v>
      </c>
      <c r="U1406" s="72">
        <v>0.959429335711101</v>
      </c>
      <c r="V1406" s="72">
        <v>0.965100046533271</v>
      </c>
      <c r="W1406" s="72">
        <v>0.948713113981333</v>
      </c>
      <c r="X1406" s="74">
        <v>0.92</v>
      </c>
      <c r="Y1406" s="74">
        <v>0.909691629955947</v>
      </c>
      <c r="Z1406" s="74">
        <v>0.958236658932715</v>
      </c>
      <c r="AA1406" s="74">
        <v>0.981891348088531</v>
      </c>
      <c r="AB1406" s="74">
        <v>0.961231962093474</v>
      </c>
      <c r="AC1406" s="74">
        <v>0.92</v>
      </c>
      <c r="AD1406" s="72">
        <v>0.817777777777778</v>
      </c>
      <c r="AE1406" s="72">
        <v>0.856181569343066</v>
      </c>
      <c r="AF1406" s="72">
        <v>0.943134872417983</v>
      </c>
      <c r="AG1406" s="72">
        <v>0.81170369421858</v>
      </c>
      <c r="AH1406" s="74">
        <v>0.92</v>
      </c>
      <c r="AI1406" s="72">
        <v>0.977550346649059</v>
      </c>
      <c r="AJ1406" s="72">
        <v>0.986910994764398</v>
      </c>
      <c r="AK1406" s="72">
        <v>0.987906273620559</v>
      </c>
      <c r="AL1406" s="72">
        <v>0.986659448590542</v>
      </c>
      <c r="AM1406" s="71">
        <v>0.99</v>
      </c>
      <c r="AN1406" s="76">
        <v>1</v>
      </c>
      <c r="AO1406" s="76">
        <v>1</v>
      </c>
      <c r="AP1406" s="76">
        <v>1</v>
      </c>
      <c r="AQ1406" s="76">
        <v>1</v>
      </c>
      <c r="AR1406" s="96">
        <v>0.0721861525408278</v>
      </c>
      <c r="AS1406" s="80">
        <v>0</v>
      </c>
      <c r="AT1406" s="80">
        <v>0</v>
      </c>
      <c r="AU1406" s="80">
        <v>0.1</v>
      </c>
      <c r="AV1406" s="80">
        <v>0.0444444444444444</v>
      </c>
      <c r="AW1406" s="36"/>
      <c r="AX1406" s="34"/>
    </row>
    <row r="1407" ht="14.5" spans="1:50">
      <c r="A1407" s="32"/>
      <c r="B1407" s="36"/>
      <c r="C1407" s="91" t="s">
        <v>1105</v>
      </c>
      <c r="D1407" s="69" t="s">
        <v>25</v>
      </c>
      <c r="E1407" s="129" t="s">
        <v>1456</v>
      </c>
      <c r="F1407" s="129" t="s">
        <v>1456</v>
      </c>
      <c r="G1407" s="129" t="s">
        <v>1456</v>
      </c>
      <c r="H1407" s="129" t="s">
        <v>1456</v>
      </c>
      <c r="I1407" s="71">
        <v>0.9</v>
      </c>
      <c r="J1407" s="72">
        <v>0.9125</v>
      </c>
      <c r="K1407" s="72">
        <v>0.928571428571429</v>
      </c>
      <c r="L1407" s="73">
        <v>0.988372093023256</v>
      </c>
      <c r="M1407" s="72">
        <v>0.923489932885906</v>
      </c>
      <c r="N1407" s="74">
        <v>0.9</v>
      </c>
      <c r="O1407" s="72">
        <v>0.901628129703106</v>
      </c>
      <c r="P1407" s="72">
        <v>0.928158295281583</v>
      </c>
      <c r="Q1407" s="72">
        <v>0.94201467268623</v>
      </c>
      <c r="R1407" s="72">
        <v>0.940512546044139</v>
      </c>
      <c r="S1407" s="74">
        <v>0.9</v>
      </c>
      <c r="T1407" s="72">
        <v>0.915583527158298</v>
      </c>
      <c r="U1407" s="72">
        <v>0.93013698630137</v>
      </c>
      <c r="V1407" s="72">
        <v>0.912810383747178</v>
      </c>
      <c r="W1407" s="72">
        <v>0.914554670528603</v>
      </c>
      <c r="X1407" s="74">
        <v>0.92</v>
      </c>
      <c r="Y1407" s="74">
        <v>0.909090909090909</v>
      </c>
      <c r="Z1407" s="74">
        <v>0.934193548387097</v>
      </c>
      <c r="AA1407" s="74">
        <v>0.944005743000718</v>
      </c>
      <c r="AB1407" s="74">
        <v>0.922815889280724</v>
      </c>
      <c r="AC1407" s="74">
        <v>0.92</v>
      </c>
      <c r="AD1407" s="72">
        <v>0.844143272023233</v>
      </c>
      <c r="AE1407" s="72">
        <v>0.936826912401466</v>
      </c>
      <c r="AF1407" s="72">
        <v>0.926985580224308</v>
      </c>
      <c r="AG1407" s="72">
        <v>0.903500607564828</v>
      </c>
      <c r="AH1407" s="74">
        <v>0.92</v>
      </c>
      <c r="AI1407" s="72">
        <v>0.957756075403134</v>
      </c>
      <c r="AJ1407" s="72">
        <v>0.970081260773209</v>
      </c>
      <c r="AK1407" s="72">
        <v>0.969814880320717</v>
      </c>
      <c r="AL1407" s="72">
        <v>0.964523479168523</v>
      </c>
      <c r="AM1407" s="71">
        <v>0.99</v>
      </c>
      <c r="AN1407" s="76">
        <v>1</v>
      </c>
      <c r="AO1407" s="76">
        <v>1</v>
      </c>
      <c r="AP1407" s="76">
        <v>1</v>
      </c>
      <c r="AQ1407" s="76">
        <v>1</v>
      </c>
      <c r="AR1407" s="96">
        <v>0.0721861525408278</v>
      </c>
      <c r="AS1407" s="80">
        <v>0.0555555555555556</v>
      </c>
      <c r="AT1407" s="80">
        <v>0.0172413793103448</v>
      </c>
      <c r="AU1407" s="80">
        <v>0</v>
      </c>
      <c r="AV1407" s="80">
        <v>0.0340632603406326</v>
      </c>
      <c r="AW1407" s="36"/>
      <c r="AX1407" s="34"/>
    </row>
    <row r="1408" ht="14.5" spans="1:50">
      <c r="A1408" s="32"/>
      <c r="B1408" s="36"/>
      <c r="C1408" s="91" t="s">
        <v>1105</v>
      </c>
      <c r="D1408" s="69" t="s">
        <v>25</v>
      </c>
      <c r="E1408" s="129" t="s">
        <v>1457</v>
      </c>
      <c r="F1408" s="129" t="s">
        <v>1457</v>
      </c>
      <c r="G1408" s="129" t="s">
        <v>1457</v>
      </c>
      <c r="H1408" s="129" t="s">
        <v>1457</v>
      </c>
      <c r="I1408" s="71">
        <v>0.9</v>
      </c>
      <c r="J1408" s="72">
        <v>1</v>
      </c>
      <c r="K1408" s="72">
        <v>1</v>
      </c>
      <c r="L1408" s="73">
        <v>1</v>
      </c>
      <c r="M1408" s="72">
        <v>1</v>
      </c>
      <c r="N1408" s="74">
        <v>0.9</v>
      </c>
      <c r="O1408" s="72">
        <v>0.972533062054934</v>
      </c>
      <c r="P1408" s="72">
        <v>0.993997599039616</v>
      </c>
      <c r="Q1408" s="72">
        <v>0.989349112426036</v>
      </c>
      <c r="R1408" s="72">
        <v>0.983330246341915</v>
      </c>
      <c r="S1408" s="74">
        <v>0.9</v>
      </c>
      <c r="T1408" s="72">
        <v>0.939471007121058</v>
      </c>
      <c r="U1408" s="72">
        <v>0.956782713085234</v>
      </c>
      <c r="V1408" s="72">
        <v>0.953254437869822</v>
      </c>
      <c r="W1408" s="72">
        <v>0.946718528122492</v>
      </c>
      <c r="X1408" s="74">
        <v>0.92</v>
      </c>
      <c r="Y1408" s="74">
        <v>0.94</v>
      </c>
      <c r="Z1408" s="74">
        <v>0.958217270194986</v>
      </c>
      <c r="AA1408" s="74">
        <v>0.979768786127168</v>
      </c>
      <c r="AB1408" s="74">
        <v>0.954085603112841</v>
      </c>
      <c r="AC1408" s="74">
        <v>0.92</v>
      </c>
      <c r="AD1408" s="72">
        <v>0.997969355731955</v>
      </c>
      <c r="AE1408" s="72">
        <v>0.996213465862028</v>
      </c>
      <c r="AF1408" s="72">
        <v>0.997581620314389</v>
      </c>
      <c r="AG1408" s="72">
        <v>0.993016003162565</v>
      </c>
      <c r="AH1408" s="74">
        <v>0.92</v>
      </c>
      <c r="AI1408" s="72">
        <v>0.97083685545224</v>
      </c>
      <c r="AJ1408" s="72">
        <v>0.979259259259259</v>
      </c>
      <c r="AK1408" s="72">
        <v>0.988703339882122</v>
      </c>
      <c r="AL1408" s="72">
        <v>0.978509099975069</v>
      </c>
      <c r="AM1408" s="71">
        <v>0.99</v>
      </c>
      <c r="AN1408" s="76">
        <v>1</v>
      </c>
      <c r="AO1408" s="76">
        <v>1</v>
      </c>
      <c r="AP1408" s="76">
        <v>1</v>
      </c>
      <c r="AQ1408" s="76">
        <v>1</v>
      </c>
      <c r="AR1408" s="96">
        <v>0.0721861525408278</v>
      </c>
      <c r="AS1408" s="80">
        <v>0</v>
      </c>
      <c r="AT1408" s="80">
        <v>0</v>
      </c>
      <c r="AU1408" s="80">
        <v>0</v>
      </c>
      <c r="AV1408" s="80">
        <v>0.0138888888888889</v>
      </c>
      <c r="AW1408" s="36"/>
      <c r="AX1408" s="34"/>
    </row>
    <row r="1409" ht="14.5" spans="1:50">
      <c r="A1409" s="32"/>
      <c r="B1409" s="36"/>
      <c r="C1409" s="91" t="s">
        <v>1105</v>
      </c>
      <c r="D1409" s="69" t="s">
        <v>25</v>
      </c>
      <c r="E1409" s="129" t="s">
        <v>1458</v>
      </c>
      <c r="F1409" s="129" t="s">
        <v>1458</v>
      </c>
      <c r="G1409" s="129" t="s">
        <v>1458</v>
      </c>
      <c r="H1409" s="129" t="s">
        <v>1458</v>
      </c>
      <c r="I1409" s="71">
        <v>0.9</v>
      </c>
      <c r="J1409" s="72">
        <v>0.980392156862745</v>
      </c>
      <c r="K1409" s="72">
        <v>1</v>
      </c>
      <c r="L1409" s="73">
        <v>0.984126984126984</v>
      </c>
      <c r="M1409" s="72">
        <v>0.97985347985348</v>
      </c>
      <c r="N1409" s="74">
        <v>0.9</v>
      </c>
      <c r="O1409" s="72">
        <v>0.976756756756757</v>
      </c>
      <c r="P1409" s="72">
        <v>0.988701646878591</v>
      </c>
      <c r="Q1409" s="72">
        <v>0.985717242806872</v>
      </c>
      <c r="R1409" s="72">
        <v>0.975105673442512</v>
      </c>
      <c r="S1409" s="74">
        <v>0.9</v>
      </c>
      <c r="T1409" s="72">
        <v>0.907927927927928</v>
      </c>
      <c r="U1409" s="72">
        <v>0.920720030639602</v>
      </c>
      <c r="V1409" s="72">
        <v>0.91885737942455</v>
      </c>
      <c r="W1409" s="72">
        <v>0.927398627838314</v>
      </c>
      <c r="X1409" s="74">
        <v>0.92</v>
      </c>
      <c r="Y1409" s="74">
        <v>0.914839797639123</v>
      </c>
      <c r="Z1409" s="74">
        <v>0.944151738672287</v>
      </c>
      <c r="AA1409" s="74">
        <v>0.939679547596607</v>
      </c>
      <c r="AB1409" s="74">
        <v>0.940636304609962</v>
      </c>
      <c r="AC1409" s="74">
        <v>0.92</v>
      </c>
      <c r="AD1409" s="72">
        <v>0.995299887606008</v>
      </c>
      <c r="AE1409" s="72">
        <v>0.993398058252427</v>
      </c>
      <c r="AF1409" s="72">
        <v>0.997766706751417</v>
      </c>
      <c r="AG1409" s="72">
        <v>0.996366760079424</v>
      </c>
      <c r="AH1409" s="74">
        <v>0.92</v>
      </c>
      <c r="AI1409" s="72">
        <v>0.960071248330117</v>
      </c>
      <c r="AJ1409" s="72">
        <v>0.9650032404407</v>
      </c>
      <c r="AK1409" s="72">
        <v>0.968437128796878</v>
      </c>
      <c r="AL1409" s="72">
        <v>0.972539057099405</v>
      </c>
      <c r="AM1409" s="71">
        <v>0.99</v>
      </c>
      <c r="AN1409" s="76">
        <v>1</v>
      </c>
      <c r="AO1409" s="76">
        <v>1</v>
      </c>
      <c r="AP1409" s="76">
        <v>1</v>
      </c>
      <c r="AQ1409" s="76">
        <v>1</v>
      </c>
      <c r="AR1409" s="96">
        <v>0.0721861525408278</v>
      </c>
      <c r="AS1409" s="80">
        <v>0</v>
      </c>
      <c r="AT1409" s="80">
        <v>0</v>
      </c>
      <c r="AU1409" s="80">
        <v>0</v>
      </c>
      <c r="AV1409" s="80">
        <v>0.0442176870748299</v>
      </c>
      <c r="AW1409" s="36"/>
      <c r="AX1409" s="34"/>
    </row>
    <row r="1410" ht="14.5" spans="1:50">
      <c r="A1410" s="32"/>
      <c r="B1410" s="36"/>
      <c r="C1410" s="91" t="s">
        <v>1105</v>
      </c>
      <c r="D1410" s="69" t="s">
        <v>25</v>
      </c>
      <c r="E1410" s="129" t="s">
        <v>1459</v>
      </c>
      <c r="F1410" s="129" t="s">
        <v>1459</v>
      </c>
      <c r="G1410" s="129" t="s">
        <v>1459</v>
      </c>
      <c r="H1410" s="129" t="s">
        <v>1459</v>
      </c>
      <c r="I1410" s="71">
        <v>0.9</v>
      </c>
      <c r="J1410" s="72">
        <v>0.859154929577465</v>
      </c>
      <c r="K1410" s="72">
        <v>0.963414634146341</v>
      </c>
      <c r="L1410" s="73">
        <v>0.988095238095238</v>
      </c>
      <c r="M1410" s="72">
        <v>0.842541436464088</v>
      </c>
      <c r="N1410" s="74">
        <v>0.9</v>
      </c>
      <c r="O1410" s="72">
        <v>0.92939847500706</v>
      </c>
      <c r="P1410" s="72">
        <v>0.961302853727775</v>
      </c>
      <c r="Q1410" s="72">
        <v>0.946225439503619</v>
      </c>
      <c r="R1410" s="72">
        <v>0.92791121680539</v>
      </c>
      <c r="S1410" s="74">
        <v>0.9</v>
      </c>
      <c r="T1410" s="72">
        <v>0.877576955662242</v>
      </c>
      <c r="U1410" s="72">
        <v>0.943074854325415</v>
      </c>
      <c r="V1410" s="72">
        <v>0.941645737922884</v>
      </c>
      <c r="W1410" s="72">
        <v>0.918779231074118</v>
      </c>
      <c r="X1410" s="74">
        <v>0.92</v>
      </c>
      <c r="Y1410" s="74">
        <v>0.877667140825036</v>
      </c>
      <c r="Z1410" s="74">
        <v>0.890286512928022</v>
      </c>
      <c r="AA1410" s="74">
        <v>0.930622009569378</v>
      </c>
      <c r="AB1410" s="74">
        <v>0.913880894398937</v>
      </c>
      <c r="AC1410" s="74">
        <v>0.92</v>
      </c>
      <c r="AD1410" s="72">
        <v>0.999272550921436</v>
      </c>
      <c r="AE1410" s="72">
        <v>0.99685534591195</v>
      </c>
      <c r="AF1410" s="72">
        <v>0.998641304347826</v>
      </c>
      <c r="AG1410" s="72">
        <v>0.987134028973762</v>
      </c>
      <c r="AH1410" s="74">
        <v>0.92</v>
      </c>
      <c r="AI1410" s="72">
        <v>0.9374410933082</v>
      </c>
      <c r="AJ1410" s="72">
        <v>0.958271787296898</v>
      </c>
      <c r="AK1410" s="72">
        <v>0.969213511155428</v>
      </c>
      <c r="AL1410" s="72">
        <v>0.962493638012711</v>
      </c>
      <c r="AM1410" s="71">
        <v>0.99</v>
      </c>
      <c r="AN1410" s="76">
        <v>1</v>
      </c>
      <c r="AO1410" s="76">
        <v>1</v>
      </c>
      <c r="AP1410" s="76">
        <v>1</v>
      </c>
      <c r="AQ1410" s="76">
        <v>1</v>
      </c>
      <c r="AR1410" s="96">
        <v>0.0721861525408278</v>
      </c>
      <c r="AS1410" s="80">
        <v>0.0377358490566038</v>
      </c>
      <c r="AT1410" s="80">
        <v>0.0327868852459016</v>
      </c>
      <c r="AU1410" s="80">
        <v>0.0338983050847458</v>
      </c>
      <c r="AV1410" s="80">
        <v>0.026694045174538</v>
      </c>
      <c r="AW1410" s="36"/>
      <c r="AX1410" s="34"/>
    </row>
    <row r="1411" ht="14.5" spans="1:50">
      <c r="A1411" s="32"/>
      <c r="B1411" s="36"/>
      <c r="C1411" s="91" t="s">
        <v>1105</v>
      </c>
      <c r="D1411" s="69" t="s">
        <v>25</v>
      </c>
      <c r="E1411" s="129" t="s">
        <v>1460</v>
      </c>
      <c r="F1411" s="129" t="s">
        <v>1460</v>
      </c>
      <c r="G1411" s="129" t="s">
        <v>1460</v>
      </c>
      <c r="H1411" s="129" t="s">
        <v>1460</v>
      </c>
      <c r="I1411" s="71">
        <v>0.9</v>
      </c>
      <c r="J1411" s="72">
        <v>0.920634920634921</v>
      </c>
      <c r="K1411" s="72">
        <v>0.957142857142857</v>
      </c>
      <c r="L1411" s="73">
        <v>0.974358974358974</v>
      </c>
      <c r="M1411" s="72">
        <v>0.940729483282675</v>
      </c>
      <c r="N1411" s="74">
        <v>0.9</v>
      </c>
      <c r="O1411" s="72">
        <v>0.939948570564211</v>
      </c>
      <c r="P1411" s="72">
        <v>0.952576980075745</v>
      </c>
      <c r="Q1411" s="72">
        <v>0.954454531466379</v>
      </c>
      <c r="R1411" s="72">
        <v>0.943836210635898</v>
      </c>
      <c r="S1411" s="74">
        <v>0.9</v>
      </c>
      <c r="T1411" s="72">
        <v>0.856602631977008</v>
      </c>
      <c r="U1411" s="72">
        <v>0.929359459904495</v>
      </c>
      <c r="V1411" s="72">
        <v>0.962455762424988</v>
      </c>
      <c r="W1411" s="72">
        <v>0.927856337295046</v>
      </c>
      <c r="X1411" s="74">
        <v>0.92</v>
      </c>
      <c r="Y1411" s="74">
        <v>0.826836581709145</v>
      </c>
      <c r="Z1411" s="74">
        <v>0.909822866344606</v>
      </c>
      <c r="AA1411" s="74">
        <v>0.911764705882353</v>
      </c>
      <c r="AB1411" s="74">
        <v>0.907183212267958</v>
      </c>
      <c r="AC1411" s="74">
        <v>0.92</v>
      </c>
      <c r="AD1411" s="72">
        <v>0.990994236311239</v>
      </c>
      <c r="AE1411" s="72">
        <v>0.983837373989836</v>
      </c>
      <c r="AF1411" s="72">
        <v>0.965183559457302</v>
      </c>
      <c r="AG1411" s="72">
        <v>0.980289003518601</v>
      </c>
      <c r="AH1411" s="74">
        <v>0.92</v>
      </c>
      <c r="AI1411" s="72">
        <v>0.916435942612635</v>
      </c>
      <c r="AJ1411" s="72">
        <v>0.962132604237867</v>
      </c>
      <c r="AK1411" s="72">
        <v>0.96997188857654</v>
      </c>
      <c r="AL1411" s="72">
        <v>0.961262779142155</v>
      </c>
      <c r="AM1411" s="71">
        <v>0.99</v>
      </c>
      <c r="AN1411" s="76">
        <v>1</v>
      </c>
      <c r="AO1411" s="76">
        <v>1</v>
      </c>
      <c r="AP1411" s="76">
        <v>1</v>
      </c>
      <c r="AQ1411" s="76">
        <v>1</v>
      </c>
      <c r="AR1411" s="96">
        <v>0.0721861525408278</v>
      </c>
      <c r="AS1411" s="80">
        <v>0.126984126984127</v>
      </c>
      <c r="AT1411" s="80">
        <v>-0.037037037037037</v>
      </c>
      <c r="AU1411" s="80">
        <v>0</v>
      </c>
      <c r="AV1411" s="80">
        <v>0.0264462809917355</v>
      </c>
      <c r="AW1411" s="36"/>
      <c r="AX1411" s="34"/>
    </row>
    <row r="1412" ht="14.5" spans="1:50">
      <c r="A1412" s="32"/>
      <c r="B1412" s="36"/>
      <c r="C1412" s="91" t="s">
        <v>1105</v>
      </c>
      <c r="D1412" s="69" t="s">
        <v>25</v>
      </c>
      <c r="E1412" s="129" t="s">
        <v>1461</v>
      </c>
      <c r="F1412" s="129" t="s">
        <v>1461</v>
      </c>
      <c r="G1412" s="129" t="s">
        <v>1461</v>
      </c>
      <c r="H1412" s="129" t="s">
        <v>1461</v>
      </c>
      <c r="I1412" s="71">
        <v>0.9</v>
      </c>
      <c r="J1412" s="72">
        <v>0.9</v>
      </c>
      <c r="K1412" s="72">
        <v>0.904761904761905</v>
      </c>
      <c r="L1412" s="73">
        <v>0.956521739130435</v>
      </c>
      <c r="M1412" s="72">
        <v>0.923460898502496</v>
      </c>
      <c r="N1412" s="74">
        <v>0.9</v>
      </c>
      <c r="O1412" s="72">
        <v>0.897461259479064</v>
      </c>
      <c r="P1412" s="72">
        <v>0.963807455664133</v>
      </c>
      <c r="Q1412" s="72">
        <v>0.946849700809574</v>
      </c>
      <c r="R1412" s="72">
        <v>0.927653162432288</v>
      </c>
      <c r="S1412" s="74">
        <v>0.9</v>
      </c>
      <c r="T1412" s="72">
        <v>0.84882954170788</v>
      </c>
      <c r="U1412" s="72">
        <v>0.922728917842924</v>
      </c>
      <c r="V1412" s="72">
        <v>0.926082365364308</v>
      </c>
      <c r="W1412" s="72">
        <v>0.897745479514763</v>
      </c>
      <c r="X1412" s="74">
        <v>0.92</v>
      </c>
      <c r="Y1412" s="74">
        <v>0.884046052631579</v>
      </c>
      <c r="Z1412" s="74">
        <v>0.929252782193959</v>
      </c>
      <c r="AA1412" s="74">
        <v>0.904302670623145</v>
      </c>
      <c r="AB1412" s="74">
        <v>0.924869594480902</v>
      </c>
      <c r="AC1412" s="74">
        <v>0.92</v>
      </c>
      <c r="AD1412" s="72">
        <v>1</v>
      </c>
      <c r="AE1412" s="72">
        <v>0.998126024830171</v>
      </c>
      <c r="AF1412" s="72">
        <v>0.997155417636411</v>
      </c>
      <c r="AG1412" s="72">
        <v>0.995775577557756</v>
      </c>
      <c r="AH1412" s="74">
        <v>0.92</v>
      </c>
      <c r="AI1412" s="72">
        <v>0.945756660258171</v>
      </c>
      <c r="AJ1412" s="72">
        <v>0.965654481132076</v>
      </c>
      <c r="AK1412" s="72">
        <v>0.958605974395448</v>
      </c>
      <c r="AL1412" s="72">
        <v>0.966554715924993</v>
      </c>
      <c r="AM1412" s="71">
        <v>0.99</v>
      </c>
      <c r="AN1412" s="76">
        <v>1</v>
      </c>
      <c r="AO1412" s="76">
        <v>1</v>
      </c>
      <c r="AP1412" s="76">
        <v>1</v>
      </c>
      <c r="AQ1412" s="76">
        <v>1</v>
      </c>
      <c r="AR1412" s="96">
        <v>0.0721861525408278</v>
      </c>
      <c r="AS1412" s="80">
        <v>0.0227272727272727</v>
      </c>
      <c r="AT1412" s="80">
        <v>0</v>
      </c>
      <c r="AU1412" s="80">
        <v>0.0689655172413793</v>
      </c>
      <c r="AV1412" s="80">
        <v>0.0284237726098191</v>
      </c>
      <c r="AW1412" s="36"/>
      <c r="AX1412" s="34"/>
    </row>
    <row r="1413" ht="14.5" spans="1:50">
      <c r="A1413" s="32"/>
      <c r="B1413" s="36"/>
      <c r="C1413" s="91" t="s">
        <v>1105</v>
      </c>
      <c r="D1413" s="69" t="s">
        <v>25</v>
      </c>
      <c r="E1413" s="129" t="s">
        <v>1462</v>
      </c>
      <c r="F1413" s="129" t="s">
        <v>1462</v>
      </c>
      <c r="G1413" s="129" t="s">
        <v>1462</v>
      </c>
      <c r="H1413" s="129" t="s">
        <v>1462</v>
      </c>
      <c r="I1413" s="71">
        <v>0.9</v>
      </c>
      <c r="J1413" s="72">
        <v>1</v>
      </c>
      <c r="K1413" s="72">
        <v>0.91304347826087</v>
      </c>
      <c r="L1413" s="73">
        <v>1</v>
      </c>
      <c r="M1413" s="72">
        <v>0.96039603960396</v>
      </c>
      <c r="N1413" s="74">
        <v>0.9</v>
      </c>
      <c r="O1413" s="72">
        <v>0.979679144385027</v>
      </c>
      <c r="P1413" s="72">
        <v>0.991949396204715</v>
      </c>
      <c r="Q1413" s="72">
        <v>0.98361581920904</v>
      </c>
      <c r="R1413" s="72">
        <v>0.980916030534351</v>
      </c>
      <c r="S1413" s="74">
        <v>0.9</v>
      </c>
      <c r="T1413" s="72">
        <v>0.872192513368984</v>
      </c>
      <c r="U1413" s="72">
        <v>0.945945945945946</v>
      </c>
      <c r="V1413" s="72">
        <v>0.951977401129944</v>
      </c>
      <c r="W1413" s="72">
        <v>0.937392267914307</v>
      </c>
      <c r="X1413" s="74">
        <v>0.92</v>
      </c>
      <c r="Y1413" s="74">
        <v>0.948170731707317</v>
      </c>
      <c r="Z1413" s="74">
        <v>0.942942942942943</v>
      </c>
      <c r="AA1413" s="74">
        <v>0.957386363636364</v>
      </c>
      <c r="AB1413" s="74">
        <v>0.955059355568118</v>
      </c>
      <c r="AC1413" s="74">
        <v>0.92</v>
      </c>
      <c r="AD1413" s="72">
        <v>0.998941518920349</v>
      </c>
      <c r="AE1413" s="72">
        <v>1</v>
      </c>
      <c r="AF1413" s="72">
        <v>0.999113475177305</v>
      </c>
      <c r="AG1413" s="72">
        <v>0.999419077495062</v>
      </c>
      <c r="AH1413" s="74">
        <v>0.92</v>
      </c>
      <c r="AI1413" s="72">
        <v>0.956798544793088</v>
      </c>
      <c r="AJ1413" s="72">
        <v>0.974420849420849</v>
      </c>
      <c r="AK1413" s="72">
        <v>0.977851083883129</v>
      </c>
      <c r="AL1413" s="72">
        <v>0.974575414476345</v>
      </c>
      <c r="AM1413" s="71">
        <v>0.99</v>
      </c>
      <c r="AN1413" s="76">
        <v>1</v>
      </c>
      <c r="AO1413" s="76">
        <v>1</v>
      </c>
      <c r="AP1413" s="76">
        <v>1</v>
      </c>
      <c r="AQ1413" s="76">
        <v>1</v>
      </c>
      <c r="AR1413" s="96">
        <v>0.0721861525408278</v>
      </c>
      <c r="AS1413" s="80">
        <v>0</v>
      </c>
      <c r="AT1413" s="80">
        <v>0</v>
      </c>
      <c r="AU1413" s="80">
        <v>0.0833333333333333</v>
      </c>
      <c r="AV1413" s="80">
        <v>0.04</v>
      </c>
      <c r="AW1413" s="36"/>
      <c r="AX1413" s="34"/>
    </row>
    <row r="1414" ht="14.5" spans="1:50">
      <c r="A1414" s="32"/>
      <c r="B1414" s="36"/>
      <c r="C1414" s="91" t="s">
        <v>1105</v>
      </c>
      <c r="D1414" s="69" t="s">
        <v>25</v>
      </c>
      <c r="E1414" s="129" t="s">
        <v>1463</v>
      </c>
      <c r="F1414" s="129" t="s">
        <v>1463</v>
      </c>
      <c r="G1414" s="129" t="s">
        <v>1463</v>
      </c>
      <c r="H1414" s="129" t="s">
        <v>1463</v>
      </c>
      <c r="I1414" s="71">
        <v>0.9</v>
      </c>
      <c r="J1414" s="72">
        <v>1</v>
      </c>
      <c r="K1414" s="72">
        <v>1</v>
      </c>
      <c r="L1414" s="73">
        <v>1</v>
      </c>
      <c r="M1414" s="72">
        <v>0.996108949416342</v>
      </c>
      <c r="N1414" s="74">
        <v>0.9</v>
      </c>
      <c r="O1414" s="72">
        <v>0.997342781222321</v>
      </c>
      <c r="P1414" s="72">
        <v>0.973384030418251</v>
      </c>
      <c r="Q1414" s="72">
        <v>0.991517857142857</v>
      </c>
      <c r="R1414" s="72">
        <v>0.990411317788839</v>
      </c>
      <c r="S1414" s="74">
        <v>0.9</v>
      </c>
      <c r="T1414" s="72">
        <v>0.895925597874225</v>
      </c>
      <c r="U1414" s="72">
        <v>0.931558935361217</v>
      </c>
      <c r="V1414" s="72">
        <v>0.959375</v>
      </c>
      <c r="W1414" s="72">
        <v>0.938276133088813</v>
      </c>
      <c r="X1414" s="74">
        <v>0.92</v>
      </c>
      <c r="Y1414" s="74">
        <v>0.943181818181818</v>
      </c>
      <c r="Z1414" s="74">
        <v>0.982227488151659</v>
      </c>
      <c r="AA1414" s="74">
        <v>0.974789915966387</v>
      </c>
      <c r="AB1414" s="74">
        <v>0.972050238811251</v>
      </c>
      <c r="AC1414" s="74">
        <v>0.92</v>
      </c>
      <c r="AD1414" s="72">
        <v>1</v>
      </c>
      <c r="AE1414" s="72">
        <v>1</v>
      </c>
      <c r="AF1414" s="72">
        <v>1</v>
      </c>
      <c r="AG1414" s="72">
        <v>1</v>
      </c>
      <c r="AH1414" s="74">
        <v>0.92</v>
      </c>
      <c r="AI1414" s="72">
        <v>0.972041363462275</v>
      </c>
      <c r="AJ1414" s="72">
        <v>0.983050847457627</v>
      </c>
      <c r="AK1414" s="72">
        <v>0.978276877761414</v>
      </c>
      <c r="AL1414" s="72">
        <v>0.981326542985328</v>
      </c>
      <c r="AM1414" s="71">
        <v>0.99</v>
      </c>
      <c r="AN1414" s="76">
        <v>1</v>
      </c>
      <c r="AO1414" s="76">
        <v>1</v>
      </c>
      <c r="AP1414" s="76">
        <v>1</v>
      </c>
      <c r="AQ1414" s="76">
        <v>1</v>
      </c>
      <c r="AR1414" s="96">
        <v>0.0721861525408278</v>
      </c>
      <c r="AS1414" s="80">
        <v>0</v>
      </c>
      <c r="AT1414" s="80">
        <v>0</v>
      </c>
      <c r="AU1414" s="80">
        <v>0.111111111111111</v>
      </c>
      <c r="AV1414" s="80">
        <v>0.0306122448979592</v>
      </c>
      <c r="AW1414" s="36"/>
      <c r="AX1414" s="34"/>
    </row>
    <row r="1415" ht="14.5" spans="1:50">
      <c r="A1415" s="32"/>
      <c r="B1415" s="36"/>
      <c r="C1415" s="91" t="s">
        <v>1105</v>
      </c>
      <c r="D1415" s="69" t="s">
        <v>25</v>
      </c>
      <c r="E1415" s="129" t="s">
        <v>1464</v>
      </c>
      <c r="F1415" s="129" t="s">
        <v>1464</v>
      </c>
      <c r="G1415" s="129" t="s">
        <v>1464</v>
      </c>
      <c r="H1415" s="129" t="s">
        <v>1464</v>
      </c>
      <c r="I1415" s="71">
        <v>0.9</v>
      </c>
      <c r="J1415" s="72">
        <v>0.883720930232558</v>
      </c>
      <c r="K1415" s="72">
        <v>0.978260869565217</v>
      </c>
      <c r="L1415" s="73">
        <v>0.891304347826087</v>
      </c>
      <c r="M1415" s="72">
        <v>0.914841849148418</v>
      </c>
      <c r="N1415" s="74">
        <v>0.9</v>
      </c>
      <c r="O1415" s="72">
        <v>0.970638610227551</v>
      </c>
      <c r="P1415" s="72">
        <v>0.962523422860712</v>
      </c>
      <c r="Q1415" s="72">
        <v>0.971199599298773</v>
      </c>
      <c r="R1415" s="72">
        <v>0.966203373722975</v>
      </c>
      <c r="S1415" s="74">
        <v>0.9</v>
      </c>
      <c r="T1415" s="72">
        <v>0.922681673599217</v>
      </c>
      <c r="U1415" s="72">
        <v>0.960024984384759</v>
      </c>
      <c r="V1415" s="72">
        <v>0.969196093163035</v>
      </c>
      <c r="W1415" s="72">
        <v>0.945919458303635</v>
      </c>
      <c r="X1415" s="74">
        <v>0.92</v>
      </c>
      <c r="Y1415" s="74">
        <v>0.93013698630137</v>
      </c>
      <c r="Z1415" s="74">
        <v>0.961525129982669</v>
      </c>
      <c r="AA1415" s="74">
        <v>0.905160390516039</v>
      </c>
      <c r="AB1415" s="74">
        <v>0.930581613508443</v>
      </c>
      <c r="AC1415" s="74">
        <v>0.92</v>
      </c>
      <c r="AD1415" s="72">
        <v>0.996261682242991</v>
      </c>
      <c r="AE1415" s="72">
        <v>0.883748783591586</v>
      </c>
      <c r="AF1415" s="72">
        <v>0.985511183555193</v>
      </c>
      <c r="AG1415" s="72">
        <v>0.955815572620619</v>
      </c>
      <c r="AH1415" s="74">
        <v>0.92</v>
      </c>
      <c r="AI1415" s="72">
        <v>0.952548694571073</v>
      </c>
      <c r="AJ1415" s="72">
        <v>0.965248384940967</v>
      </c>
      <c r="AK1415" s="72">
        <v>0.972852598091198</v>
      </c>
      <c r="AL1415" s="72">
        <v>0.966593558813344</v>
      </c>
      <c r="AM1415" s="71">
        <v>0.99</v>
      </c>
      <c r="AN1415" s="76">
        <v>1</v>
      </c>
      <c r="AO1415" s="76">
        <v>1</v>
      </c>
      <c r="AP1415" s="76">
        <v>1</v>
      </c>
      <c r="AQ1415" s="76">
        <v>1</v>
      </c>
      <c r="AR1415" s="96">
        <v>0.0721861525408278</v>
      </c>
      <c r="AS1415" s="80">
        <v>0.0384615384615385</v>
      </c>
      <c r="AT1415" s="80">
        <v>0.0555555555555556</v>
      </c>
      <c r="AU1415" s="80">
        <v>0.1</v>
      </c>
      <c r="AV1415" s="80">
        <v>0.0207253886010363</v>
      </c>
      <c r="AW1415" s="36"/>
      <c r="AX1415" s="34"/>
    </row>
    <row r="1416" ht="14.5" spans="1:50">
      <c r="A1416" s="32"/>
      <c r="B1416" s="36"/>
      <c r="C1416" s="91" t="s">
        <v>1105</v>
      </c>
      <c r="D1416" s="69" t="s">
        <v>25</v>
      </c>
      <c r="E1416" s="129" t="s">
        <v>1465</v>
      </c>
      <c r="F1416" s="129" t="s">
        <v>1465</v>
      </c>
      <c r="G1416" s="129" t="s">
        <v>1465</v>
      </c>
      <c r="H1416" s="129" t="s">
        <v>1465</v>
      </c>
      <c r="I1416" s="71">
        <v>0.9</v>
      </c>
      <c r="J1416" s="72">
        <v>0</v>
      </c>
      <c r="K1416" s="72">
        <v>0</v>
      </c>
      <c r="L1416" s="73">
        <v>0</v>
      </c>
      <c r="M1416" s="72">
        <v>0</v>
      </c>
      <c r="N1416" s="74">
        <v>0.9</v>
      </c>
      <c r="O1416" s="72">
        <v>0</v>
      </c>
      <c r="P1416" s="72">
        <v>0</v>
      </c>
      <c r="Q1416" s="72">
        <v>0</v>
      </c>
      <c r="R1416" s="72">
        <v>0</v>
      </c>
      <c r="S1416" s="74">
        <v>0.9</v>
      </c>
      <c r="T1416" s="72">
        <v>0</v>
      </c>
      <c r="U1416" s="72">
        <v>0</v>
      </c>
      <c r="V1416" s="72">
        <v>0</v>
      </c>
      <c r="W1416" s="72">
        <v>0</v>
      </c>
      <c r="X1416" s="74">
        <v>0.92</v>
      </c>
      <c r="Y1416" s="74">
        <v>0</v>
      </c>
      <c r="Z1416" s="74">
        <v>0</v>
      </c>
      <c r="AA1416" s="74">
        <v>0</v>
      </c>
      <c r="AB1416" s="74">
        <v>0</v>
      </c>
      <c r="AC1416" s="74">
        <v>0.92</v>
      </c>
      <c r="AD1416" s="72">
        <v>0.998571428571429</v>
      </c>
      <c r="AE1416" s="72">
        <v>1</v>
      </c>
      <c r="AF1416" s="72">
        <v>0.99919322307382</v>
      </c>
      <c r="AG1416" s="72">
        <v>0.998580088471411</v>
      </c>
      <c r="AH1416" s="74">
        <v>0.92</v>
      </c>
      <c r="AI1416" s="72">
        <v>0</v>
      </c>
      <c r="AJ1416" s="72">
        <v>0</v>
      </c>
      <c r="AK1416" s="72">
        <v>0</v>
      </c>
      <c r="AL1416" s="72">
        <v>0</v>
      </c>
      <c r="AM1416" s="71">
        <v>0.99</v>
      </c>
      <c r="AN1416" s="76">
        <v>1</v>
      </c>
      <c r="AO1416" s="76">
        <v>1</v>
      </c>
      <c r="AP1416" s="76">
        <v>1</v>
      </c>
      <c r="AQ1416" s="76">
        <v>1</v>
      </c>
      <c r="AR1416" s="96">
        <v>0.0721861525408278</v>
      </c>
      <c r="AS1416" s="80">
        <v>0</v>
      </c>
      <c r="AT1416" s="80">
        <v>0</v>
      </c>
      <c r="AU1416" s="80">
        <v>0</v>
      </c>
      <c r="AV1416" s="80">
        <v>0</v>
      </c>
      <c r="AW1416" s="36"/>
      <c r="AX1416" s="34"/>
    </row>
    <row r="1417" ht="14.5" spans="1:50">
      <c r="A1417" s="32"/>
      <c r="B1417" s="36"/>
      <c r="C1417" s="91" t="s">
        <v>1105</v>
      </c>
      <c r="D1417" s="69" t="s">
        <v>25</v>
      </c>
      <c r="E1417" s="129" t="s">
        <v>1466</v>
      </c>
      <c r="F1417" s="129" t="s">
        <v>1466</v>
      </c>
      <c r="G1417" s="129" t="s">
        <v>1466</v>
      </c>
      <c r="H1417" s="129" t="s">
        <v>1466</v>
      </c>
      <c r="I1417" s="71">
        <v>0.9</v>
      </c>
      <c r="J1417" s="72">
        <v>0.849056603773585</v>
      </c>
      <c r="K1417" s="72">
        <v>0.898305084745763</v>
      </c>
      <c r="L1417" s="73">
        <v>0.923076923076923</v>
      </c>
      <c r="M1417" s="72">
        <v>0.875675675675676</v>
      </c>
      <c r="N1417" s="74">
        <v>0.9</v>
      </c>
      <c r="O1417" s="72">
        <v>0.908677232072807</v>
      </c>
      <c r="P1417" s="72">
        <v>0.983837330552659</v>
      </c>
      <c r="Q1417" s="72">
        <v>0.94310759711241</v>
      </c>
      <c r="R1417" s="72">
        <v>0.93590294782885</v>
      </c>
      <c r="S1417" s="74">
        <v>0.9</v>
      </c>
      <c r="T1417" s="72">
        <v>0.818923583869449</v>
      </c>
      <c r="U1417" s="72">
        <v>0.919881821341675</v>
      </c>
      <c r="V1417" s="72">
        <v>0.932622894465452</v>
      </c>
      <c r="W1417" s="72">
        <v>0.882199001813186</v>
      </c>
      <c r="X1417" s="74">
        <v>0.92</v>
      </c>
      <c r="Y1417" s="74">
        <v>0.880375293197811</v>
      </c>
      <c r="Z1417" s="74">
        <v>0.947647951441578</v>
      </c>
      <c r="AA1417" s="74">
        <v>0.94215530903328</v>
      </c>
      <c r="AB1417" s="74">
        <v>0.92984673724127</v>
      </c>
      <c r="AC1417" s="74">
        <v>0.92</v>
      </c>
      <c r="AD1417" s="72">
        <v>0.999058178860396</v>
      </c>
      <c r="AE1417" s="72">
        <v>0.973605837242201</v>
      </c>
      <c r="AF1417" s="72">
        <v>0.980040415499699</v>
      </c>
      <c r="AG1417" s="72">
        <v>0.955234353073253</v>
      </c>
      <c r="AH1417" s="74">
        <v>0.92</v>
      </c>
      <c r="AI1417" s="72">
        <v>0.917058516196447</v>
      </c>
      <c r="AJ1417" s="72">
        <v>0.97072963800905</v>
      </c>
      <c r="AK1417" s="72">
        <v>0.97655698347691</v>
      </c>
      <c r="AL1417" s="72">
        <v>0.960963003264418</v>
      </c>
      <c r="AM1417" s="71">
        <v>0.99</v>
      </c>
      <c r="AN1417" s="76">
        <v>1</v>
      </c>
      <c r="AO1417" s="76">
        <v>1</v>
      </c>
      <c r="AP1417" s="76">
        <v>1</v>
      </c>
      <c r="AQ1417" s="76">
        <v>1</v>
      </c>
      <c r="AR1417" s="96">
        <v>0.0721861525408278</v>
      </c>
      <c r="AS1417" s="80">
        <v>0.0238095238095238</v>
      </c>
      <c r="AT1417" s="80">
        <v>0.024390243902439</v>
      </c>
      <c r="AU1417" s="80">
        <v>0.0652173913043478</v>
      </c>
      <c r="AV1417" s="80">
        <v>0.0232558139534884</v>
      </c>
      <c r="AW1417" s="36"/>
      <c r="AX1417" s="34"/>
    </row>
    <row r="1418" ht="14.5" spans="1:50">
      <c r="A1418" s="32"/>
      <c r="B1418" s="36"/>
      <c r="C1418" s="91" t="s">
        <v>1105</v>
      </c>
      <c r="D1418" s="69" t="s">
        <v>25</v>
      </c>
      <c r="E1418" s="129" t="s">
        <v>1467</v>
      </c>
      <c r="F1418" s="129" t="s">
        <v>1467</v>
      </c>
      <c r="G1418" s="129" t="s">
        <v>1467</v>
      </c>
      <c r="H1418" s="129" t="s">
        <v>1467</v>
      </c>
      <c r="I1418" s="71">
        <v>0.9</v>
      </c>
      <c r="J1418" s="72">
        <v>0.909090909090909</v>
      </c>
      <c r="K1418" s="72">
        <v>0.962962962962963</v>
      </c>
      <c r="L1418" s="73">
        <v>0.979591836734694</v>
      </c>
      <c r="M1418" s="72">
        <v>0.970387243735763</v>
      </c>
      <c r="N1418" s="74">
        <v>0.9</v>
      </c>
      <c r="O1418" s="72">
        <v>0.983278242271048</v>
      </c>
      <c r="P1418" s="72">
        <v>0.989286479537176</v>
      </c>
      <c r="Q1418" s="72">
        <v>0.975604713665495</v>
      </c>
      <c r="R1418" s="72">
        <v>0.967181467181467</v>
      </c>
      <c r="S1418" s="74">
        <v>0.9</v>
      </c>
      <c r="T1418" s="72">
        <v>0.865448181994945</v>
      </c>
      <c r="U1418" s="72">
        <v>0.94578958645811</v>
      </c>
      <c r="V1418" s="72">
        <v>0.940252222451933</v>
      </c>
      <c r="W1418" s="72">
        <v>0.929571568125785</v>
      </c>
      <c r="X1418" s="74">
        <v>0.92</v>
      </c>
      <c r="Y1418" s="74">
        <v>0.884732052578362</v>
      </c>
      <c r="Z1418" s="74">
        <v>0.925263157894737</v>
      </c>
      <c r="AA1418" s="74">
        <v>0.945606694560669</v>
      </c>
      <c r="AB1418" s="74">
        <v>0.932343954604976</v>
      </c>
      <c r="AC1418" s="74">
        <v>0.92</v>
      </c>
      <c r="AD1418" s="72">
        <v>0.998233335598288</v>
      </c>
      <c r="AE1418" s="72">
        <v>0.837394371974731</v>
      </c>
      <c r="AF1418" s="72">
        <v>0.923203919688981</v>
      </c>
      <c r="AG1418" s="72">
        <v>0.95638776826116</v>
      </c>
      <c r="AH1418" s="74">
        <v>0.92</v>
      </c>
      <c r="AI1418" s="72">
        <v>0.935920430458177</v>
      </c>
      <c r="AJ1418" s="72">
        <v>0.960484158063368</v>
      </c>
      <c r="AK1418" s="72">
        <v>0.971344726393924</v>
      </c>
      <c r="AL1418" s="72">
        <v>0.963443622282713</v>
      </c>
      <c r="AM1418" s="71">
        <v>0.99</v>
      </c>
      <c r="AN1418" s="76">
        <v>1</v>
      </c>
      <c r="AO1418" s="76">
        <v>1</v>
      </c>
      <c r="AP1418" s="76">
        <v>1</v>
      </c>
      <c r="AQ1418" s="76">
        <v>1</v>
      </c>
      <c r="AR1418" s="96">
        <v>0.0721861525408278</v>
      </c>
      <c r="AS1418" s="80">
        <v>0.0377358490566038</v>
      </c>
      <c r="AT1418" s="80">
        <v>0.0576923076923077</v>
      </c>
      <c r="AU1418" s="80">
        <v>0.0476190476190476</v>
      </c>
      <c r="AV1418" s="80">
        <v>0.0533333333333333</v>
      </c>
      <c r="AW1418" s="36"/>
      <c r="AX1418" s="34"/>
    </row>
    <row r="1419" ht="14.5" spans="1:50">
      <c r="A1419" s="32"/>
      <c r="B1419" s="36"/>
      <c r="C1419" s="91" t="s">
        <v>1105</v>
      </c>
      <c r="D1419" s="69" t="s">
        <v>25</v>
      </c>
      <c r="E1419" s="129" t="s">
        <v>1468</v>
      </c>
      <c r="F1419" s="129" t="s">
        <v>1468</v>
      </c>
      <c r="G1419" s="129" t="s">
        <v>1468</v>
      </c>
      <c r="H1419" s="129" t="s">
        <v>1468</v>
      </c>
      <c r="I1419" s="71">
        <v>0.9</v>
      </c>
      <c r="J1419" s="72">
        <v>0.909090909090909</v>
      </c>
      <c r="K1419" s="72">
        <v>0.904761904761905</v>
      </c>
      <c r="L1419" s="73">
        <v>0.953846153846154</v>
      </c>
      <c r="M1419" s="72">
        <v>0.928702010968921</v>
      </c>
      <c r="N1419" s="74">
        <v>0.9</v>
      </c>
      <c r="O1419" s="72">
        <v>0.90932594644506</v>
      </c>
      <c r="P1419" s="72">
        <v>0.948651348651349</v>
      </c>
      <c r="Q1419" s="72">
        <v>0.969138198757764</v>
      </c>
      <c r="R1419" s="72">
        <v>0.894427528054</v>
      </c>
      <c r="S1419" s="74">
        <v>0.9</v>
      </c>
      <c r="T1419" s="72">
        <v>0.867774699907664</v>
      </c>
      <c r="U1419" s="72">
        <v>0.913886113886114</v>
      </c>
      <c r="V1419" s="72">
        <v>0.922360248447205</v>
      </c>
      <c r="W1419" s="72">
        <v>0.879692523901795</v>
      </c>
      <c r="X1419" s="74">
        <v>0.92</v>
      </c>
      <c r="Y1419" s="74">
        <v>0.811428571428571</v>
      </c>
      <c r="Z1419" s="74">
        <v>0.90625</v>
      </c>
      <c r="AA1419" s="74">
        <v>0.92670598146588</v>
      </c>
      <c r="AB1419" s="74">
        <v>0.90584662110858</v>
      </c>
      <c r="AC1419" s="74">
        <v>0.92</v>
      </c>
      <c r="AD1419" s="72">
        <v>0.993955291970803</v>
      </c>
      <c r="AE1419" s="72">
        <v>0.990759826569052</v>
      </c>
      <c r="AF1419" s="72">
        <v>0.993560637331792</v>
      </c>
      <c r="AG1419" s="72">
        <v>0.96346303575837</v>
      </c>
      <c r="AH1419" s="74">
        <v>0.92</v>
      </c>
      <c r="AI1419" s="72">
        <v>0.930394431554524</v>
      </c>
      <c r="AJ1419" s="72">
        <v>0.967988057721015</v>
      </c>
      <c r="AK1419" s="72">
        <v>0.970815586054583</v>
      </c>
      <c r="AL1419" s="72">
        <v>0.960035477643867</v>
      </c>
      <c r="AM1419" s="71">
        <v>0.99</v>
      </c>
      <c r="AN1419" s="76">
        <v>1</v>
      </c>
      <c r="AO1419" s="76">
        <v>1</v>
      </c>
      <c r="AP1419" s="76">
        <v>1</v>
      </c>
      <c r="AQ1419" s="76">
        <v>1</v>
      </c>
      <c r="AR1419" s="96">
        <v>0.0721861525408278</v>
      </c>
      <c r="AS1419" s="80">
        <v>0.0434782608695652</v>
      </c>
      <c r="AT1419" s="80">
        <v>0.0434782608695652</v>
      </c>
      <c r="AU1419" s="80">
        <v>0.0384615384615385</v>
      </c>
      <c r="AV1419" s="80">
        <v>0.0570175438596491</v>
      </c>
      <c r="AW1419" s="36"/>
      <c r="AX1419" s="34"/>
    </row>
    <row r="1420" ht="14.5" spans="1:50">
      <c r="A1420" s="32"/>
      <c r="B1420" s="36"/>
      <c r="C1420" s="91" t="s">
        <v>1105</v>
      </c>
      <c r="D1420" s="69" t="s">
        <v>25</v>
      </c>
      <c r="E1420" s="129" t="s">
        <v>1469</v>
      </c>
      <c r="F1420" s="129" t="s">
        <v>1469</v>
      </c>
      <c r="G1420" s="129" t="s">
        <v>1469</v>
      </c>
      <c r="H1420" s="129" t="s">
        <v>1469</v>
      </c>
      <c r="I1420" s="71">
        <v>0.9</v>
      </c>
      <c r="J1420" s="72">
        <v>0.9375</v>
      </c>
      <c r="K1420" s="72">
        <v>0.966101694915254</v>
      </c>
      <c r="L1420" s="73">
        <v>0.945454545454545</v>
      </c>
      <c r="M1420" s="72">
        <v>0.940828402366864</v>
      </c>
      <c r="N1420" s="74">
        <v>0.9</v>
      </c>
      <c r="O1420" s="72">
        <v>0.81044912923923</v>
      </c>
      <c r="P1420" s="72">
        <v>0.971843003412969</v>
      </c>
      <c r="Q1420" s="72">
        <v>0.883637807783956</v>
      </c>
      <c r="R1420" s="72">
        <v>0.898248337028825</v>
      </c>
      <c r="S1420" s="74">
        <v>0.9</v>
      </c>
      <c r="T1420" s="72">
        <v>0.860861594867094</v>
      </c>
      <c r="U1420" s="72">
        <v>0.939633105802048</v>
      </c>
      <c r="V1420" s="72">
        <v>0.909849086576648</v>
      </c>
      <c r="W1420" s="72">
        <v>0.918048780487805</v>
      </c>
      <c r="X1420" s="74">
        <v>0.92</v>
      </c>
      <c r="Y1420" s="74">
        <v>0.907363420427553</v>
      </c>
      <c r="Z1420" s="74">
        <v>0.899012074643249</v>
      </c>
      <c r="AA1420" s="74">
        <v>0.925454545454545</v>
      </c>
      <c r="AB1420" s="74">
        <v>0.917856403889923</v>
      </c>
      <c r="AC1420" s="74">
        <v>0.92</v>
      </c>
      <c r="AD1420" s="72">
        <v>0.970642004516615</v>
      </c>
      <c r="AE1420" s="72">
        <v>0.98099794033619</v>
      </c>
      <c r="AF1420" s="72">
        <v>0.98052662224235</v>
      </c>
      <c r="AG1420" s="72">
        <v>0.970626514850405</v>
      </c>
      <c r="AH1420" s="74">
        <v>0.92</v>
      </c>
      <c r="AI1420" s="72">
        <v>0.943147530570113</v>
      </c>
      <c r="AJ1420" s="72">
        <v>0.962671905697446</v>
      </c>
      <c r="AK1420" s="72">
        <v>0.963174189343327</v>
      </c>
      <c r="AL1420" s="72">
        <v>0.963575614832667</v>
      </c>
      <c r="AM1420" s="71">
        <v>0.99</v>
      </c>
      <c r="AN1420" s="76">
        <v>1</v>
      </c>
      <c r="AO1420" s="76">
        <v>1</v>
      </c>
      <c r="AP1420" s="76">
        <v>1</v>
      </c>
      <c r="AQ1420" s="76">
        <v>1</v>
      </c>
      <c r="AR1420" s="96">
        <v>0.0721861525408278</v>
      </c>
      <c r="AS1420" s="80">
        <v>0.111111111111111</v>
      </c>
      <c r="AT1420" s="80">
        <v>0.0833333333333333</v>
      </c>
      <c r="AU1420" s="80">
        <v>0.0277777777777778</v>
      </c>
      <c r="AV1420" s="80">
        <v>0.0416666666666667</v>
      </c>
      <c r="AW1420" s="36"/>
      <c r="AX1420" s="34"/>
    </row>
    <row r="1421" ht="14.5" spans="1:50">
      <c r="A1421" s="32"/>
      <c r="B1421" s="36"/>
      <c r="C1421" s="91" t="s">
        <v>1105</v>
      </c>
      <c r="D1421" s="69" t="s">
        <v>25</v>
      </c>
      <c r="E1421" s="129" t="s">
        <v>1470</v>
      </c>
      <c r="F1421" s="129" t="s">
        <v>1470</v>
      </c>
      <c r="G1421" s="129" t="s">
        <v>1470</v>
      </c>
      <c r="H1421" s="129" t="s">
        <v>1470</v>
      </c>
      <c r="I1421" s="71">
        <v>0.9</v>
      </c>
      <c r="J1421" s="72">
        <v>0.893617021276596</v>
      </c>
      <c r="K1421" s="72">
        <v>0.943396226415094</v>
      </c>
      <c r="L1421" s="73">
        <v>0.961538461538462</v>
      </c>
      <c r="M1421" s="72">
        <v>0.945492662473795</v>
      </c>
      <c r="N1421" s="74">
        <v>0.9</v>
      </c>
      <c r="O1421" s="72">
        <v>0.923520615253151</v>
      </c>
      <c r="P1421" s="72">
        <v>0.986521031838252</v>
      </c>
      <c r="Q1421" s="72">
        <v>0.983943916779738</v>
      </c>
      <c r="R1421" s="72">
        <v>0.97152462430066</v>
      </c>
      <c r="S1421" s="74">
        <v>0.9</v>
      </c>
      <c r="T1421" s="72">
        <v>0.89318521683401</v>
      </c>
      <c r="U1421" s="72">
        <v>0.942598187311178</v>
      </c>
      <c r="V1421" s="72">
        <v>0.942786069651741</v>
      </c>
      <c r="W1421" s="72">
        <v>0.936877493163401</v>
      </c>
      <c r="X1421" s="74">
        <v>0.92</v>
      </c>
      <c r="Y1421" s="74">
        <v>0.797765363128492</v>
      </c>
      <c r="Z1421" s="74">
        <v>0.873765093304061</v>
      </c>
      <c r="AA1421" s="74">
        <v>0.913294797687861</v>
      </c>
      <c r="AB1421" s="74">
        <v>0.893934142114385</v>
      </c>
      <c r="AC1421" s="74">
        <v>0.92</v>
      </c>
      <c r="AD1421" s="72">
        <v>0.999322296446897</v>
      </c>
      <c r="AE1421" s="72">
        <v>0.987969504091768</v>
      </c>
      <c r="AF1421" s="72">
        <v>0.989413753224802</v>
      </c>
      <c r="AG1421" s="72">
        <v>0.982514678875352</v>
      </c>
      <c r="AH1421" s="74">
        <v>0.92</v>
      </c>
      <c r="AI1421" s="72">
        <v>0.910329985652798</v>
      </c>
      <c r="AJ1421" s="72">
        <v>0.94994246260069</v>
      </c>
      <c r="AK1421" s="72">
        <v>0.966332513712881</v>
      </c>
      <c r="AL1421" s="72">
        <v>0.955972379676389</v>
      </c>
      <c r="AM1421" s="71">
        <v>0.99</v>
      </c>
      <c r="AN1421" s="76">
        <v>1</v>
      </c>
      <c r="AO1421" s="76">
        <v>1</v>
      </c>
      <c r="AP1421" s="76">
        <v>1</v>
      </c>
      <c r="AQ1421" s="76">
        <v>1</v>
      </c>
      <c r="AR1421" s="96">
        <v>0.0721861525408278</v>
      </c>
      <c r="AS1421" s="80">
        <v>0.0512820512820513</v>
      </c>
      <c r="AT1421" s="80">
        <v>0.0512820512820513</v>
      </c>
      <c r="AU1421" s="80">
        <v>0</v>
      </c>
      <c r="AV1421" s="80">
        <v>0.0438871473354232</v>
      </c>
      <c r="AW1421" s="36"/>
      <c r="AX1421" s="34"/>
    </row>
    <row r="1422" ht="14.5" spans="1:50">
      <c r="A1422" s="32"/>
      <c r="B1422" s="36"/>
      <c r="C1422" s="91" t="s">
        <v>1105</v>
      </c>
      <c r="D1422" s="69" t="s">
        <v>25</v>
      </c>
      <c r="E1422" s="129" t="s">
        <v>1471</v>
      </c>
      <c r="F1422" s="129" t="s">
        <v>1471</v>
      </c>
      <c r="G1422" s="129" t="s">
        <v>1471</v>
      </c>
      <c r="H1422" s="129" t="s">
        <v>1471</v>
      </c>
      <c r="I1422" s="71">
        <v>0.9</v>
      </c>
      <c r="J1422" s="72">
        <v>0</v>
      </c>
      <c r="K1422" s="72">
        <v>0</v>
      </c>
      <c r="L1422" s="73">
        <v>0</v>
      </c>
      <c r="M1422" s="72">
        <v>0</v>
      </c>
      <c r="N1422" s="74">
        <v>0.9</v>
      </c>
      <c r="O1422" s="72">
        <v>0</v>
      </c>
      <c r="P1422" s="72">
        <v>0</v>
      </c>
      <c r="Q1422" s="72">
        <v>0</v>
      </c>
      <c r="R1422" s="72">
        <v>0</v>
      </c>
      <c r="S1422" s="74">
        <v>0.9</v>
      </c>
      <c r="T1422" s="72">
        <v>0</v>
      </c>
      <c r="U1422" s="72">
        <v>0</v>
      </c>
      <c r="V1422" s="72">
        <v>0</v>
      </c>
      <c r="W1422" s="72">
        <v>0</v>
      </c>
      <c r="X1422" s="74">
        <v>0.92</v>
      </c>
      <c r="Y1422" s="74">
        <v>0</v>
      </c>
      <c r="Z1422" s="74">
        <v>0</v>
      </c>
      <c r="AA1422" s="74">
        <v>0</v>
      </c>
      <c r="AB1422" s="74">
        <v>0</v>
      </c>
      <c r="AC1422" s="74">
        <v>0.92</v>
      </c>
      <c r="AD1422" s="72">
        <v>0</v>
      </c>
      <c r="AE1422" s="72">
        <v>0</v>
      </c>
      <c r="AF1422" s="72">
        <v>0</v>
      </c>
      <c r="AG1422" s="72">
        <v>0</v>
      </c>
      <c r="AH1422" s="74">
        <v>0.92</v>
      </c>
      <c r="AI1422" s="72">
        <v>0</v>
      </c>
      <c r="AJ1422" s="72">
        <v>0</v>
      </c>
      <c r="AK1422" s="72">
        <v>0</v>
      </c>
      <c r="AL1422" s="72">
        <v>0</v>
      </c>
      <c r="AM1422" s="71">
        <v>0.99</v>
      </c>
      <c r="AN1422" s="76">
        <v>0</v>
      </c>
      <c r="AO1422" s="76">
        <v>0</v>
      </c>
      <c r="AP1422" s="76">
        <v>0</v>
      </c>
      <c r="AQ1422" s="76">
        <v>0</v>
      </c>
      <c r="AR1422" s="96">
        <v>0.0721861525408278</v>
      </c>
      <c r="AS1422" s="80">
        <v>0</v>
      </c>
      <c r="AT1422" s="80">
        <v>0</v>
      </c>
      <c r="AU1422" s="80">
        <v>0</v>
      </c>
      <c r="AV1422" s="80">
        <v>0</v>
      </c>
      <c r="AW1422" s="36"/>
      <c r="AX1422" s="34"/>
    </row>
    <row r="1423" ht="14.5" spans="1:50">
      <c r="A1423" s="32"/>
      <c r="B1423" s="36"/>
      <c r="C1423" s="91" t="s">
        <v>1105</v>
      </c>
      <c r="D1423" s="69" t="s">
        <v>25</v>
      </c>
      <c r="E1423" s="129" t="s">
        <v>1472</v>
      </c>
      <c r="F1423" s="129" t="s">
        <v>1472</v>
      </c>
      <c r="G1423" s="129" t="s">
        <v>1472</v>
      </c>
      <c r="H1423" s="129" t="s">
        <v>1472</v>
      </c>
      <c r="I1423" s="71">
        <v>0.9</v>
      </c>
      <c r="J1423" s="72">
        <v>0</v>
      </c>
      <c r="K1423" s="72">
        <v>0</v>
      </c>
      <c r="L1423" s="73">
        <v>0</v>
      </c>
      <c r="M1423" s="72">
        <v>0</v>
      </c>
      <c r="N1423" s="74">
        <v>0.9</v>
      </c>
      <c r="O1423" s="72">
        <v>0</v>
      </c>
      <c r="P1423" s="72">
        <v>0</v>
      </c>
      <c r="Q1423" s="72">
        <v>0</v>
      </c>
      <c r="R1423" s="72">
        <v>0</v>
      </c>
      <c r="S1423" s="74">
        <v>0.9</v>
      </c>
      <c r="T1423" s="72">
        <v>0</v>
      </c>
      <c r="U1423" s="72">
        <v>0</v>
      </c>
      <c r="V1423" s="72">
        <v>0</v>
      </c>
      <c r="W1423" s="72">
        <v>0</v>
      </c>
      <c r="X1423" s="74">
        <v>0.92</v>
      </c>
      <c r="Y1423" s="74">
        <v>0</v>
      </c>
      <c r="Z1423" s="74">
        <v>0</v>
      </c>
      <c r="AA1423" s="74">
        <v>0</v>
      </c>
      <c r="AB1423" s="74">
        <v>0</v>
      </c>
      <c r="AC1423" s="74">
        <v>0.92</v>
      </c>
      <c r="AD1423" s="72">
        <v>0</v>
      </c>
      <c r="AE1423" s="72">
        <v>0</v>
      </c>
      <c r="AF1423" s="72">
        <v>0</v>
      </c>
      <c r="AG1423" s="72">
        <v>0</v>
      </c>
      <c r="AH1423" s="74">
        <v>0.92</v>
      </c>
      <c r="AI1423" s="72">
        <v>0</v>
      </c>
      <c r="AJ1423" s="72">
        <v>0</v>
      </c>
      <c r="AK1423" s="72">
        <v>0</v>
      </c>
      <c r="AL1423" s="72">
        <v>0</v>
      </c>
      <c r="AM1423" s="71">
        <v>0.99</v>
      </c>
      <c r="AN1423" s="76">
        <v>0</v>
      </c>
      <c r="AO1423" s="76">
        <v>0</v>
      </c>
      <c r="AP1423" s="76">
        <v>0</v>
      </c>
      <c r="AQ1423" s="76">
        <v>0</v>
      </c>
      <c r="AR1423" s="96">
        <v>0.0721861525408278</v>
      </c>
      <c r="AS1423" s="80">
        <v>0</v>
      </c>
      <c r="AT1423" s="80">
        <v>0</v>
      </c>
      <c r="AU1423" s="80">
        <v>0</v>
      </c>
      <c r="AV1423" s="80">
        <v>0</v>
      </c>
      <c r="AW1423" s="36"/>
      <c r="AX1423" s="34"/>
    </row>
    <row r="1424" ht="14.5" spans="1:50">
      <c r="A1424" s="32"/>
      <c r="B1424" s="36"/>
      <c r="C1424" s="110"/>
      <c r="D1424" s="111"/>
      <c r="E1424" s="111"/>
      <c r="F1424" s="84"/>
      <c r="G1424" s="84"/>
      <c r="H1424" s="111"/>
      <c r="I1424" s="112"/>
      <c r="J1424" s="133"/>
      <c r="K1424" s="133"/>
      <c r="L1424" s="133"/>
      <c r="M1424" s="133"/>
      <c r="N1424" s="89"/>
      <c r="O1424" s="113"/>
      <c r="P1424" s="113"/>
      <c r="Q1424" s="72"/>
      <c r="R1424" s="113"/>
      <c r="S1424" s="89"/>
      <c r="T1424" s="113"/>
      <c r="U1424" s="113"/>
      <c r="V1424" s="72"/>
      <c r="W1424" s="113"/>
      <c r="X1424" s="89"/>
      <c r="Y1424" s="89"/>
      <c r="Z1424" s="89"/>
      <c r="AA1424" s="74"/>
      <c r="AB1424" s="89"/>
      <c r="AC1424" s="113"/>
      <c r="AD1424" s="113"/>
      <c r="AE1424" s="113"/>
      <c r="AF1424" s="72"/>
      <c r="AG1424" s="113"/>
      <c r="AH1424" s="113"/>
      <c r="AI1424" s="113"/>
      <c r="AJ1424" s="113"/>
      <c r="AK1424" s="72"/>
      <c r="AL1424" s="113"/>
      <c r="AM1424" s="112"/>
      <c r="AN1424" s="112"/>
      <c r="AO1424" s="112"/>
      <c r="AP1424" s="76"/>
      <c r="AQ1424" s="112"/>
      <c r="AR1424" s="113"/>
      <c r="AS1424" s="112"/>
      <c r="AT1424" s="112"/>
      <c r="AU1424" s="80"/>
      <c r="AV1424" s="112"/>
      <c r="AW1424" s="36"/>
      <c r="AX1424" s="34"/>
    </row>
    <row r="1425" ht="14.5" spans="1:50">
      <c r="A1425" s="32"/>
      <c r="B1425" s="36"/>
      <c r="C1425" s="91" t="s">
        <v>1473</v>
      </c>
      <c r="D1425" s="69" t="s">
        <v>27</v>
      </c>
      <c r="E1425" s="134" t="s">
        <v>1474</v>
      </c>
      <c r="F1425" s="134" t="s">
        <v>1474</v>
      </c>
      <c r="G1425" s="134" t="s">
        <v>1474</v>
      </c>
      <c r="H1425" s="134" t="s">
        <v>1474</v>
      </c>
      <c r="I1425" s="71">
        <v>0.9</v>
      </c>
      <c r="J1425" s="72">
        <v>0</v>
      </c>
      <c r="K1425" s="72">
        <v>0</v>
      </c>
      <c r="L1425" s="73">
        <v>0</v>
      </c>
      <c r="M1425" s="72">
        <v>0</v>
      </c>
      <c r="N1425" s="74">
        <v>0.9</v>
      </c>
      <c r="O1425" s="72">
        <v>0</v>
      </c>
      <c r="P1425" s="72">
        <v>0</v>
      </c>
      <c r="Q1425" s="72">
        <v>0</v>
      </c>
      <c r="R1425" s="72">
        <v>0</v>
      </c>
      <c r="S1425" s="74">
        <v>0.9</v>
      </c>
      <c r="T1425" s="72">
        <v>0</v>
      </c>
      <c r="U1425" s="72">
        <v>0</v>
      </c>
      <c r="V1425" s="72">
        <v>0.666666666666667</v>
      </c>
      <c r="W1425" s="72">
        <v>0.833333333333333</v>
      </c>
      <c r="X1425" s="74">
        <v>0.92</v>
      </c>
      <c r="Y1425" s="74">
        <v>0</v>
      </c>
      <c r="Z1425" s="74">
        <v>0</v>
      </c>
      <c r="AA1425" s="74">
        <v>0</v>
      </c>
      <c r="AB1425" s="74">
        <v>0</v>
      </c>
      <c r="AC1425" s="74">
        <v>0.92</v>
      </c>
      <c r="AD1425" s="72">
        <v>0.997109826589595</v>
      </c>
      <c r="AE1425" s="72">
        <v>0.977572559366755</v>
      </c>
      <c r="AF1425" s="72">
        <v>0.995428571428571</v>
      </c>
      <c r="AG1425" s="72">
        <v>0.990709459459459</v>
      </c>
      <c r="AH1425" s="74">
        <v>0.92</v>
      </c>
      <c r="AI1425" s="72">
        <v>0</v>
      </c>
      <c r="AJ1425" s="72">
        <v>0</v>
      </c>
      <c r="AK1425" s="72">
        <v>0.666666666666667</v>
      </c>
      <c r="AL1425" s="72">
        <v>0.875</v>
      </c>
      <c r="AM1425" s="71">
        <v>0.99</v>
      </c>
      <c r="AN1425" s="76">
        <v>1</v>
      </c>
      <c r="AO1425" s="76">
        <v>1</v>
      </c>
      <c r="AP1425" s="76">
        <v>1</v>
      </c>
      <c r="AQ1425" s="76">
        <v>1</v>
      </c>
      <c r="AR1425" s="96">
        <v>0.110069253262963</v>
      </c>
      <c r="AS1425" s="80">
        <v>0</v>
      </c>
      <c r="AT1425" s="80">
        <v>0</v>
      </c>
      <c r="AU1425" s="80">
        <v>0</v>
      </c>
      <c r="AV1425" s="80">
        <v>0</v>
      </c>
      <c r="AW1425" s="36"/>
      <c r="AX1425" s="34"/>
    </row>
    <row r="1426" ht="14.5" spans="1:50">
      <c r="A1426" s="32"/>
      <c r="B1426" s="36"/>
      <c r="C1426" s="91" t="s">
        <v>1473</v>
      </c>
      <c r="D1426" s="69" t="s">
        <v>27</v>
      </c>
      <c r="E1426" s="135" t="s">
        <v>1475</v>
      </c>
      <c r="F1426" s="135" t="s">
        <v>1475</v>
      </c>
      <c r="G1426" s="135" t="s">
        <v>1475</v>
      </c>
      <c r="H1426" s="135" t="s">
        <v>1475</v>
      </c>
      <c r="I1426" s="71">
        <v>0.9</v>
      </c>
      <c r="J1426" s="72">
        <v>0</v>
      </c>
      <c r="K1426" s="72">
        <v>0</v>
      </c>
      <c r="L1426" s="73">
        <v>0</v>
      </c>
      <c r="M1426" s="72">
        <v>0</v>
      </c>
      <c r="N1426" s="74">
        <v>0.9</v>
      </c>
      <c r="O1426" s="72">
        <v>0</v>
      </c>
      <c r="P1426" s="72">
        <v>0</v>
      </c>
      <c r="Q1426" s="72">
        <v>0</v>
      </c>
      <c r="R1426" s="72">
        <v>0</v>
      </c>
      <c r="S1426" s="74">
        <v>0.9</v>
      </c>
      <c r="T1426" s="72">
        <v>0</v>
      </c>
      <c r="U1426" s="72">
        <v>0</v>
      </c>
      <c r="V1426" s="72">
        <v>0</v>
      </c>
      <c r="W1426" s="72">
        <v>0</v>
      </c>
      <c r="X1426" s="74">
        <v>0.92</v>
      </c>
      <c r="Y1426" s="74">
        <v>0</v>
      </c>
      <c r="Z1426" s="74">
        <v>0</v>
      </c>
      <c r="AA1426" s="74">
        <v>0</v>
      </c>
      <c r="AB1426" s="74">
        <v>0</v>
      </c>
      <c r="AC1426" s="74">
        <v>0.92</v>
      </c>
      <c r="AD1426" s="72">
        <v>0.930434782608696</v>
      </c>
      <c r="AE1426" s="72">
        <v>0.94</v>
      </c>
      <c r="AF1426" s="72">
        <v>0.994285714285714</v>
      </c>
      <c r="AG1426" s="72">
        <v>0.983532934131736</v>
      </c>
      <c r="AH1426" s="74">
        <v>0.92</v>
      </c>
      <c r="AI1426" s="72">
        <v>0</v>
      </c>
      <c r="AJ1426" s="72">
        <v>0</v>
      </c>
      <c r="AK1426" s="72">
        <v>0</v>
      </c>
      <c r="AL1426" s="72">
        <v>0</v>
      </c>
      <c r="AM1426" s="71">
        <v>0.99</v>
      </c>
      <c r="AN1426" s="76">
        <v>0</v>
      </c>
      <c r="AO1426" s="76">
        <v>0</v>
      </c>
      <c r="AP1426" s="76">
        <v>0</v>
      </c>
      <c r="AQ1426" s="76">
        <v>0</v>
      </c>
      <c r="AR1426" s="96">
        <v>0.110069253262963</v>
      </c>
      <c r="AS1426" s="80">
        <v>0</v>
      </c>
      <c r="AT1426" s="80">
        <v>0</v>
      </c>
      <c r="AU1426" s="80">
        <v>0</v>
      </c>
      <c r="AV1426" s="80">
        <v>0</v>
      </c>
      <c r="AW1426" s="36"/>
      <c r="AX1426" s="34"/>
    </row>
    <row r="1427" ht="14.5" spans="1:50">
      <c r="A1427" s="32"/>
      <c r="B1427" s="36"/>
      <c r="C1427" s="91" t="s">
        <v>1473</v>
      </c>
      <c r="D1427" s="69" t="s">
        <v>27</v>
      </c>
      <c r="E1427" s="134" t="s">
        <v>1476</v>
      </c>
      <c r="F1427" s="134" t="s">
        <v>1476</v>
      </c>
      <c r="G1427" s="134" t="s">
        <v>1476</v>
      </c>
      <c r="H1427" s="134" t="s">
        <v>1476</v>
      </c>
      <c r="I1427" s="71">
        <v>0.9</v>
      </c>
      <c r="J1427" s="72">
        <v>0</v>
      </c>
      <c r="K1427" s="72">
        <v>0</v>
      </c>
      <c r="L1427" s="73">
        <v>0</v>
      </c>
      <c r="M1427" s="72">
        <v>0</v>
      </c>
      <c r="N1427" s="74">
        <v>0.9</v>
      </c>
      <c r="O1427" s="72">
        <v>0</v>
      </c>
      <c r="P1427" s="72">
        <v>0</v>
      </c>
      <c r="Q1427" s="72">
        <v>0</v>
      </c>
      <c r="R1427" s="72">
        <v>0</v>
      </c>
      <c r="S1427" s="74">
        <v>0.9</v>
      </c>
      <c r="T1427" s="72">
        <v>0</v>
      </c>
      <c r="U1427" s="72">
        <v>0</v>
      </c>
      <c r="V1427" s="72">
        <v>0</v>
      </c>
      <c r="W1427" s="72">
        <v>0</v>
      </c>
      <c r="X1427" s="74">
        <v>0.92</v>
      </c>
      <c r="Y1427" s="74">
        <v>0</v>
      </c>
      <c r="Z1427" s="74">
        <v>0</v>
      </c>
      <c r="AA1427" s="74">
        <v>0</v>
      </c>
      <c r="AB1427" s="74">
        <v>0</v>
      </c>
      <c r="AC1427" s="74">
        <v>0.92</v>
      </c>
      <c r="AD1427" s="72">
        <v>0.952380952380952</v>
      </c>
      <c r="AE1427" s="72">
        <v>0.975</v>
      </c>
      <c r="AF1427" s="72">
        <v>0.992592592592593</v>
      </c>
      <c r="AG1427" s="72">
        <v>0.987060998151571</v>
      </c>
      <c r="AH1427" s="74">
        <v>0.92</v>
      </c>
      <c r="AI1427" s="72">
        <v>0</v>
      </c>
      <c r="AJ1427" s="72">
        <v>0</v>
      </c>
      <c r="AK1427" s="72">
        <v>0</v>
      </c>
      <c r="AL1427" s="72">
        <v>0</v>
      </c>
      <c r="AM1427" s="71">
        <v>0.99</v>
      </c>
      <c r="AN1427" s="76">
        <v>0</v>
      </c>
      <c r="AO1427" s="76">
        <v>0</v>
      </c>
      <c r="AP1427" s="76">
        <v>1</v>
      </c>
      <c r="AQ1427" s="76">
        <v>1</v>
      </c>
      <c r="AR1427" s="96">
        <v>0.110069253262963</v>
      </c>
      <c r="AS1427" s="80">
        <v>0</v>
      </c>
      <c r="AT1427" s="80">
        <v>0</v>
      </c>
      <c r="AU1427" s="80">
        <v>0</v>
      </c>
      <c r="AV1427" s="80">
        <v>0</v>
      </c>
      <c r="AW1427" s="36"/>
      <c r="AX1427" s="34"/>
    </row>
    <row r="1428" ht="14.5" spans="1:50">
      <c r="A1428" s="32"/>
      <c r="B1428" s="36"/>
      <c r="C1428" s="91" t="s">
        <v>1473</v>
      </c>
      <c r="D1428" s="69" t="s">
        <v>27</v>
      </c>
      <c r="E1428" s="135" t="s">
        <v>1477</v>
      </c>
      <c r="F1428" s="135" t="s">
        <v>1477</v>
      </c>
      <c r="G1428" s="135" t="s">
        <v>1477</v>
      </c>
      <c r="H1428" s="135" t="s">
        <v>1477</v>
      </c>
      <c r="I1428" s="71">
        <v>0.9</v>
      </c>
      <c r="J1428" s="72">
        <v>0</v>
      </c>
      <c r="K1428" s="72">
        <v>0</v>
      </c>
      <c r="L1428" s="73">
        <v>0</v>
      </c>
      <c r="M1428" s="72">
        <v>0</v>
      </c>
      <c r="N1428" s="74">
        <v>0.9</v>
      </c>
      <c r="O1428" s="72">
        <v>0</v>
      </c>
      <c r="P1428" s="72">
        <v>0</v>
      </c>
      <c r="Q1428" s="72">
        <v>0</v>
      </c>
      <c r="R1428" s="72">
        <v>0</v>
      </c>
      <c r="S1428" s="74">
        <v>0.9</v>
      </c>
      <c r="T1428" s="72">
        <v>1</v>
      </c>
      <c r="U1428" s="72">
        <v>1</v>
      </c>
      <c r="V1428" s="72">
        <v>1</v>
      </c>
      <c r="W1428" s="72">
        <v>1</v>
      </c>
      <c r="X1428" s="74">
        <v>0.92</v>
      </c>
      <c r="Y1428" s="74">
        <v>0</v>
      </c>
      <c r="Z1428" s="74">
        <v>0</v>
      </c>
      <c r="AA1428" s="74">
        <v>1</v>
      </c>
      <c r="AB1428" s="74">
        <v>1</v>
      </c>
      <c r="AC1428" s="74">
        <v>0.92</v>
      </c>
      <c r="AD1428" s="72">
        <v>1</v>
      </c>
      <c r="AE1428" s="72">
        <v>0.998431618569636</v>
      </c>
      <c r="AF1428" s="72">
        <v>0.996774193548387</v>
      </c>
      <c r="AG1428" s="72">
        <v>0.996411217327786</v>
      </c>
      <c r="AH1428" s="74">
        <v>0.92</v>
      </c>
      <c r="AI1428" s="72">
        <v>1</v>
      </c>
      <c r="AJ1428" s="72">
        <v>1</v>
      </c>
      <c r="AK1428" s="72">
        <v>1</v>
      </c>
      <c r="AL1428" s="72">
        <v>0.962962962962963</v>
      </c>
      <c r="AM1428" s="71">
        <v>0.99</v>
      </c>
      <c r="AN1428" s="76">
        <v>1</v>
      </c>
      <c r="AO1428" s="76">
        <v>1</v>
      </c>
      <c r="AP1428" s="76">
        <v>1</v>
      </c>
      <c r="AQ1428" s="76">
        <v>1</v>
      </c>
      <c r="AR1428" s="96">
        <v>0.110069253262963</v>
      </c>
      <c r="AS1428" s="80">
        <v>0</v>
      </c>
      <c r="AT1428" s="80">
        <v>0</v>
      </c>
      <c r="AU1428" s="80">
        <v>0</v>
      </c>
      <c r="AV1428" s="80">
        <v>0</v>
      </c>
      <c r="AW1428" s="36"/>
      <c r="AX1428" s="34"/>
    </row>
    <row r="1429" ht="14.5" spans="1:50">
      <c r="A1429" s="32"/>
      <c r="B1429" s="36"/>
      <c r="C1429" s="91" t="s">
        <v>1473</v>
      </c>
      <c r="D1429" s="69" t="s">
        <v>27</v>
      </c>
      <c r="E1429" s="135" t="s">
        <v>1478</v>
      </c>
      <c r="F1429" s="135" t="s">
        <v>1478</v>
      </c>
      <c r="G1429" s="135" t="s">
        <v>1478</v>
      </c>
      <c r="H1429" s="135" t="s">
        <v>1478</v>
      </c>
      <c r="I1429" s="71">
        <v>0.9</v>
      </c>
      <c r="J1429" s="72">
        <v>0</v>
      </c>
      <c r="K1429" s="72">
        <v>0</v>
      </c>
      <c r="L1429" s="73">
        <v>0</v>
      </c>
      <c r="M1429" s="72">
        <v>0</v>
      </c>
      <c r="N1429" s="74">
        <v>0.9</v>
      </c>
      <c r="O1429" s="72">
        <v>0</v>
      </c>
      <c r="P1429" s="72">
        <v>0</v>
      </c>
      <c r="Q1429" s="72">
        <v>0</v>
      </c>
      <c r="R1429" s="72">
        <v>0</v>
      </c>
      <c r="S1429" s="74">
        <v>0.9</v>
      </c>
      <c r="T1429" s="72">
        <v>0</v>
      </c>
      <c r="U1429" s="72">
        <v>0</v>
      </c>
      <c r="V1429" s="72">
        <v>0</v>
      </c>
      <c r="W1429" s="72">
        <v>1</v>
      </c>
      <c r="X1429" s="74">
        <v>0.92</v>
      </c>
      <c r="Y1429" s="74">
        <v>0</v>
      </c>
      <c r="Z1429" s="74">
        <v>0</v>
      </c>
      <c r="AA1429" s="74">
        <v>0</v>
      </c>
      <c r="AB1429" s="74">
        <v>0</v>
      </c>
      <c r="AC1429" s="74">
        <v>0.92</v>
      </c>
      <c r="AD1429" s="72">
        <v>0.966996699669967</v>
      </c>
      <c r="AE1429" s="72">
        <v>0.932270916334661</v>
      </c>
      <c r="AF1429" s="72">
        <v>0.945887445887446</v>
      </c>
      <c r="AG1429" s="72">
        <v>0.970265029088558</v>
      </c>
      <c r="AH1429" s="74">
        <v>0.92</v>
      </c>
      <c r="AI1429" s="72">
        <v>0</v>
      </c>
      <c r="AJ1429" s="72">
        <v>0</v>
      </c>
      <c r="AK1429" s="72">
        <v>0</v>
      </c>
      <c r="AL1429" s="72">
        <v>1</v>
      </c>
      <c r="AM1429" s="71">
        <v>0.99</v>
      </c>
      <c r="AN1429" s="76">
        <v>1</v>
      </c>
      <c r="AO1429" s="76">
        <v>1</v>
      </c>
      <c r="AP1429" s="76">
        <v>1</v>
      </c>
      <c r="AQ1429" s="76">
        <v>1</v>
      </c>
      <c r="AR1429" s="96">
        <v>0.110069253262963</v>
      </c>
      <c r="AS1429" s="80">
        <v>0</v>
      </c>
      <c r="AT1429" s="80">
        <v>0</v>
      </c>
      <c r="AU1429" s="80">
        <v>0</v>
      </c>
      <c r="AV1429" s="80">
        <v>0</v>
      </c>
      <c r="AW1429" s="36"/>
      <c r="AX1429" s="34"/>
    </row>
    <row r="1430" ht="14.5" spans="1:50">
      <c r="A1430" s="32"/>
      <c r="B1430" s="36"/>
      <c r="C1430" s="91" t="s">
        <v>1473</v>
      </c>
      <c r="D1430" s="69" t="s">
        <v>27</v>
      </c>
      <c r="E1430" s="135" t="s">
        <v>1479</v>
      </c>
      <c r="F1430" s="135" t="s">
        <v>1479</v>
      </c>
      <c r="G1430" s="135" t="s">
        <v>1479</v>
      </c>
      <c r="H1430" s="135" t="s">
        <v>1479</v>
      </c>
      <c r="I1430" s="71">
        <v>0.9</v>
      </c>
      <c r="J1430" s="72">
        <v>0</v>
      </c>
      <c r="K1430" s="72">
        <v>0</v>
      </c>
      <c r="L1430" s="73">
        <v>0</v>
      </c>
      <c r="M1430" s="72">
        <v>0</v>
      </c>
      <c r="N1430" s="74">
        <v>0.9</v>
      </c>
      <c r="O1430" s="72">
        <v>0</v>
      </c>
      <c r="P1430" s="72">
        <v>0</v>
      </c>
      <c r="Q1430" s="72">
        <v>0</v>
      </c>
      <c r="R1430" s="72">
        <v>0</v>
      </c>
      <c r="S1430" s="74">
        <v>0.9</v>
      </c>
      <c r="T1430" s="72">
        <v>0</v>
      </c>
      <c r="U1430" s="72">
        <v>0</v>
      </c>
      <c r="V1430" s="72">
        <v>0</v>
      </c>
      <c r="W1430" s="72">
        <v>0</v>
      </c>
      <c r="X1430" s="74">
        <v>0.92</v>
      </c>
      <c r="Y1430" s="74">
        <v>0</v>
      </c>
      <c r="Z1430" s="74">
        <v>0</v>
      </c>
      <c r="AA1430" s="74">
        <v>0</v>
      </c>
      <c r="AB1430" s="74">
        <v>0</v>
      </c>
      <c r="AC1430" s="74">
        <v>0.92</v>
      </c>
      <c r="AD1430" s="72">
        <v>0.996899224806202</v>
      </c>
      <c r="AE1430" s="72">
        <v>0.99625468164794</v>
      </c>
      <c r="AF1430" s="72">
        <v>0.99297629499561</v>
      </c>
      <c r="AG1430" s="72">
        <v>0.969749351771824</v>
      </c>
      <c r="AH1430" s="74">
        <v>0.92</v>
      </c>
      <c r="AI1430" s="72">
        <v>0</v>
      </c>
      <c r="AJ1430" s="72">
        <v>1</v>
      </c>
      <c r="AK1430" s="72">
        <v>0</v>
      </c>
      <c r="AL1430" s="72">
        <v>0.428571428571429</v>
      </c>
      <c r="AM1430" s="71">
        <v>0.99</v>
      </c>
      <c r="AN1430" s="76">
        <v>1</v>
      </c>
      <c r="AO1430" s="76">
        <v>1</v>
      </c>
      <c r="AP1430" s="76">
        <v>1</v>
      </c>
      <c r="AQ1430" s="76">
        <v>1</v>
      </c>
      <c r="AR1430" s="96">
        <v>0.110069253262963</v>
      </c>
      <c r="AS1430" s="80">
        <v>0</v>
      </c>
      <c r="AT1430" s="80">
        <v>0</v>
      </c>
      <c r="AU1430" s="80">
        <v>0</v>
      </c>
      <c r="AV1430" s="80">
        <v>0</v>
      </c>
      <c r="AW1430" s="36"/>
      <c r="AX1430" s="34"/>
    </row>
    <row r="1431" ht="14.5" spans="1:50">
      <c r="A1431" s="32"/>
      <c r="B1431" s="36"/>
      <c r="C1431" s="91" t="s">
        <v>1473</v>
      </c>
      <c r="D1431" s="69" t="s">
        <v>27</v>
      </c>
      <c r="E1431" s="135" t="s">
        <v>1480</v>
      </c>
      <c r="F1431" s="135" t="s">
        <v>1480</v>
      </c>
      <c r="G1431" s="135" t="s">
        <v>1480</v>
      </c>
      <c r="H1431" s="135" t="s">
        <v>1480</v>
      </c>
      <c r="I1431" s="71">
        <v>0.9</v>
      </c>
      <c r="J1431" s="72">
        <v>0</v>
      </c>
      <c r="K1431" s="72">
        <v>0</v>
      </c>
      <c r="L1431" s="73">
        <v>0</v>
      </c>
      <c r="M1431" s="72">
        <v>0</v>
      </c>
      <c r="N1431" s="74">
        <v>0.9</v>
      </c>
      <c r="O1431" s="72">
        <v>0</v>
      </c>
      <c r="P1431" s="72">
        <v>0</v>
      </c>
      <c r="Q1431" s="72">
        <v>0</v>
      </c>
      <c r="R1431" s="72">
        <v>0</v>
      </c>
      <c r="S1431" s="74">
        <v>0.9</v>
      </c>
      <c r="T1431" s="72">
        <v>0</v>
      </c>
      <c r="U1431" s="72">
        <v>0</v>
      </c>
      <c r="V1431" s="72">
        <v>0</v>
      </c>
      <c r="W1431" s="72">
        <v>1</v>
      </c>
      <c r="X1431" s="74">
        <v>0.92</v>
      </c>
      <c r="Y1431" s="74">
        <v>0</v>
      </c>
      <c r="Z1431" s="74">
        <v>0</v>
      </c>
      <c r="AA1431" s="74">
        <v>0</v>
      </c>
      <c r="AB1431" s="74">
        <v>0</v>
      </c>
      <c r="AC1431" s="74">
        <v>0.92</v>
      </c>
      <c r="AD1431" s="72">
        <v>1</v>
      </c>
      <c r="AE1431" s="72">
        <v>1</v>
      </c>
      <c r="AF1431" s="72">
        <v>1</v>
      </c>
      <c r="AG1431" s="72">
        <v>0.997940974605353</v>
      </c>
      <c r="AH1431" s="74">
        <v>0.92</v>
      </c>
      <c r="AI1431" s="72">
        <v>0</v>
      </c>
      <c r="AJ1431" s="72">
        <v>0</v>
      </c>
      <c r="AK1431" s="72">
        <v>0</v>
      </c>
      <c r="AL1431" s="72">
        <v>1</v>
      </c>
      <c r="AM1431" s="71">
        <v>0.99</v>
      </c>
      <c r="AN1431" s="76">
        <v>1</v>
      </c>
      <c r="AO1431" s="76">
        <v>1</v>
      </c>
      <c r="AP1431" s="76">
        <v>1</v>
      </c>
      <c r="AQ1431" s="76">
        <v>1</v>
      </c>
      <c r="AR1431" s="96">
        <v>0.110069253262963</v>
      </c>
      <c r="AS1431" s="80">
        <v>0</v>
      </c>
      <c r="AT1431" s="80">
        <v>0</v>
      </c>
      <c r="AU1431" s="80">
        <v>0</v>
      </c>
      <c r="AV1431" s="80">
        <v>0</v>
      </c>
      <c r="AW1431" s="36"/>
      <c r="AX1431" s="34"/>
    </row>
    <row r="1432" ht="14.5" spans="1:50">
      <c r="A1432" s="32"/>
      <c r="B1432" s="36"/>
      <c r="C1432" s="91" t="s">
        <v>1473</v>
      </c>
      <c r="D1432" s="69" t="s">
        <v>27</v>
      </c>
      <c r="E1432" s="135" t="s">
        <v>1481</v>
      </c>
      <c r="F1432" s="135" t="s">
        <v>1481</v>
      </c>
      <c r="G1432" s="135" t="s">
        <v>1481</v>
      </c>
      <c r="H1432" s="135" t="s">
        <v>1481</v>
      </c>
      <c r="I1432" s="71">
        <v>0.9</v>
      </c>
      <c r="J1432" s="72">
        <v>0</v>
      </c>
      <c r="K1432" s="72">
        <v>0</v>
      </c>
      <c r="L1432" s="73">
        <v>0</v>
      </c>
      <c r="M1432" s="72">
        <v>0</v>
      </c>
      <c r="N1432" s="74">
        <v>0.9</v>
      </c>
      <c r="O1432" s="72">
        <v>0</v>
      </c>
      <c r="P1432" s="72">
        <v>0</v>
      </c>
      <c r="Q1432" s="72">
        <v>0</v>
      </c>
      <c r="R1432" s="72">
        <v>0</v>
      </c>
      <c r="S1432" s="74">
        <v>0.9</v>
      </c>
      <c r="T1432" s="72">
        <v>0</v>
      </c>
      <c r="U1432" s="72">
        <v>0.333333333333333</v>
      </c>
      <c r="V1432" s="72">
        <v>0.75</v>
      </c>
      <c r="W1432" s="72">
        <v>0.619047619047619</v>
      </c>
      <c r="X1432" s="74">
        <v>0.92</v>
      </c>
      <c r="Y1432" s="74">
        <v>0</v>
      </c>
      <c r="Z1432" s="74">
        <v>0</v>
      </c>
      <c r="AA1432" s="74">
        <v>0</v>
      </c>
      <c r="AB1432" s="74">
        <v>0</v>
      </c>
      <c r="AC1432" s="74">
        <v>0.92</v>
      </c>
      <c r="AD1432" s="72">
        <v>1</v>
      </c>
      <c r="AE1432" s="72">
        <v>0.985263157894737</v>
      </c>
      <c r="AF1432" s="72">
        <v>0.998913043478261</v>
      </c>
      <c r="AG1432" s="72">
        <v>0.995548787630315</v>
      </c>
      <c r="AH1432" s="74">
        <v>0.92</v>
      </c>
      <c r="AI1432" s="72">
        <v>0</v>
      </c>
      <c r="AJ1432" s="72">
        <v>0.666666666666667</v>
      </c>
      <c r="AK1432" s="72">
        <v>0.9375</v>
      </c>
      <c r="AL1432" s="72">
        <v>0.818181818181818</v>
      </c>
      <c r="AM1432" s="71">
        <v>0.99</v>
      </c>
      <c r="AN1432" s="76">
        <v>0</v>
      </c>
      <c r="AO1432" s="76">
        <v>0</v>
      </c>
      <c r="AP1432" s="76">
        <v>0</v>
      </c>
      <c r="AQ1432" s="76">
        <v>1</v>
      </c>
      <c r="AR1432" s="96">
        <v>0.110069253262963</v>
      </c>
      <c r="AS1432" s="80">
        <v>0</v>
      </c>
      <c r="AT1432" s="80">
        <v>0</v>
      </c>
      <c r="AU1432" s="80">
        <v>0</v>
      </c>
      <c r="AV1432" s="80">
        <v>0</v>
      </c>
      <c r="AW1432" s="36"/>
      <c r="AX1432" s="34"/>
    </row>
    <row r="1433" ht="14.5" spans="1:50">
      <c r="A1433" s="32"/>
      <c r="B1433" s="36"/>
      <c r="C1433" s="91" t="s">
        <v>1473</v>
      </c>
      <c r="D1433" s="69" t="s">
        <v>27</v>
      </c>
      <c r="E1433" s="134" t="s">
        <v>1482</v>
      </c>
      <c r="F1433" s="134" t="s">
        <v>1482</v>
      </c>
      <c r="G1433" s="134" t="s">
        <v>1482</v>
      </c>
      <c r="H1433" s="134" t="s">
        <v>1482</v>
      </c>
      <c r="I1433" s="71">
        <v>0.9</v>
      </c>
      <c r="J1433" s="72">
        <v>0</v>
      </c>
      <c r="K1433" s="72">
        <v>0</v>
      </c>
      <c r="L1433" s="73">
        <v>0</v>
      </c>
      <c r="M1433" s="72">
        <v>0</v>
      </c>
      <c r="N1433" s="74">
        <v>0.9</v>
      </c>
      <c r="O1433" s="72">
        <v>0</v>
      </c>
      <c r="P1433" s="72">
        <v>0</v>
      </c>
      <c r="Q1433" s="72">
        <v>0</v>
      </c>
      <c r="R1433" s="72">
        <v>0</v>
      </c>
      <c r="S1433" s="74">
        <v>0.9</v>
      </c>
      <c r="T1433" s="72">
        <v>1</v>
      </c>
      <c r="U1433" s="72">
        <v>0</v>
      </c>
      <c r="V1433" s="72">
        <v>0</v>
      </c>
      <c r="W1433" s="72">
        <v>1</v>
      </c>
      <c r="X1433" s="74">
        <v>0.92</v>
      </c>
      <c r="Y1433" s="74">
        <v>0</v>
      </c>
      <c r="Z1433" s="74">
        <v>0</v>
      </c>
      <c r="AA1433" s="74">
        <v>0</v>
      </c>
      <c r="AB1433" s="74">
        <v>0</v>
      </c>
      <c r="AC1433" s="74">
        <v>0.92</v>
      </c>
      <c r="AD1433" s="72">
        <v>0.910526315789474</v>
      </c>
      <c r="AE1433" s="72">
        <v>0.925</v>
      </c>
      <c r="AF1433" s="72">
        <v>0.992481203007519</v>
      </c>
      <c r="AG1433" s="72">
        <v>0.976348854397635</v>
      </c>
      <c r="AH1433" s="74">
        <v>0.92</v>
      </c>
      <c r="AI1433" s="72">
        <v>1</v>
      </c>
      <c r="AJ1433" s="72">
        <v>0</v>
      </c>
      <c r="AK1433" s="72">
        <v>0</v>
      </c>
      <c r="AL1433" s="72">
        <v>1</v>
      </c>
      <c r="AM1433" s="71">
        <v>0.99</v>
      </c>
      <c r="AN1433" s="76">
        <v>0</v>
      </c>
      <c r="AO1433" s="76">
        <v>1</v>
      </c>
      <c r="AP1433" s="76">
        <v>1</v>
      </c>
      <c r="AQ1433" s="76">
        <v>1</v>
      </c>
      <c r="AR1433" s="96">
        <v>0.110069253262963</v>
      </c>
      <c r="AS1433" s="80">
        <v>0</v>
      </c>
      <c r="AT1433" s="80">
        <v>0</v>
      </c>
      <c r="AU1433" s="80">
        <v>0</v>
      </c>
      <c r="AV1433" s="80">
        <v>0</v>
      </c>
      <c r="AW1433" s="36"/>
      <c r="AX1433" s="34"/>
    </row>
    <row r="1434" ht="14.5" spans="1:50">
      <c r="A1434" s="32"/>
      <c r="B1434" s="36"/>
      <c r="C1434" s="91" t="s">
        <v>1473</v>
      </c>
      <c r="D1434" s="69" t="s">
        <v>27</v>
      </c>
      <c r="E1434" s="135" t="s">
        <v>1483</v>
      </c>
      <c r="F1434" s="135" t="s">
        <v>1483</v>
      </c>
      <c r="G1434" s="135" t="s">
        <v>1483</v>
      </c>
      <c r="H1434" s="135" t="s">
        <v>1483</v>
      </c>
      <c r="I1434" s="71">
        <v>0.9</v>
      </c>
      <c r="J1434" s="72">
        <v>0</v>
      </c>
      <c r="K1434" s="72">
        <v>0</v>
      </c>
      <c r="L1434" s="73">
        <v>0</v>
      </c>
      <c r="M1434" s="72">
        <v>0</v>
      </c>
      <c r="N1434" s="74">
        <v>0.9</v>
      </c>
      <c r="O1434" s="72">
        <v>0</v>
      </c>
      <c r="P1434" s="72">
        <v>0</v>
      </c>
      <c r="Q1434" s="72">
        <v>0</v>
      </c>
      <c r="R1434" s="72">
        <v>0</v>
      </c>
      <c r="S1434" s="74">
        <v>0.9</v>
      </c>
      <c r="T1434" s="72">
        <v>0</v>
      </c>
      <c r="U1434" s="72">
        <v>0</v>
      </c>
      <c r="V1434" s="72">
        <v>0</v>
      </c>
      <c r="W1434" s="72">
        <v>0</v>
      </c>
      <c r="X1434" s="74">
        <v>0.92</v>
      </c>
      <c r="Y1434" s="74">
        <v>0</v>
      </c>
      <c r="Z1434" s="74">
        <v>0</v>
      </c>
      <c r="AA1434" s="74">
        <v>0</v>
      </c>
      <c r="AB1434" s="74">
        <v>0</v>
      </c>
      <c r="AC1434" s="74">
        <v>0.92</v>
      </c>
      <c r="AD1434" s="72">
        <v>0.909090909090909</v>
      </c>
      <c r="AE1434" s="72">
        <v>0.982142857142857</v>
      </c>
      <c r="AF1434" s="72">
        <v>0.976744186046512</v>
      </c>
      <c r="AG1434" s="72">
        <v>0.956521739130435</v>
      </c>
      <c r="AH1434" s="74">
        <v>0.92</v>
      </c>
      <c r="AI1434" s="72">
        <v>0</v>
      </c>
      <c r="AJ1434" s="72">
        <v>0</v>
      </c>
      <c r="AK1434" s="72">
        <v>0</v>
      </c>
      <c r="AL1434" s="72">
        <v>0</v>
      </c>
      <c r="AM1434" s="71">
        <v>0.99</v>
      </c>
      <c r="AN1434" s="76">
        <v>0</v>
      </c>
      <c r="AO1434" s="76">
        <v>0</v>
      </c>
      <c r="AP1434" s="76">
        <v>0</v>
      </c>
      <c r="AQ1434" s="76">
        <v>0</v>
      </c>
      <c r="AR1434" s="96">
        <v>0.110069253262963</v>
      </c>
      <c r="AS1434" s="80">
        <v>0</v>
      </c>
      <c r="AT1434" s="80">
        <v>0</v>
      </c>
      <c r="AU1434" s="80">
        <v>0</v>
      </c>
      <c r="AV1434" s="80">
        <v>0</v>
      </c>
      <c r="AW1434" s="36"/>
      <c r="AX1434" s="34"/>
    </row>
    <row r="1435" ht="14.5" spans="1:50">
      <c r="A1435" s="32"/>
      <c r="B1435" s="36"/>
      <c r="C1435" s="91" t="s">
        <v>1473</v>
      </c>
      <c r="D1435" s="69" t="s">
        <v>27</v>
      </c>
      <c r="E1435" s="134" t="s">
        <v>1484</v>
      </c>
      <c r="F1435" s="134" t="s">
        <v>1484</v>
      </c>
      <c r="G1435" s="134" t="s">
        <v>1484</v>
      </c>
      <c r="H1435" s="134" t="s">
        <v>1484</v>
      </c>
      <c r="I1435" s="71">
        <v>0.9</v>
      </c>
      <c r="J1435" s="72">
        <v>0</v>
      </c>
      <c r="K1435" s="72">
        <v>0</v>
      </c>
      <c r="L1435" s="73">
        <v>0</v>
      </c>
      <c r="M1435" s="72">
        <v>0</v>
      </c>
      <c r="N1435" s="74">
        <v>0.9</v>
      </c>
      <c r="O1435" s="72">
        <v>0</v>
      </c>
      <c r="P1435" s="72">
        <v>0</v>
      </c>
      <c r="Q1435" s="72">
        <v>0</v>
      </c>
      <c r="R1435" s="72">
        <v>0</v>
      </c>
      <c r="S1435" s="74">
        <v>0.9</v>
      </c>
      <c r="T1435" s="72">
        <v>0.2</v>
      </c>
      <c r="U1435" s="72">
        <v>1</v>
      </c>
      <c r="V1435" s="72">
        <v>0.666666666666667</v>
      </c>
      <c r="W1435" s="72">
        <v>0.736842105263158</v>
      </c>
      <c r="X1435" s="74">
        <v>0.92</v>
      </c>
      <c r="Y1435" s="74">
        <v>0</v>
      </c>
      <c r="Z1435" s="74">
        <v>0</v>
      </c>
      <c r="AA1435" s="74">
        <v>0</v>
      </c>
      <c r="AB1435" s="74">
        <v>0</v>
      </c>
      <c r="AC1435" s="74">
        <v>0.92</v>
      </c>
      <c r="AD1435" s="72">
        <v>0.998692810457516</v>
      </c>
      <c r="AE1435" s="72">
        <v>0.818403624956431</v>
      </c>
      <c r="AF1435" s="72">
        <v>0.991652173913043</v>
      </c>
      <c r="AG1435" s="72">
        <v>0.96958324241763</v>
      </c>
      <c r="AH1435" s="74">
        <v>0.92</v>
      </c>
      <c r="AI1435" s="72">
        <v>0.2</v>
      </c>
      <c r="AJ1435" s="72">
        <v>0.666666666666667</v>
      </c>
      <c r="AK1435" s="72">
        <v>0.666666666666667</v>
      </c>
      <c r="AL1435" s="72">
        <v>0.8</v>
      </c>
      <c r="AM1435" s="71">
        <v>0.99</v>
      </c>
      <c r="AN1435" s="76">
        <v>1</v>
      </c>
      <c r="AO1435" s="76">
        <v>1</v>
      </c>
      <c r="AP1435" s="76">
        <v>1</v>
      </c>
      <c r="AQ1435" s="76">
        <v>1</v>
      </c>
      <c r="AR1435" s="96">
        <v>0.110069253262963</v>
      </c>
      <c r="AS1435" s="80">
        <v>0</v>
      </c>
      <c r="AT1435" s="80">
        <v>0</v>
      </c>
      <c r="AU1435" s="80">
        <v>0</v>
      </c>
      <c r="AV1435" s="80">
        <v>0</v>
      </c>
      <c r="AW1435" s="36"/>
      <c r="AX1435" s="34"/>
    </row>
    <row r="1436" ht="14.5" spans="1:50">
      <c r="A1436" s="32"/>
      <c r="B1436" s="36"/>
      <c r="C1436" s="91" t="s">
        <v>1473</v>
      </c>
      <c r="D1436" s="69" t="s">
        <v>27</v>
      </c>
      <c r="E1436" s="134" t="s">
        <v>1485</v>
      </c>
      <c r="F1436" s="134" t="s">
        <v>1485</v>
      </c>
      <c r="G1436" s="134" t="s">
        <v>1485</v>
      </c>
      <c r="H1436" s="134" t="s">
        <v>1485</v>
      </c>
      <c r="I1436" s="71">
        <v>0.9</v>
      </c>
      <c r="J1436" s="72">
        <v>0</v>
      </c>
      <c r="K1436" s="72">
        <v>0</v>
      </c>
      <c r="L1436" s="73">
        <v>0</v>
      </c>
      <c r="M1436" s="72">
        <v>0</v>
      </c>
      <c r="N1436" s="74">
        <v>0.9</v>
      </c>
      <c r="O1436" s="72">
        <v>0</v>
      </c>
      <c r="P1436" s="72">
        <v>0</v>
      </c>
      <c r="Q1436" s="72">
        <v>0</v>
      </c>
      <c r="R1436" s="72">
        <v>0</v>
      </c>
      <c r="S1436" s="74">
        <v>0.9</v>
      </c>
      <c r="T1436" s="72">
        <v>0</v>
      </c>
      <c r="U1436" s="72">
        <v>0</v>
      </c>
      <c r="V1436" s="72">
        <v>0</v>
      </c>
      <c r="W1436" s="72">
        <v>0</v>
      </c>
      <c r="X1436" s="74">
        <v>0.92</v>
      </c>
      <c r="Y1436" s="74">
        <v>0</v>
      </c>
      <c r="Z1436" s="74">
        <v>0</v>
      </c>
      <c r="AA1436" s="74">
        <v>0</v>
      </c>
      <c r="AB1436" s="74">
        <v>0</v>
      </c>
      <c r="AC1436" s="74">
        <v>0.92</v>
      </c>
      <c r="AD1436" s="72">
        <v>1</v>
      </c>
      <c r="AE1436" s="72">
        <v>1</v>
      </c>
      <c r="AF1436" s="72">
        <v>1</v>
      </c>
      <c r="AG1436" s="72">
        <v>1</v>
      </c>
      <c r="AH1436" s="74">
        <v>0.92</v>
      </c>
      <c r="AI1436" s="72">
        <v>0</v>
      </c>
      <c r="AJ1436" s="72">
        <v>0</v>
      </c>
      <c r="AK1436" s="72">
        <v>0</v>
      </c>
      <c r="AL1436" s="72">
        <v>0</v>
      </c>
      <c r="AM1436" s="71">
        <v>0.99</v>
      </c>
      <c r="AN1436" s="76">
        <v>0</v>
      </c>
      <c r="AO1436" s="76">
        <v>0</v>
      </c>
      <c r="AP1436" s="76">
        <v>0</v>
      </c>
      <c r="AQ1436" s="76">
        <v>1</v>
      </c>
      <c r="AR1436" s="96">
        <v>0.110069253262963</v>
      </c>
      <c r="AS1436" s="80">
        <v>0</v>
      </c>
      <c r="AT1436" s="80">
        <v>0</v>
      </c>
      <c r="AU1436" s="80">
        <v>0</v>
      </c>
      <c r="AV1436" s="80">
        <v>0</v>
      </c>
      <c r="AW1436" s="36"/>
      <c r="AX1436" s="34"/>
    </row>
    <row r="1437" ht="14.5" spans="1:50">
      <c r="A1437" s="32"/>
      <c r="B1437" s="36"/>
      <c r="C1437" s="91" t="s">
        <v>1473</v>
      </c>
      <c r="D1437" s="69" t="s">
        <v>27</v>
      </c>
      <c r="E1437" s="135" t="s">
        <v>1486</v>
      </c>
      <c r="F1437" s="135" t="s">
        <v>1486</v>
      </c>
      <c r="G1437" s="135" t="s">
        <v>1486</v>
      </c>
      <c r="H1437" s="135" t="s">
        <v>1486</v>
      </c>
      <c r="I1437" s="71">
        <v>0.9</v>
      </c>
      <c r="J1437" s="72">
        <v>0</v>
      </c>
      <c r="K1437" s="72">
        <v>0</v>
      </c>
      <c r="L1437" s="73">
        <v>0</v>
      </c>
      <c r="M1437" s="72">
        <v>0</v>
      </c>
      <c r="N1437" s="74">
        <v>0.9</v>
      </c>
      <c r="O1437" s="72">
        <v>0</v>
      </c>
      <c r="P1437" s="72">
        <v>0</v>
      </c>
      <c r="Q1437" s="72">
        <v>0</v>
      </c>
      <c r="R1437" s="72">
        <v>0</v>
      </c>
      <c r="S1437" s="74">
        <v>0.9</v>
      </c>
      <c r="T1437" s="72">
        <v>0</v>
      </c>
      <c r="U1437" s="72">
        <v>0</v>
      </c>
      <c r="V1437" s="72">
        <v>0</v>
      </c>
      <c r="W1437" s="72">
        <v>0</v>
      </c>
      <c r="X1437" s="74">
        <v>0.92</v>
      </c>
      <c r="Y1437" s="74">
        <v>0</v>
      </c>
      <c r="Z1437" s="74">
        <v>0</v>
      </c>
      <c r="AA1437" s="74">
        <v>0</v>
      </c>
      <c r="AB1437" s="74">
        <v>0</v>
      </c>
      <c r="AC1437" s="74">
        <v>0.92</v>
      </c>
      <c r="AD1437" s="72">
        <v>0.998003992015968</v>
      </c>
      <c r="AE1437" s="72">
        <v>0.995049504950495</v>
      </c>
      <c r="AF1437" s="72">
        <v>0.991919191919192</v>
      </c>
      <c r="AG1437" s="72">
        <v>0.98876930276088</v>
      </c>
      <c r="AH1437" s="74">
        <v>0.92</v>
      </c>
      <c r="AI1437" s="72">
        <v>0</v>
      </c>
      <c r="AJ1437" s="72">
        <v>0</v>
      </c>
      <c r="AK1437" s="72">
        <v>0</v>
      </c>
      <c r="AL1437" s="72">
        <v>0</v>
      </c>
      <c r="AM1437" s="71">
        <v>0.99</v>
      </c>
      <c r="AN1437" s="76">
        <v>0</v>
      </c>
      <c r="AO1437" s="76">
        <v>0</v>
      </c>
      <c r="AP1437" s="76">
        <v>0</v>
      </c>
      <c r="AQ1437" s="76">
        <v>1</v>
      </c>
      <c r="AR1437" s="96">
        <v>0.110069253262963</v>
      </c>
      <c r="AS1437" s="80">
        <v>0</v>
      </c>
      <c r="AT1437" s="80">
        <v>0</v>
      </c>
      <c r="AU1437" s="80">
        <v>0</v>
      </c>
      <c r="AV1437" s="80">
        <v>0</v>
      </c>
      <c r="AW1437" s="36"/>
      <c r="AX1437" s="34"/>
    </row>
    <row r="1438" ht="14.5" spans="1:50">
      <c r="A1438" s="32"/>
      <c r="B1438" s="36"/>
      <c r="C1438" s="91" t="s">
        <v>1473</v>
      </c>
      <c r="D1438" s="69" t="s">
        <v>27</v>
      </c>
      <c r="E1438" s="135" t="s">
        <v>1487</v>
      </c>
      <c r="F1438" s="135" t="s">
        <v>1487</v>
      </c>
      <c r="G1438" s="135" t="s">
        <v>1487</v>
      </c>
      <c r="H1438" s="135" t="s">
        <v>1487</v>
      </c>
      <c r="I1438" s="71">
        <v>0.9</v>
      </c>
      <c r="J1438" s="72">
        <v>0</v>
      </c>
      <c r="K1438" s="72">
        <v>0</v>
      </c>
      <c r="L1438" s="73">
        <v>0</v>
      </c>
      <c r="M1438" s="72">
        <v>0</v>
      </c>
      <c r="N1438" s="74">
        <v>0.9</v>
      </c>
      <c r="O1438" s="72">
        <v>0</v>
      </c>
      <c r="P1438" s="72">
        <v>0</v>
      </c>
      <c r="Q1438" s="72">
        <v>0</v>
      </c>
      <c r="R1438" s="72">
        <v>0</v>
      </c>
      <c r="S1438" s="74">
        <v>0.9</v>
      </c>
      <c r="T1438" s="72">
        <v>0</v>
      </c>
      <c r="U1438" s="72">
        <v>0</v>
      </c>
      <c r="V1438" s="72">
        <v>1</v>
      </c>
      <c r="W1438" s="72">
        <v>1</v>
      </c>
      <c r="X1438" s="74">
        <v>0.92</v>
      </c>
      <c r="Y1438" s="74">
        <v>0</v>
      </c>
      <c r="Z1438" s="74">
        <v>0</v>
      </c>
      <c r="AA1438" s="74">
        <v>0</v>
      </c>
      <c r="AB1438" s="74">
        <v>0</v>
      </c>
      <c r="AC1438" s="74">
        <v>0.92</v>
      </c>
      <c r="AD1438" s="72">
        <v>0.988235294117647</v>
      </c>
      <c r="AE1438" s="72">
        <v>0.968421052631579</v>
      </c>
      <c r="AF1438" s="72">
        <v>1</v>
      </c>
      <c r="AG1438" s="72">
        <v>0.990463215258856</v>
      </c>
      <c r="AH1438" s="74">
        <v>0.92</v>
      </c>
      <c r="AI1438" s="72">
        <v>0</v>
      </c>
      <c r="AJ1438" s="72">
        <v>0</v>
      </c>
      <c r="AK1438" s="72">
        <v>1</v>
      </c>
      <c r="AL1438" s="72">
        <v>1</v>
      </c>
      <c r="AM1438" s="71">
        <v>0.99</v>
      </c>
      <c r="AN1438" s="76">
        <v>0</v>
      </c>
      <c r="AO1438" s="76">
        <v>0</v>
      </c>
      <c r="AP1438" s="76">
        <v>0</v>
      </c>
      <c r="AQ1438" s="76">
        <v>0</v>
      </c>
      <c r="AR1438" s="96">
        <v>0.110069253262963</v>
      </c>
      <c r="AS1438" s="80">
        <v>0</v>
      </c>
      <c r="AT1438" s="80">
        <v>0</v>
      </c>
      <c r="AU1438" s="80">
        <v>0</v>
      </c>
      <c r="AV1438" s="80">
        <v>0</v>
      </c>
      <c r="AW1438" s="36"/>
      <c r="AX1438" s="34"/>
    </row>
    <row r="1439" ht="14.5" spans="1:50">
      <c r="A1439" s="32"/>
      <c r="B1439" s="36"/>
      <c r="C1439" s="91" t="s">
        <v>1473</v>
      </c>
      <c r="D1439" s="69" t="s">
        <v>27</v>
      </c>
      <c r="E1439" s="135" t="s">
        <v>1488</v>
      </c>
      <c r="F1439" s="135" t="s">
        <v>1488</v>
      </c>
      <c r="G1439" s="135" t="s">
        <v>1488</v>
      </c>
      <c r="H1439" s="135" t="s">
        <v>1488</v>
      </c>
      <c r="I1439" s="71">
        <v>0.9</v>
      </c>
      <c r="J1439" s="72">
        <v>0</v>
      </c>
      <c r="K1439" s="72">
        <v>0</v>
      </c>
      <c r="L1439" s="73">
        <v>0</v>
      </c>
      <c r="M1439" s="72">
        <v>0</v>
      </c>
      <c r="N1439" s="74">
        <v>0.9</v>
      </c>
      <c r="O1439" s="72">
        <v>0</v>
      </c>
      <c r="P1439" s="72">
        <v>0</v>
      </c>
      <c r="Q1439" s="72">
        <v>0</v>
      </c>
      <c r="R1439" s="72">
        <v>0</v>
      </c>
      <c r="S1439" s="74">
        <v>0.9</v>
      </c>
      <c r="T1439" s="72">
        <v>0</v>
      </c>
      <c r="U1439" s="72">
        <v>0</v>
      </c>
      <c r="V1439" s="72">
        <v>0</v>
      </c>
      <c r="W1439" s="72">
        <v>0</v>
      </c>
      <c r="X1439" s="74">
        <v>0.92</v>
      </c>
      <c r="Y1439" s="74">
        <v>0</v>
      </c>
      <c r="Z1439" s="74">
        <v>0</v>
      </c>
      <c r="AA1439" s="74">
        <v>0</v>
      </c>
      <c r="AB1439" s="74">
        <v>0</v>
      </c>
      <c r="AC1439" s="74">
        <v>0.92</v>
      </c>
      <c r="AD1439" s="72">
        <v>1</v>
      </c>
      <c r="AE1439" s="72">
        <v>1</v>
      </c>
      <c r="AF1439" s="72">
        <v>1</v>
      </c>
      <c r="AG1439" s="72">
        <v>0.999581414817915</v>
      </c>
      <c r="AH1439" s="74">
        <v>0.92</v>
      </c>
      <c r="AI1439" s="72">
        <v>0</v>
      </c>
      <c r="AJ1439" s="72">
        <v>0</v>
      </c>
      <c r="AK1439" s="72">
        <v>0</v>
      </c>
      <c r="AL1439" s="72">
        <v>0</v>
      </c>
      <c r="AM1439" s="71">
        <v>0.99</v>
      </c>
      <c r="AN1439" s="76">
        <v>0</v>
      </c>
      <c r="AO1439" s="76">
        <v>0</v>
      </c>
      <c r="AP1439" s="76">
        <v>0</v>
      </c>
      <c r="AQ1439" s="76">
        <v>0</v>
      </c>
      <c r="AR1439" s="96">
        <v>0.110069253262963</v>
      </c>
      <c r="AS1439" s="80">
        <v>0</v>
      </c>
      <c r="AT1439" s="80">
        <v>0</v>
      </c>
      <c r="AU1439" s="80">
        <v>0</v>
      </c>
      <c r="AV1439" s="80">
        <v>0</v>
      </c>
      <c r="AW1439" s="36"/>
      <c r="AX1439" s="34"/>
    </row>
    <row r="1440" ht="14.5" spans="1:50">
      <c r="A1440" s="32"/>
      <c r="B1440" s="36"/>
      <c r="C1440" s="91" t="s">
        <v>1473</v>
      </c>
      <c r="D1440" s="69" t="s">
        <v>27</v>
      </c>
      <c r="E1440" s="135" t="s">
        <v>1489</v>
      </c>
      <c r="F1440" s="135" t="s">
        <v>1489</v>
      </c>
      <c r="G1440" s="135" t="s">
        <v>1489</v>
      </c>
      <c r="H1440" s="135" t="s">
        <v>1489</v>
      </c>
      <c r="I1440" s="71">
        <v>0.9</v>
      </c>
      <c r="J1440" s="72">
        <v>0</v>
      </c>
      <c r="K1440" s="72">
        <v>0</v>
      </c>
      <c r="L1440" s="73">
        <v>0</v>
      </c>
      <c r="M1440" s="72">
        <v>0</v>
      </c>
      <c r="N1440" s="74">
        <v>0.9</v>
      </c>
      <c r="O1440" s="72">
        <v>0</v>
      </c>
      <c r="P1440" s="72">
        <v>0</v>
      </c>
      <c r="Q1440" s="72">
        <v>0</v>
      </c>
      <c r="R1440" s="72">
        <v>0</v>
      </c>
      <c r="S1440" s="74">
        <v>0.9</v>
      </c>
      <c r="T1440" s="72">
        <v>0</v>
      </c>
      <c r="U1440" s="72">
        <v>0</v>
      </c>
      <c r="V1440" s="72">
        <v>0</v>
      </c>
      <c r="W1440" s="72">
        <v>0</v>
      </c>
      <c r="X1440" s="74">
        <v>0.92</v>
      </c>
      <c r="Y1440" s="74">
        <v>0</v>
      </c>
      <c r="Z1440" s="74">
        <v>0</v>
      </c>
      <c r="AA1440" s="74">
        <v>0</v>
      </c>
      <c r="AB1440" s="74">
        <v>0</v>
      </c>
      <c r="AC1440" s="74">
        <v>0.92</v>
      </c>
      <c r="AD1440" s="72">
        <v>1</v>
      </c>
      <c r="AE1440" s="72">
        <v>1</v>
      </c>
      <c r="AF1440" s="72">
        <v>1</v>
      </c>
      <c r="AG1440" s="72">
        <v>0.983170466883822</v>
      </c>
      <c r="AH1440" s="74">
        <v>0.92</v>
      </c>
      <c r="AI1440" s="72">
        <v>0</v>
      </c>
      <c r="AJ1440" s="72">
        <v>0</v>
      </c>
      <c r="AK1440" s="72">
        <v>0</v>
      </c>
      <c r="AL1440" s="72">
        <v>0</v>
      </c>
      <c r="AM1440" s="71">
        <v>0.99</v>
      </c>
      <c r="AN1440" s="76">
        <v>0</v>
      </c>
      <c r="AO1440" s="76">
        <v>0</v>
      </c>
      <c r="AP1440" s="76">
        <v>0</v>
      </c>
      <c r="AQ1440" s="76">
        <v>0</v>
      </c>
      <c r="AR1440" s="96">
        <v>0.110069253262963</v>
      </c>
      <c r="AS1440" s="80">
        <v>0</v>
      </c>
      <c r="AT1440" s="80">
        <v>0</v>
      </c>
      <c r="AU1440" s="80">
        <v>0</v>
      </c>
      <c r="AV1440" s="80">
        <v>0</v>
      </c>
      <c r="AW1440" s="36"/>
      <c r="AX1440" s="34"/>
    </row>
    <row r="1441" ht="14.5" spans="1:50">
      <c r="A1441" s="32"/>
      <c r="B1441" s="36"/>
      <c r="C1441" s="91" t="s">
        <v>1473</v>
      </c>
      <c r="D1441" s="69" t="s">
        <v>27</v>
      </c>
      <c r="E1441" s="135" t="s">
        <v>1490</v>
      </c>
      <c r="F1441" s="135" t="s">
        <v>1490</v>
      </c>
      <c r="G1441" s="135" t="s">
        <v>1490</v>
      </c>
      <c r="H1441" s="135" t="s">
        <v>1490</v>
      </c>
      <c r="I1441" s="71">
        <v>0.9</v>
      </c>
      <c r="J1441" s="72">
        <v>0</v>
      </c>
      <c r="K1441" s="72">
        <v>0</v>
      </c>
      <c r="L1441" s="73">
        <v>0</v>
      </c>
      <c r="M1441" s="72">
        <v>0</v>
      </c>
      <c r="N1441" s="74">
        <v>0.9</v>
      </c>
      <c r="O1441" s="72">
        <v>0</v>
      </c>
      <c r="P1441" s="72">
        <v>0</v>
      </c>
      <c r="Q1441" s="72">
        <v>0</v>
      </c>
      <c r="R1441" s="72">
        <v>0</v>
      </c>
      <c r="S1441" s="74">
        <v>0.9</v>
      </c>
      <c r="T1441" s="72">
        <v>1</v>
      </c>
      <c r="U1441" s="72">
        <v>1</v>
      </c>
      <c r="V1441" s="72">
        <v>1</v>
      </c>
      <c r="W1441" s="72">
        <v>1</v>
      </c>
      <c r="X1441" s="74">
        <v>0.92</v>
      </c>
      <c r="Y1441" s="74">
        <v>0</v>
      </c>
      <c r="Z1441" s="74">
        <v>0</v>
      </c>
      <c r="AA1441" s="74">
        <v>1</v>
      </c>
      <c r="AB1441" s="74">
        <v>1</v>
      </c>
      <c r="AC1441" s="74">
        <v>0.92</v>
      </c>
      <c r="AD1441" s="72">
        <v>0.979436405178979</v>
      </c>
      <c r="AE1441" s="72">
        <v>0.977324263038549</v>
      </c>
      <c r="AF1441" s="72">
        <v>1</v>
      </c>
      <c r="AG1441" s="72">
        <v>0.993220338983051</v>
      </c>
      <c r="AH1441" s="74">
        <v>0.92</v>
      </c>
      <c r="AI1441" s="72">
        <v>1</v>
      </c>
      <c r="AJ1441" s="72">
        <v>1</v>
      </c>
      <c r="AK1441" s="72">
        <v>1</v>
      </c>
      <c r="AL1441" s="72">
        <v>1</v>
      </c>
      <c r="AM1441" s="71">
        <v>0.99</v>
      </c>
      <c r="AN1441" s="76">
        <v>0</v>
      </c>
      <c r="AO1441" s="76">
        <v>1</v>
      </c>
      <c r="AP1441" s="76">
        <v>0</v>
      </c>
      <c r="AQ1441" s="76">
        <v>1</v>
      </c>
      <c r="AR1441" s="96">
        <v>0.110069253262963</v>
      </c>
      <c r="AS1441" s="80">
        <v>0</v>
      </c>
      <c r="AT1441" s="80">
        <v>0</v>
      </c>
      <c r="AU1441" s="80">
        <v>0</v>
      </c>
      <c r="AV1441" s="80">
        <v>0</v>
      </c>
      <c r="AW1441" s="36"/>
      <c r="AX1441" s="34"/>
    </row>
    <row r="1442" ht="14.5" spans="1:50">
      <c r="A1442" s="32"/>
      <c r="B1442" s="36"/>
      <c r="C1442" s="91" t="s">
        <v>1473</v>
      </c>
      <c r="D1442" s="69" t="s">
        <v>27</v>
      </c>
      <c r="E1442" s="135" t="s">
        <v>1491</v>
      </c>
      <c r="F1442" s="135" t="s">
        <v>1491</v>
      </c>
      <c r="G1442" s="135" t="s">
        <v>1491</v>
      </c>
      <c r="H1442" s="135" t="s">
        <v>1491</v>
      </c>
      <c r="I1442" s="71">
        <v>0.9</v>
      </c>
      <c r="J1442" s="72">
        <v>0</v>
      </c>
      <c r="K1442" s="72">
        <v>0</v>
      </c>
      <c r="L1442" s="73">
        <v>0</v>
      </c>
      <c r="M1442" s="72">
        <v>0</v>
      </c>
      <c r="N1442" s="74">
        <v>0.9</v>
      </c>
      <c r="O1442" s="72">
        <v>0</v>
      </c>
      <c r="P1442" s="72">
        <v>0</v>
      </c>
      <c r="Q1442" s="72">
        <v>0</v>
      </c>
      <c r="R1442" s="72">
        <v>0</v>
      </c>
      <c r="S1442" s="74">
        <v>0.9</v>
      </c>
      <c r="T1442" s="72">
        <v>0</v>
      </c>
      <c r="U1442" s="72">
        <v>0</v>
      </c>
      <c r="V1442" s="72">
        <v>0</v>
      </c>
      <c r="W1442" s="72">
        <v>0</v>
      </c>
      <c r="X1442" s="74">
        <v>0.92</v>
      </c>
      <c r="Y1442" s="74">
        <v>0</v>
      </c>
      <c r="Z1442" s="74">
        <v>0</v>
      </c>
      <c r="AA1442" s="74">
        <v>0</v>
      </c>
      <c r="AB1442" s="74">
        <v>0</v>
      </c>
      <c r="AC1442" s="74">
        <v>0.92</v>
      </c>
      <c r="AD1442" s="72">
        <v>0.995226730310263</v>
      </c>
      <c r="AE1442" s="72">
        <v>0.966809421841542</v>
      </c>
      <c r="AF1442" s="72">
        <v>0.873429951690821</v>
      </c>
      <c r="AG1442" s="72">
        <v>0.915509957754979</v>
      </c>
      <c r="AH1442" s="74">
        <v>0.92</v>
      </c>
      <c r="AI1442" s="72">
        <v>0</v>
      </c>
      <c r="AJ1442" s="72">
        <v>0</v>
      </c>
      <c r="AK1442" s="72">
        <v>0</v>
      </c>
      <c r="AL1442" s="72">
        <v>0</v>
      </c>
      <c r="AM1442" s="71">
        <v>0.99</v>
      </c>
      <c r="AN1442" s="76">
        <v>1</v>
      </c>
      <c r="AO1442" s="76">
        <v>0</v>
      </c>
      <c r="AP1442" s="76">
        <v>0</v>
      </c>
      <c r="AQ1442" s="76">
        <v>1</v>
      </c>
      <c r="AR1442" s="96">
        <v>0.110069253262963</v>
      </c>
      <c r="AS1442" s="80">
        <v>0</v>
      </c>
      <c r="AT1442" s="80">
        <v>0</v>
      </c>
      <c r="AU1442" s="80">
        <v>0</v>
      </c>
      <c r="AV1442" s="80">
        <v>0</v>
      </c>
      <c r="AW1442" s="36"/>
      <c r="AX1442" s="34"/>
    </row>
    <row r="1443" ht="14.5" spans="1:50">
      <c r="A1443" s="32"/>
      <c r="B1443" s="36"/>
      <c r="C1443" s="91" t="s">
        <v>1473</v>
      </c>
      <c r="D1443" s="69" t="s">
        <v>27</v>
      </c>
      <c r="E1443" s="134" t="s">
        <v>1492</v>
      </c>
      <c r="F1443" s="134" t="s">
        <v>1492</v>
      </c>
      <c r="G1443" s="134" t="s">
        <v>1492</v>
      </c>
      <c r="H1443" s="134" t="s">
        <v>1492</v>
      </c>
      <c r="I1443" s="71">
        <v>0.9</v>
      </c>
      <c r="J1443" s="72">
        <v>0</v>
      </c>
      <c r="K1443" s="72">
        <v>0</v>
      </c>
      <c r="L1443" s="73">
        <v>0</v>
      </c>
      <c r="M1443" s="72">
        <v>0</v>
      </c>
      <c r="N1443" s="74">
        <v>0.9</v>
      </c>
      <c r="O1443" s="72">
        <v>0</v>
      </c>
      <c r="P1443" s="72">
        <v>0</v>
      </c>
      <c r="Q1443" s="72">
        <v>0</v>
      </c>
      <c r="R1443" s="72">
        <v>0</v>
      </c>
      <c r="S1443" s="74">
        <v>0.9</v>
      </c>
      <c r="T1443" s="72">
        <v>0</v>
      </c>
      <c r="U1443" s="72">
        <v>0</v>
      </c>
      <c r="V1443" s="72">
        <v>0</v>
      </c>
      <c r="W1443" s="72">
        <v>0.5</v>
      </c>
      <c r="X1443" s="74">
        <v>0.92</v>
      </c>
      <c r="Y1443" s="74">
        <v>0</v>
      </c>
      <c r="Z1443" s="74">
        <v>0</v>
      </c>
      <c r="AA1443" s="74">
        <v>0</v>
      </c>
      <c r="AB1443" s="74">
        <v>0</v>
      </c>
      <c r="AC1443" s="74">
        <v>0.92</v>
      </c>
      <c r="AD1443" s="72">
        <v>0.965608465608466</v>
      </c>
      <c r="AE1443" s="72">
        <v>0.958904109589041</v>
      </c>
      <c r="AF1443" s="72">
        <v>1</v>
      </c>
      <c r="AG1443" s="72">
        <v>0.991879350348028</v>
      </c>
      <c r="AH1443" s="74">
        <v>0.92</v>
      </c>
      <c r="AI1443" s="72">
        <v>0</v>
      </c>
      <c r="AJ1443" s="72">
        <v>0</v>
      </c>
      <c r="AK1443" s="72">
        <v>0</v>
      </c>
      <c r="AL1443" s="72">
        <v>0.333333333333333</v>
      </c>
      <c r="AM1443" s="71">
        <v>0.99</v>
      </c>
      <c r="AN1443" s="76">
        <v>0</v>
      </c>
      <c r="AO1443" s="76">
        <v>0</v>
      </c>
      <c r="AP1443" s="76">
        <v>0</v>
      </c>
      <c r="AQ1443" s="76">
        <v>0</v>
      </c>
      <c r="AR1443" s="96">
        <v>0.110069253262963</v>
      </c>
      <c r="AS1443" s="80">
        <v>0</v>
      </c>
      <c r="AT1443" s="80">
        <v>0</v>
      </c>
      <c r="AU1443" s="80">
        <v>0</v>
      </c>
      <c r="AV1443" s="80">
        <v>0</v>
      </c>
      <c r="AW1443" s="36"/>
      <c r="AX1443" s="34"/>
    </row>
    <row r="1444" ht="14.5" spans="1:50">
      <c r="A1444" s="32"/>
      <c r="B1444" s="36"/>
      <c r="C1444" s="91" t="s">
        <v>1473</v>
      </c>
      <c r="D1444" s="69" t="s">
        <v>27</v>
      </c>
      <c r="E1444" s="134" t="s">
        <v>1493</v>
      </c>
      <c r="F1444" s="134" t="s">
        <v>1493</v>
      </c>
      <c r="G1444" s="134" t="s">
        <v>1493</v>
      </c>
      <c r="H1444" s="134" t="s">
        <v>1493</v>
      </c>
      <c r="I1444" s="71">
        <v>0.9</v>
      </c>
      <c r="J1444" s="72">
        <v>0</v>
      </c>
      <c r="K1444" s="72">
        <v>0</v>
      </c>
      <c r="L1444" s="73">
        <v>0</v>
      </c>
      <c r="M1444" s="72">
        <v>0</v>
      </c>
      <c r="N1444" s="74">
        <v>0.9</v>
      </c>
      <c r="O1444" s="72">
        <v>0</v>
      </c>
      <c r="P1444" s="72">
        <v>0</v>
      </c>
      <c r="Q1444" s="72">
        <v>0</v>
      </c>
      <c r="R1444" s="72">
        <v>0</v>
      </c>
      <c r="S1444" s="74">
        <v>0.9</v>
      </c>
      <c r="T1444" s="72">
        <v>0</v>
      </c>
      <c r="U1444" s="72">
        <v>0</v>
      </c>
      <c r="V1444" s="72">
        <v>0</v>
      </c>
      <c r="W1444" s="72">
        <v>0</v>
      </c>
      <c r="X1444" s="74">
        <v>0.92</v>
      </c>
      <c r="Y1444" s="74">
        <v>0</v>
      </c>
      <c r="Z1444" s="74">
        <v>0</v>
      </c>
      <c r="AA1444" s="74">
        <v>0</v>
      </c>
      <c r="AB1444" s="74">
        <v>0</v>
      </c>
      <c r="AC1444" s="74">
        <v>0.92</v>
      </c>
      <c r="AD1444" s="72">
        <v>0.8125</v>
      </c>
      <c r="AE1444" s="72">
        <v>0.235294117647059</v>
      </c>
      <c r="AF1444" s="72">
        <v>0.2</v>
      </c>
      <c r="AG1444" s="72">
        <v>0.381818181818182</v>
      </c>
      <c r="AH1444" s="74">
        <v>0.92</v>
      </c>
      <c r="AI1444" s="72">
        <v>0</v>
      </c>
      <c r="AJ1444" s="72">
        <v>0</v>
      </c>
      <c r="AK1444" s="72">
        <v>0</v>
      </c>
      <c r="AL1444" s="72">
        <v>0</v>
      </c>
      <c r="AM1444" s="71">
        <v>0.99</v>
      </c>
      <c r="AN1444" s="76">
        <v>0</v>
      </c>
      <c r="AO1444" s="76">
        <v>0</v>
      </c>
      <c r="AP1444" s="76">
        <v>0</v>
      </c>
      <c r="AQ1444" s="76">
        <v>0</v>
      </c>
      <c r="AR1444" s="96">
        <v>0.110069253262963</v>
      </c>
      <c r="AS1444" s="80">
        <v>0</v>
      </c>
      <c r="AT1444" s="80">
        <v>0</v>
      </c>
      <c r="AU1444" s="80">
        <v>0</v>
      </c>
      <c r="AV1444" s="80">
        <v>0</v>
      </c>
      <c r="AW1444" s="36"/>
      <c r="AX1444" s="34"/>
    </row>
    <row r="1445" ht="14.5" spans="1:50">
      <c r="A1445" s="32"/>
      <c r="B1445" s="36"/>
      <c r="C1445" s="91" t="s">
        <v>1473</v>
      </c>
      <c r="D1445" s="69" t="s">
        <v>27</v>
      </c>
      <c r="E1445" s="134" t="s">
        <v>1494</v>
      </c>
      <c r="F1445" s="134" t="s">
        <v>1494</v>
      </c>
      <c r="G1445" s="134" t="s">
        <v>1494</v>
      </c>
      <c r="H1445" s="134" t="s">
        <v>1494</v>
      </c>
      <c r="I1445" s="71">
        <v>0.9</v>
      </c>
      <c r="J1445" s="72">
        <v>0</v>
      </c>
      <c r="K1445" s="72">
        <v>0</v>
      </c>
      <c r="L1445" s="73">
        <v>0</v>
      </c>
      <c r="M1445" s="72">
        <v>0</v>
      </c>
      <c r="N1445" s="74">
        <v>0.9</v>
      </c>
      <c r="O1445" s="72">
        <v>0</v>
      </c>
      <c r="P1445" s="72">
        <v>0</v>
      </c>
      <c r="Q1445" s="72">
        <v>0</v>
      </c>
      <c r="R1445" s="72">
        <v>0</v>
      </c>
      <c r="S1445" s="74">
        <v>0.9</v>
      </c>
      <c r="T1445" s="72">
        <v>0</v>
      </c>
      <c r="U1445" s="72">
        <v>0</v>
      </c>
      <c r="V1445" s="72">
        <v>0</v>
      </c>
      <c r="W1445" s="72">
        <v>0</v>
      </c>
      <c r="X1445" s="74">
        <v>0.92</v>
      </c>
      <c r="Y1445" s="74">
        <v>0</v>
      </c>
      <c r="Z1445" s="74">
        <v>0</v>
      </c>
      <c r="AA1445" s="74">
        <v>0</v>
      </c>
      <c r="AB1445" s="74">
        <v>0</v>
      </c>
      <c r="AC1445" s="74">
        <v>0.92</v>
      </c>
      <c r="AD1445" s="72">
        <v>0.571428571428571</v>
      </c>
      <c r="AE1445" s="72">
        <v>0.555555555555556</v>
      </c>
      <c r="AF1445" s="72">
        <v>1</v>
      </c>
      <c r="AG1445" s="72">
        <v>0.802631578947368</v>
      </c>
      <c r="AH1445" s="74">
        <v>0.92</v>
      </c>
      <c r="AI1445" s="72">
        <v>0</v>
      </c>
      <c r="AJ1445" s="72">
        <v>0</v>
      </c>
      <c r="AK1445" s="72">
        <v>0</v>
      </c>
      <c r="AL1445" s="72">
        <v>0</v>
      </c>
      <c r="AM1445" s="71">
        <v>0.99</v>
      </c>
      <c r="AN1445" s="76">
        <v>0</v>
      </c>
      <c r="AO1445" s="76">
        <v>0</v>
      </c>
      <c r="AP1445" s="76">
        <v>0</v>
      </c>
      <c r="AQ1445" s="76">
        <v>0</v>
      </c>
      <c r="AR1445" s="96">
        <v>0.110069253262963</v>
      </c>
      <c r="AS1445" s="80">
        <v>0</v>
      </c>
      <c r="AT1445" s="80">
        <v>0</v>
      </c>
      <c r="AU1445" s="80">
        <v>0</v>
      </c>
      <c r="AV1445" s="80">
        <v>0</v>
      </c>
      <c r="AW1445" s="36"/>
      <c r="AX1445" s="34"/>
    </row>
    <row r="1446" ht="14.5" spans="1:50">
      <c r="A1446" s="32"/>
      <c r="B1446" s="36"/>
      <c r="C1446" s="91" t="s">
        <v>1473</v>
      </c>
      <c r="D1446" s="69" t="s">
        <v>27</v>
      </c>
      <c r="E1446" s="135" t="s">
        <v>1495</v>
      </c>
      <c r="F1446" s="135" t="s">
        <v>1495</v>
      </c>
      <c r="G1446" s="135" t="s">
        <v>1495</v>
      </c>
      <c r="H1446" s="135" t="s">
        <v>1495</v>
      </c>
      <c r="I1446" s="71">
        <v>0.9</v>
      </c>
      <c r="J1446" s="72">
        <v>0</v>
      </c>
      <c r="K1446" s="72">
        <v>0</v>
      </c>
      <c r="L1446" s="73">
        <v>0</v>
      </c>
      <c r="M1446" s="72">
        <v>0</v>
      </c>
      <c r="N1446" s="74">
        <v>0.9</v>
      </c>
      <c r="O1446" s="72">
        <v>0</v>
      </c>
      <c r="P1446" s="72">
        <v>0</v>
      </c>
      <c r="Q1446" s="72">
        <v>0</v>
      </c>
      <c r="R1446" s="72">
        <v>0</v>
      </c>
      <c r="S1446" s="74">
        <v>0.9</v>
      </c>
      <c r="T1446" s="72">
        <v>0</v>
      </c>
      <c r="U1446" s="72">
        <v>0.333333333333333</v>
      </c>
      <c r="V1446" s="72">
        <v>1</v>
      </c>
      <c r="W1446" s="72">
        <v>0.5</v>
      </c>
      <c r="X1446" s="74">
        <v>0.92</v>
      </c>
      <c r="Y1446" s="74">
        <v>0</v>
      </c>
      <c r="Z1446" s="74">
        <v>0</v>
      </c>
      <c r="AA1446" s="74">
        <v>0</v>
      </c>
      <c r="AB1446" s="74">
        <v>0.5</v>
      </c>
      <c r="AC1446" s="74">
        <v>0.92</v>
      </c>
      <c r="AD1446" s="72">
        <v>0.999662433014051</v>
      </c>
      <c r="AE1446" s="72">
        <v>0.999086267132491</v>
      </c>
      <c r="AF1446" s="72">
        <v>0.999812053627365</v>
      </c>
      <c r="AG1446" s="72">
        <v>0.999722607489598</v>
      </c>
      <c r="AH1446" s="74">
        <v>0.92</v>
      </c>
      <c r="AI1446" s="72">
        <v>0.8</v>
      </c>
      <c r="AJ1446" s="72">
        <v>0.5</v>
      </c>
      <c r="AK1446" s="72">
        <v>1</v>
      </c>
      <c r="AL1446" s="72">
        <v>0.592592592592593</v>
      </c>
      <c r="AM1446" s="71">
        <v>0.99</v>
      </c>
      <c r="AN1446" s="76">
        <v>1</v>
      </c>
      <c r="AO1446" s="76">
        <v>0</v>
      </c>
      <c r="AP1446" s="76">
        <v>1</v>
      </c>
      <c r="AQ1446" s="76">
        <v>1</v>
      </c>
      <c r="AR1446" s="96">
        <v>0.110069253262963</v>
      </c>
      <c r="AS1446" s="80">
        <v>0</v>
      </c>
      <c r="AT1446" s="80">
        <v>0</v>
      </c>
      <c r="AU1446" s="80">
        <v>0</v>
      </c>
      <c r="AV1446" s="80">
        <v>0</v>
      </c>
      <c r="AW1446" s="36"/>
      <c r="AX1446" s="34"/>
    </row>
    <row r="1447" ht="14.5" spans="1:50">
      <c r="A1447" s="32"/>
      <c r="B1447" s="36"/>
      <c r="C1447" s="91" t="s">
        <v>1473</v>
      </c>
      <c r="D1447" s="69" t="s">
        <v>27</v>
      </c>
      <c r="E1447" s="135" t="s">
        <v>1496</v>
      </c>
      <c r="F1447" s="135" t="s">
        <v>1496</v>
      </c>
      <c r="G1447" s="135" t="s">
        <v>1496</v>
      </c>
      <c r="H1447" s="135" t="s">
        <v>1496</v>
      </c>
      <c r="I1447" s="71">
        <v>0.9</v>
      </c>
      <c r="J1447" s="72">
        <v>0</v>
      </c>
      <c r="K1447" s="72">
        <v>0</v>
      </c>
      <c r="L1447" s="73">
        <v>0</v>
      </c>
      <c r="M1447" s="72">
        <v>0</v>
      </c>
      <c r="N1447" s="74">
        <v>0.9</v>
      </c>
      <c r="O1447" s="72">
        <v>0</v>
      </c>
      <c r="P1447" s="72">
        <v>0</v>
      </c>
      <c r="Q1447" s="72">
        <v>0</v>
      </c>
      <c r="R1447" s="72">
        <v>0</v>
      </c>
      <c r="S1447" s="74">
        <v>0.9</v>
      </c>
      <c r="T1447" s="72">
        <v>0</v>
      </c>
      <c r="U1447" s="72">
        <v>0</v>
      </c>
      <c r="V1447" s="72">
        <v>0</v>
      </c>
      <c r="W1447" s="72">
        <v>0</v>
      </c>
      <c r="X1447" s="74">
        <v>0.92</v>
      </c>
      <c r="Y1447" s="74">
        <v>0</v>
      </c>
      <c r="Z1447" s="74">
        <v>0</v>
      </c>
      <c r="AA1447" s="74">
        <v>0</v>
      </c>
      <c r="AB1447" s="74">
        <v>0</v>
      </c>
      <c r="AC1447" s="74">
        <v>0.92</v>
      </c>
      <c r="AD1447" s="72">
        <v>0.94949494949495</v>
      </c>
      <c r="AE1447" s="72">
        <v>0.923611111111111</v>
      </c>
      <c r="AF1447" s="72">
        <v>0.881118881118881</v>
      </c>
      <c r="AG1447" s="72">
        <v>0.906455862977602</v>
      </c>
      <c r="AH1447" s="74">
        <v>0.92</v>
      </c>
      <c r="AI1447" s="72">
        <v>0</v>
      </c>
      <c r="AJ1447" s="72">
        <v>0</v>
      </c>
      <c r="AK1447" s="72">
        <v>0</v>
      </c>
      <c r="AL1447" s="72">
        <v>0</v>
      </c>
      <c r="AM1447" s="71">
        <v>0.99</v>
      </c>
      <c r="AN1447" s="76">
        <v>1</v>
      </c>
      <c r="AO1447" s="76">
        <v>1</v>
      </c>
      <c r="AP1447" s="76">
        <v>1</v>
      </c>
      <c r="AQ1447" s="76">
        <v>1</v>
      </c>
      <c r="AR1447" s="96">
        <v>0.110069253262963</v>
      </c>
      <c r="AS1447" s="80">
        <v>0</v>
      </c>
      <c r="AT1447" s="80">
        <v>0</v>
      </c>
      <c r="AU1447" s="80">
        <v>0</v>
      </c>
      <c r="AV1447" s="80">
        <v>0</v>
      </c>
      <c r="AW1447" s="36"/>
      <c r="AX1447" s="34"/>
    </row>
    <row r="1448" ht="14.5" spans="1:50">
      <c r="A1448" s="32"/>
      <c r="B1448" s="36"/>
      <c r="C1448" s="91" t="s">
        <v>1473</v>
      </c>
      <c r="D1448" s="69" t="s">
        <v>27</v>
      </c>
      <c r="E1448" s="135" t="s">
        <v>1497</v>
      </c>
      <c r="F1448" s="135" t="s">
        <v>1497</v>
      </c>
      <c r="G1448" s="135" t="s">
        <v>1497</v>
      </c>
      <c r="H1448" s="135" t="s">
        <v>1497</v>
      </c>
      <c r="I1448" s="71">
        <v>0.9</v>
      </c>
      <c r="J1448" s="72">
        <v>0</v>
      </c>
      <c r="K1448" s="72">
        <v>0</v>
      </c>
      <c r="L1448" s="73">
        <v>0</v>
      </c>
      <c r="M1448" s="72">
        <v>0</v>
      </c>
      <c r="N1448" s="74">
        <v>0.9</v>
      </c>
      <c r="O1448" s="72">
        <v>0</v>
      </c>
      <c r="P1448" s="72">
        <v>0</v>
      </c>
      <c r="Q1448" s="72">
        <v>0</v>
      </c>
      <c r="R1448" s="72">
        <v>0</v>
      </c>
      <c r="S1448" s="74">
        <v>0.9</v>
      </c>
      <c r="T1448" s="72">
        <v>0</v>
      </c>
      <c r="U1448" s="72">
        <v>0</v>
      </c>
      <c r="V1448" s="72">
        <v>0</v>
      </c>
      <c r="W1448" s="72">
        <v>0</v>
      </c>
      <c r="X1448" s="74">
        <v>0.92</v>
      </c>
      <c r="Y1448" s="74">
        <v>0</v>
      </c>
      <c r="Z1448" s="74">
        <v>0</v>
      </c>
      <c r="AA1448" s="74">
        <v>0</v>
      </c>
      <c r="AB1448" s="74">
        <v>0</v>
      </c>
      <c r="AC1448" s="74">
        <v>0.92</v>
      </c>
      <c r="AD1448" s="72">
        <v>1</v>
      </c>
      <c r="AE1448" s="72">
        <v>1</v>
      </c>
      <c r="AF1448" s="72">
        <v>0.996884735202492</v>
      </c>
      <c r="AG1448" s="72">
        <v>0.867119301648885</v>
      </c>
      <c r="AH1448" s="74">
        <v>0.92</v>
      </c>
      <c r="AI1448" s="72">
        <v>0</v>
      </c>
      <c r="AJ1448" s="72">
        <v>0</v>
      </c>
      <c r="AK1448" s="72">
        <v>0</v>
      </c>
      <c r="AL1448" s="72">
        <v>0</v>
      </c>
      <c r="AM1448" s="71">
        <v>0.99</v>
      </c>
      <c r="AN1448" s="76">
        <v>0</v>
      </c>
      <c r="AO1448" s="76">
        <v>1</v>
      </c>
      <c r="AP1448" s="76">
        <v>1</v>
      </c>
      <c r="AQ1448" s="76">
        <v>1</v>
      </c>
      <c r="AR1448" s="96">
        <v>0.110069253262963</v>
      </c>
      <c r="AS1448" s="80">
        <v>0</v>
      </c>
      <c r="AT1448" s="80">
        <v>0</v>
      </c>
      <c r="AU1448" s="80">
        <v>0</v>
      </c>
      <c r="AV1448" s="80">
        <v>0</v>
      </c>
      <c r="AW1448" s="36"/>
      <c r="AX1448" s="34"/>
    </row>
    <row r="1449" ht="14.5" spans="1:50">
      <c r="A1449" s="32"/>
      <c r="B1449" s="36"/>
      <c r="C1449" s="91" t="s">
        <v>1473</v>
      </c>
      <c r="D1449" s="69" t="s">
        <v>27</v>
      </c>
      <c r="E1449" s="134" t="s">
        <v>1498</v>
      </c>
      <c r="F1449" s="134" t="s">
        <v>1498</v>
      </c>
      <c r="G1449" s="134" t="s">
        <v>1498</v>
      </c>
      <c r="H1449" s="134" t="s">
        <v>1498</v>
      </c>
      <c r="I1449" s="71">
        <v>0.9</v>
      </c>
      <c r="J1449" s="72">
        <v>0</v>
      </c>
      <c r="K1449" s="72">
        <v>0</v>
      </c>
      <c r="L1449" s="73">
        <v>0</v>
      </c>
      <c r="M1449" s="72">
        <v>0</v>
      </c>
      <c r="N1449" s="74">
        <v>0.9</v>
      </c>
      <c r="O1449" s="72">
        <v>0</v>
      </c>
      <c r="P1449" s="72">
        <v>0</v>
      </c>
      <c r="Q1449" s="72">
        <v>0</v>
      </c>
      <c r="R1449" s="72">
        <v>0</v>
      </c>
      <c r="S1449" s="74">
        <v>0.9</v>
      </c>
      <c r="T1449" s="72">
        <v>0</v>
      </c>
      <c r="U1449" s="72">
        <v>0</v>
      </c>
      <c r="V1449" s="72">
        <v>0</v>
      </c>
      <c r="W1449" s="72">
        <v>0</v>
      </c>
      <c r="X1449" s="74">
        <v>0.92</v>
      </c>
      <c r="Y1449" s="74">
        <v>0</v>
      </c>
      <c r="Z1449" s="74">
        <v>0</v>
      </c>
      <c r="AA1449" s="74">
        <v>0</v>
      </c>
      <c r="AB1449" s="74">
        <v>0</v>
      </c>
      <c r="AC1449" s="74">
        <v>0.92</v>
      </c>
      <c r="AD1449" s="72">
        <v>0.865853658536585</v>
      </c>
      <c r="AE1449" s="72">
        <v>0.25</v>
      </c>
      <c r="AF1449" s="72">
        <v>0.636363636363636</v>
      </c>
      <c r="AG1449" s="72">
        <v>0.535573122529644</v>
      </c>
      <c r="AH1449" s="74">
        <v>0.92</v>
      </c>
      <c r="AI1449" s="72">
        <v>0</v>
      </c>
      <c r="AJ1449" s="72">
        <v>0</v>
      </c>
      <c r="AK1449" s="72">
        <v>0</v>
      </c>
      <c r="AL1449" s="72">
        <v>0</v>
      </c>
      <c r="AM1449" s="71">
        <v>0.99</v>
      </c>
      <c r="AN1449" s="76">
        <v>0</v>
      </c>
      <c r="AO1449" s="76">
        <v>0</v>
      </c>
      <c r="AP1449" s="76">
        <v>0</v>
      </c>
      <c r="AQ1449" s="76">
        <v>1</v>
      </c>
      <c r="AR1449" s="96">
        <v>0.110069253262963</v>
      </c>
      <c r="AS1449" s="80">
        <v>0</v>
      </c>
      <c r="AT1449" s="80">
        <v>0</v>
      </c>
      <c r="AU1449" s="80">
        <v>0</v>
      </c>
      <c r="AV1449" s="80">
        <v>0</v>
      </c>
      <c r="AW1449" s="36"/>
      <c r="AX1449" s="34"/>
    </row>
    <row r="1450" ht="14.5" spans="1:50">
      <c r="A1450" s="32"/>
      <c r="B1450" s="36"/>
      <c r="C1450" s="91" t="s">
        <v>1473</v>
      </c>
      <c r="D1450" s="69" t="s">
        <v>27</v>
      </c>
      <c r="E1450" s="134" t="s">
        <v>1499</v>
      </c>
      <c r="F1450" s="134" t="s">
        <v>1499</v>
      </c>
      <c r="G1450" s="134" t="s">
        <v>1499</v>
      </c>
      <c r="H1450" s="134" t="s">
        <v>1499</v>
      </c>
      <c r="I1450" s="71">
        <v>0.9</v>
      </c>
      <c r="J1450" s="72">
        <v>0</v>
      </c>
      <c r="K1450" s="72">
        <v>0</v>
      </c>
      <c r="L1450" s="73">
        <v>0</v>
      </c>
      <c r="M1450" s="72">
        <v>0</v>
      </c>
      <c r="N1450" s="74">
        <v>0.9</v>
      </c>
      <c r="O1450" s="72">
        <v>0</v>
      </c>
      <c r="P1450" s="72">
        <v>0</v>
      </c>
      <c r="Q1450" s="72">
        <v>0</v>
      </c>
      <c r="R1450" s="72">
        <v>0</v>
      </c>
      <c r="S1450" s="74">
        <v>0.9</v>
      </c>
      <c r="T1450" s="72">
        <v>1</v>
      </c>
      <c r="U1450" s="72">
        <v>1</v>
      </c>
      <c r="V1450" s="72">
        <v>0</v>
      </c>
      <c r="W1450" s="72">
        <v>0.8</v>
      </c>
      <c r="X1450" s="74">
        <v>0.92</v>
      </c>
      <c r="Y1450" s="74">
        <v>0</v>
      </c>
      <c r="Z1450" s="74">
        <v>0</v>
      </c>
      <c r="AA1450" s="74">
        <v>0</v>
      </c>
      <c r="AB1450" s="74">
        <v>0</v>
      </c>
      <c r="AC1450" s="74">
        <v>0.92</v>
      </c>
      <c r="AD1450" s="72">
        <v>0.997237569060773</v>
      </c>
      <c r="AE1450" s="72">
        <v>0.767609539656129</v>
      </c>
      <c r="AF1450" s="72">
        <v>0.68135593220339</v>
      </c>
      <c r="AG1450" s="72">
        <v>0.716938188787734</v>
      </c>
      <c r="AH1450" s="74">
        <v>0.92</v>
      </c>
      <c r="AI1450" s="72">
        <v>1</v>
      </c>
      <c r="AJ1450" s="72">
        <v>1</v>
      </c>
      <c r="AK1450" s="72">
        <v>0</v>
      </c>
      <c r="AL1450" s="72">
        <v>0.727272727272727</v>
      </c>
      <c r="AM1450" s="71">
        <v>0.99</v>
      </c>
      <c r="AN1450" s="76">
        <v>1</v>
      </c>
      <c r="AO1450" s="76">
        <v>1</v>
      </c>
      <c r="AP1450" s="76">
        <v>0</v>
      </c>
      <c r="AQ1450" s="76">
        <v>1</v>
      </c>
      <c r="AR1450" s="96">
        <v>0.110069253262963</v>
      </c>
      <c r="AS1450" s="80">
        <v>0</v>
      </c>
      <c r="AT1450" s="80">
        <v>0</v>
      </c>
      <c r="AU1450" s="80">
        <v>0</v>
      </c>
      <c r="AV1450" s="80">
        <v>0</v>
      </c>
      <c r="AW1450" s="36"/>
      <c r="AX1450" s="34"/>
    </row>
    <row r="1451" ht="14.5" spans="1:50">
      <c r="A1451" s="32"/>
      <c r="B1451" s="36"/>
      <c r="C1451" s="91" t="s">
        <v>1473</v>
      </c>
      <c r="D1451" s="69" t="s">
        <v>27</v>
      </c>
      <c r="E1451" s="134" t="s">
        <v>1500</v>
      </c>
      <c r="F1451" s="134" t="s">
        <v>1500</v>
      </c>
      <c r="G1451" s="134" t="s">
        <v>1500</v>
      </c>
      <c r="H1451" s="134" t="s">
        <v>1500</v>
      </c>
      <c r="I1451" s="71">
        <v>0.9</v>
      </c>
      <c r="J1451" s="72">
        <v>0</v>
      </c>
      <c r="K1451" s="72">
        <v>0</v>
      </c>
      <c r="L1451" s="73">
        <v>0</v>
      </c>
      <c r="M1451" s="72">
        <v>0</v>
      </c>
      <c r="N1451" s="74">
        <v>0.9</v>
      </c>
      <c r="O1451" s="72">
        <v>0</v>
      </c>
      <c r="P1451" s="72">
        <v>0</v>
      </c>
      <c r="Q1451" s="72">
        <v>0</v>
      </c>
      <c r="R1451" s="72">
        <v>0</v>
      </c>
      <c r="S1451" s="74">
        <v>0.9</v>
      </c>
      <c r="T1451" s="72">
        <v>0</v>
      </c>
      <c r="U1451" s="72">
        <v>0</v>
      </c>
      <c r="V1451" s="72">
        <v>0</v>
      </c>
      <c r="W1451" s="72">
        <v>0</v>
      </c>
      <c r="X1451" s="74">
        <v>0.92</v>
      </c>
      <c r="Y1451" s="74">
        <v>0</v>
      </c>
      <c r="Z1451" s="74">
        <v>0</v>
      </c>
      <c r="AA1451" s="74">
        <v>0</v>
      </c>
      <c r="AB1451" s="74">
        <v>0</v>
      </c>
      <c r="AC1451" s="74">
        <v>0.92</v>
      </c>
      <c r="AD1451" s="72">
        <v>1</v>
      </c>
      <c r="AE1451" s="72">
        <v>1</v>
      </c>
      <c r="AF1451" s="72">
        <v>0.966666666666667</v>
      </c>
      <c r="AG1451" s="72">
        <v>0.786144578313253</v>
      </c>
      <c r="AH1451" s="74">
        <v>0.92</v>
      </c>
      <c r="AI1451" s="72">
        <v>0</v>
      </c>
      <c r="AJ1451" s="72">
        <v>0</v>
      </c>
      <c r="AK1451" s="72">
        <v>0</v>
      </c>
      <c r="AL1451" s="72">
        <v>0</v>
      </c>
      <c r="AM1451" s="71">
        <v>0.99</v>
      </c>
      <c r="AN1451" s="76">
        <v>0</v>
      </c>
      <c r="AO1451" s="76">
        <v>0</v>
      </c>
      <c r="AP1451" s="76">
        <v>0</v>
      </c>
      <c r="AQ1451" s="76">
        <v>1</v>
      </c>
      <c r="AR1451" s="96">
        <v>0.110069253262963</v>
      </c>
      <c r="AS1451" s="80">
        <v>0</v>
      </c>
      <c r="AT1451" s="80">
        <v>0</v>
      </c>
      <c r="AU1451" s="80">
        <v>0</v>
      </c>
      <c r="AV1451" s="80">
        <v>0</v>
      </c>
      <c r="AW1451" s="36"/>
      <c r="AX1451" s="34"/>
    </row>
    <row r="1452" ht="14.5" spans="1:50">
      <c r="A1452" s="32"/>
      <c r="B1452" s="36"/>
      <c r="C1452" s="91" t="s">
        <v>1473</v>
      </c>
      <c r="D1452" s="69" t="s">
        <v>27</v>
      </c>
      <c r="E1452" s="134" t="s">
        <v>1501</v>
      </c>
      <c r="F1452" s="134" t="s">
        <v>1501</v>
      </c>
      <c r="G1452" s="134" t="s">
        <v>1501</v>
      </c>
      <c r="H1452" s="134" t="s">
        <v>1501</v>
      </c>
      <c r="I1452" s="71">
        <v>0.9</v>
      </c>
      <c r="J1452" s="72">
        <v>0</v>
      </c>
      <c r="K1452" s="72">
        <v>0</v>
      </c>
      <c r="L1452" s="73">
        <v>0</v>
      </c>
      <c r="M1452" s="72">
        <v>0</v>
      </c>
      <c r="N1452" s="74">
        <v>0.9</v>
      </c>
      <c r="O1452" s="72">
        <v>0</v>
      </c>
      <c r="P1452" s="72">
        <v>0</v>
      </c>
      <c r="Q1452" s="72">
        <v>0</v>
      </c>
      <c r="R1452" s="72">
        <v>0</v>
      </c>
      <c r="S1452" s="74">
        <v>0.9</v>
      </c>
      <c r="T1452" s="72">
        <v>0</v>
      </c>
      <c r="U1452" s="72">
        <v>0</v>
      </c>
      <c r="V1452" s="72">
        <v>0</v>
      </c>
      <c r="W1452" s="72">
        <v>0</v>
      </c>
      <c r="X1452" s="74">
        <v>0.92</v>
      </c>
      <c r="Y1452" s="74">
        <v>0</v>
      </c>
      <c r="Z1452" s="74">
        <v>0</v>
      </c>
      <c r="AA1452" s="74">
        <v>0</v>
      </c>
      <c r="AB1452" s="74">
        <v>0</v>
      </c>
      <c r="AC1452" s="74">
        <v>0.92</v>
      </c>
      <c r="AD1452" s="72">
        <v>0.955882352941177</v>
      </c>
      <c r="AE1452" s="72">
        <v>0.896551724137931</v>
      </c>
      <c r="AF1452" s="72">
        <v>0.944444444444444</v>
      </c>
      <c r="AG1452" s="72">
        <v>0.973490427098675</v>
      </c>
      <c r="AH1452" s="74">
        <v>0.92</v>
      </c>
      <c r="AI1452" s="72">
        <v>0</v>
      </c>
      <c r="AJ1452" s="72">
        <v>0</v>
      </c>
      <c r="AK1452" s="72">
        <v>0</v>
      </c>
      <c r="AL1452" s="72">
        <v>0</v>
      </c>
      <c r="AM1452" s="71">
        <v>0.99</v>
      </c>
      <c r="AN1452" s="76">
        <v>0</v>
      </c>
      <c r="AO1452" s="76">
        <v>0</v>
      </c>
      <c r="AP1452" s="76">
        <v>0</v>
      </c>
      <c r="AQ1452" s="76">
        <v>1</v>
      </c>
      <c r="AR1452" s="96">
        <v>0.110069253262963</v>
      </c>
      <c r="AS1452" s="80">
        <v>0</v>
      </c>
      <c r="AT1452" s="80">
        <v>0</v>
      </c>
      <c r="AU1452" s="80">
        <v>0</v>
      </c>
      <c r="AV1452" s="80">
        <v>0</v>
      </c>
      <c r="AW1452" s="36"/>
      <c r="AX1452" s="34"/>
    </row>
    <row r="1453" ht="14.5" spans="1:50">
      <c r="A1453" s="32"/>
      <c r="B1453" s="36"/>
      <c r="C1453" s="91" t="s">
        <v>1473</v>
      </c>
      <c r="D1453" s="69" t="s">
        <v>27</v>
      </c>
      <c r="E1453" s="134" t="s">
        <v>1502</v>
      </c>
      <c r="F1453" s="134" t="s">
        <v>1502</v>
      </c>
      <c r="G1453" s="134" t="s">
        <v>1502</v>
      </c>
      <c r="H1453" s="134" t="s">
        <v>1502</v>
      </c>
      <c r="I1453" s="71">
        <v>0.9</v>
      </c>
      <c r="J1453" s="72">
        <v>0</v>
      </c>
      <c r="K1453" s="72">
        <v>0</v>
      </c>
      <c r="L1453" s="73">
        <v>0</v>
      </c>
      <c r="M1453" s="72">
        <v>0</v>
      </c>
      <c r="N1453" s="74">
        <v>0.9</v>
      </c>
      <c r="O1453" s="72">
        <v>0</v>
      </c>
      <c r="P1453" s="72">
        <v>0</v>
      </c>
      <c r="Q1453" s="72">
        <v>0</v>
      </c>
      <c r="R1453" s="72">
        <v>0</v>
      </c>
      <c r="S1453" s="74">
        <v>0.9</v>
      </c>
      <c r="T1453" s="72">
        <v>0</v>
      </c>
      <c r="U1453" s="72">
        <v>0</v>
      </c>
      <c r="V1453" s="72">
        <v>0</v>
      </c>
      <c r="W1453" s="72">
        <v>0</v>
      </c>
      <c r="X1453" s="74">
        <v>0.92</v>
      </c>
      <c r="Y1453" s="74">
        <v>0</v>
      </c>
      <c r="Z1453" s="74">
        <v>0</v>
      </c>
      <c r="AA1453" s="74">
        <v>0</v>
      </c>
      <c r="AB1453" s="74">
        <v>0</v>
      </c>
      <c r="AC1453" s="74">
        <v>0.92</v>
      </c>
      <c r="AD1453" s="72">
        <v>1</v>
      </c>
      <c r="AE1453" s="72">
        <v>1</v>
      </c>
      <c r="AF1453" s="72">
        <v>1</v>
      </c>
      <c r="AG1453" s="72">
        <v>0.998073217726397</v>
      </c>
      <c r="AH1453" s="74">
        <v>0.92</v>
      </c>
      <c r="AI1453" s="72">
        <v>0</v>
      </c>
      <c r="AJ1453" s="72">
        <v>0</v>
      </c>
      <c r="AK1453" s="72">
        <v>0</v>
      </c>
      <c r="AL1453" s="72">
        <v>0</v>
      </c>
      <c r="AM1453" s="71">
        <v>0.99</v>
      </c>
      <c r="AN1453" s="76">
        <v>0</v>
      </c>
      <c r="AO1453" s="76">
        <v>0</v>
      </c>
      <c r="AP1453" s="76">
        <v>0</v>
      </c>
      <c r="AQ1453" s="76">
        <v>0</v>
      </c>
      <c r="AR1453" s="96">
        <v>0.110069253262963</v>
      </c>
      <c r="AS1453" s="80">
        <v>0</v>
      </c>
      <c r="AT1453" s="80">
        <v>0</v>
      </c>
      <c r="AU1453" s="80">
        <v>0</v>
      </c>
      <c r="AV1453" s="80">
        <v>0</v>
      </c>
      <c r="AW1453" s="36"/>
      <c r="AX1453" s="34"/>
    </row>
    <row r="1454" ht="14.5" spans="1:50">
      <c r="A1454" s="32"/>
      <c r="B1454" s="36"/>
      <c r="C1454" s="91" t="s">
        <v>1473</v>
      </c>
      <c r="D1454" s="69" t="s">
        <v>27</v>
      </c>
      <c r="E1454" s="134" t="s">
        <v>1503</v>
      </c>
      <c r="F1454" s="134" t="s">
        <v>1503</v>
      </c>
      <c r="G1454" s="134" t="s">
        <v>1503</v>
      </c>
      <c r="H1454" s="134" t="s">
        <v>1503</v>
      </c>
      <c r="I1454" s="71">
        <v>0.9</v>
      </c>
      <c r="J1454" s="72">
        <v>0</v>
      </c>
      <c r="K1454" s="72">
        <v>0</v>
      </c>
      <c r="L1454" s="73">
        <v>0</v>
      </c>
      <c r="M1454" s="72">
        <v>0</v>
      </c>
      <c r="N1454" s="74">
        <v>0.9</v>
      </c>
      <c r="O1454" s="72">
        <v>0</v>
      </c>
      <c r="P1454" s="72">
        <v>0</v>
      </c>
      <c r="Q1454" s="72">
        <v>0</v>
      </c>
      <c r="R1454" s="72">
        <v>0</v>
      </c>
      <c r="S1454" s="74">
        <v>0.9</v>
      </c>
      <c r="T1454" s="72">
        <v>1</v>
      </c>
      <c r="U1454" s="72">
        <v>1</v>
      </c>
      <c r="V1454" s="72">
        <v>1</v>
      </c>
      <c r="W1454" s="72">
        <v>1</v>
      </c>
      <c r="X1454" s="74">
        <v>0.92</v>
      </c>
      <c r="Y1454" s="74">
        <v>0</v>
      </c>
      <c r="Z1454" s="74">
        <v>0</v>
      </c>
      <c r="AA1454" s="74">
        <v>0</v>
      </c>
      <c r="AB1454" s="74">
        <v>0.555555555555556</v>
      </c>
      <c r="AC1454" s="74">
        <v>0.92</v>
      </c>
      <c r="AD1454" s="72">
        <v>0.999692449638628</v>
      </c>
      <c r="AE1454" s="72">
        <v>0.997209538305429</v>
      </c>
      <c r="AF1454" s="72">
        <v>0.99711066165848</v>
      </c>
      <c r="AG1454" s="72">
        <v>0.994325978119785</v>
      </c>
      <c r="AH1454" s="74">
        <v>0.92</v>
      </c>
      <c r="AI1454" s="72">
        <v>0.944444444444444</v>
      </c>
      <c r="AJ1454" s="72">
        <v>0.875</v>
      </c>
      <c r="AK1454" s="72">
        <v>1</v>
      </c>
      <c r="AL1454" s="72">
        <v>0.96875</v>
      </c>
      <c r="AM1454" s="71">
        <v>0.99</v>
      </c>
      <c r="AN1454" s="76">
        <v>1</v>
      </c>
      <c r="AO1454" s="76">
        <v>1</v>
      </c>
      <c r="AP1454" s="76">
        <v>1</v>
      </c>
      <c r="AQ1454" s="76">
        <v>1</v>
      </c>
      <c r="AR1454" s="96">
        <v>0.110069253262963</v>
      </c>
      <c r="AS1454" s="80">
        <v>0</v>
      </c>
      <c r="AT1454" s="80">
        <v>0</v>
      </c>
      <c r="AU1454" s="80">
        <v>0</v>
      </c>
      <c r="AV1454" s="80">
        <v>0</v>
      </c>
      <c r="AW1454" s="36"/>
      <c r="AX1454" s="34"/>
    </row>
    <row r="1455" ht="14.5" spans="1:50">
      <c r="A1455" s="32"/>
      <c r="B1455" s="36"/>
      <c r="C1455" s="91" t="s">
        <v>1473</v>
      </c>
      <c r="D1455" s="69" t="s">
        <v>27</v>
      </c>
      <c r="E1455" s="134" t="s">
        <v>1504</v>
      </c>
      <c r="F1455" s="134" t="s">
        <v>1504</v>
      </c>
      <c r="G1455" s="134" t="s">
        <v>1504</v>
      </c>
      <c r="H1455" s="134" t="s">
        <v>1504</v>
      </c>
      <c r="I1455" s="71">
        <v>0.9</v>
      </c>
      <c r="J1455" s="72">
        <v>0</v>
      </c>
      <c r="K1455" s="72">
        <v>0</v>
      </c>
      <c r="L1455" s="73">
        <v>0</v>
      </c>
      <c r="M1455" s="72">
        <v>0</v>
      </c>
      <c r="N1455" s="74">
        <v>0.9</v>
      </c>
      <c r="O1455" s="72">
        <v>0</v>
      </c>
      <c r="P1455" s="72">
        <v>0</v>
      </c>
      <c r="Q1455" s="72">
        <v>0</v>
      </c>
      <c r="R1455" s="72">
        <v>0</v>
      </c>
      <c r="S1455" s="74">
        <v>0.9</v>
      </c>
      <c r="T1455" s="72">
        <v>0</v>
      </c>
      <c r="U1455" s="72">
        <v>0</v>
      </c>
      <c r="V1455" s="72">
        <v>0</v>
      </c>
      <c r="W1455" s="72">
        <v>0</v>
      </c>
      <c r="X1455" s="74">
        <v>0.92</v>
      </c>
      <c r="Y1455" s="74">
        <v>0</v>
      </c>
      <c r="Z1455" s="74">
        <v>0</v>
      </c>
      <c r="AA1455" s="74">
        <v>0</v>
      </c>
      <c r="AB1455" s="74">
        <v>0</v>
      </c>
      <c r="AC1455" s="74">
        <v>0.92</v>
      </c>
      <c r="AD1455" s="72">
        <v>1</v>
      </c>
      <c r="AE1455" s="72">
        <v>1</v>
      </c>
      <c r="AF1455" s="72">
        <v>1</v>
      </c>
      <c r="AG1455" s="72">
        <v>0.999824098504837</v>
      </c>
      <c r="AH1455" s="74">
        <v>0.92</v>
      </c>
      <c r="AI1455" s="72">
        <v>0</v>
      </c>
      <c r="AJ1455" s="72">
        <v>0</v>
      </c>
      <c r="AK1455" s="72">
        <v>0</v>
      </c>
      <c r="AL1455" s="72">
        <v>0</v>
      </c>
      <c r="AM1455" s="71">
        <v>0.99</v>
      </c>
      <c r="AN1455" s="76">
        <v>0</v>
      </c>
      <c r="AO1455" s="76">
        <v>0</v>
      </c>
      <c r="AP1455" s="76">
        <v>0</v>
      </c>
      <c r="AQ1455" s="76">
        <v>1</v>
      </c>
      <c r="AR1455" s="96">
        <v>0.110069253262963</v>
      </c>
      <c r="AS1455" s="80">
        <v>0</v>
      </c>
      <c r="AT1455" s="80">
        <v>0</v>
      </c>
      <c r="AU1455" s="80">
        <v>0</v>
      </c>
      <c r="AV1455" s="80">
        <v>0</v>
      </c>
      <c r="AW1455" s="36"/>
      <c r="AX1455" s="34"/>
    </row>
    <row r="1456" ht="14.5" spans="1:50">
      <c r="A1456" s="32"/>
      <c r="B1456" s="36"/>
      <c r="C1456" s="91" t="s">
        <v>1473</v>
      </c>
      <c r="D1456" s="69" t="s">
        <v>27</v>
      </c>
      <c r="E1456" s="134" t="s">
        <v>1505</v>
      </c>
      <c r="F1456" s="134" t="s">
        <v>1505</v>
      </c>
      <c r="G1456" s="134" t="s">
        <v>1505</v>
      </c>
      <c r="H1456" s="134" t="s">
        <v>1505</v>
      </c>
      <c r="I1456" s="71">
        <v>0.9</v>
      </c>
      <c r="J1456" s="72">
        <v>0</v>
      </c>
      <c r="K1456" s="72">
        <v>0</v>
      </c>
      <c r="L1456" s="73">
        <v>0</v>
      </c>
      <c r="M1456" s="72">
        <v>0</v>
      </c>
      <c r="N1456" s="74">
        <v>0.9</v>
      </c>
      <c r="O1456" s="72">
        <v>0</v>
      </c>
      <c r="P1456" s="72">
        <v>0</v>
      </c>
      <c r="Q1456" s="72">
        <v>0</v>
      </c>
      <c r="R1456" s="72">
        <v>0</v>
      </c>
      <c r="S1456" s="74">
        <v>0.9</v>
      </c>
      <c r="T1456" s="72">
        <v>0</v>
      </c>
      <c r="U1456" s="72">
        <v>0</v>
      </c>
      <c r="V1456" s="72">
        <v>0</v>
      </c>
      <c r="W1456" s="72">
        <v>0</v>
      </c>
      <c r="X1456" s="74">
        <v>0.92</v>
      </c>
      <c r="Y1456" s="74">
        <v>0</v>
      </c>
      <c r="Z1456" s="74">
        <v>0</v>
      </c>
      <c r="AA1456" s="74">
        <v>0</v>
      </c>
      <c r="AB1456" s="74">
        <v>0</v>
      </c>
      <c r="AC1456" s="74">
        <v>0.92</v>
      </c>
      <c r="AD1456" s="72">
        <v>0.995934959349594</v>
      </c>
      <c r="AE1456" s="72">
        <v>0.996503496503496</v>
      </c>
      <c r="AF1456" s="72">
        <v>0.993788819875776</v>
      </c>
      <c r="AG1456" s="72">
        <v>0.790618955512573</v>
      </c>
      <c r="AH1456" s="74">
        <v>0.92</v>
      </c>
      <c r="AI1456" s="72">
        <v>0</v>
      </c>
      <c r="AJ1456" s="72">
        <v>0</v>
      </c>
      <c r="AK1456" s="72">
        <v>0</v>
      </c>
      <c r="AL1456" s="72">
        <v>0</v>
      </c>
      <c r="AM1456" s="71">
        <v>0.99</v>
      </c>
      <c r="AN1456" s="76">
        <v>0</v>
      </c>
      <c r="AO1456" s="76">
        <v>0</v>
      </c>
      <c r="AP1456" s="76">
        <v>0</v>
      </c>
      <c r="AQ1456" s="76">
        <v>1</v>
      </c>
      <c r="AR1456" s="96">
        <v>0.110069253262963</v>
      </c>
      <c r="AS1456" s="80">
        <v>0</v>
      </c>
      <c r="AT1456" s="80">
        <v>0</v>
      </c>
      <c r="AU1456" s="80">
        <v>0</v>
      </c>
      <c r="AV1456" s="80">
        <v>0</v>
      </c>
      <c r="AW1456" s="36"/>
      <c r="AX1456" s="34"/>
    </row>
    <row r="1457" ht="14.5" spans="1:50">
      <c r="A1457" s="32"/>
      <c r="B1457" s="36"/>
      <c r="C1457" s="91" t="s">
        <v>1473</v>
      </c>
      <c r="D1457" s="69" t="s">
        <v>27</v>
      </c>
      <c r="E1457" s="136" t="s">
        <v>1506</v>
      </c>
      <c r="F1457" s="136" t="s">
        <v>1506</v>
      </c>
      <c r="G1457" s="136" t="s">
        <v>1506</v>
      </c>
      <c r="H1457" s="136" t="s">
        <v>1506</v>
      </c>
      <c r="I1457" s="71">
        <v>0.9</v>
      </c>
      <c r="J1457" s="72">
        <v>0</v>
      </c>
      <c r="K1457" s="72">
        <v>0</v>
      </c>
      <c r="L1457" s="73">
        <v>0</v>
      </c>
      <c r="M1457" s="72">
        <v>0</v>
      </c>
      <c r="N1457" s="74">
        <v>0.9</v>
      </c>
      <c r="O1457" s="72">
        <v>0</v>
      </c>
      <c r="P1457" s="72">
        <v>0</v>
      </c>
      <c r="Q1457" s="72">
        <v>0</v>
      </c>
      <c r="R1457" s="72">
        <v>0</v>
      </c>
      <c r="S1457" s="74">
        <v>0.9</v>
      </c>
      <c r="T1457" s="72">
        <v>0</v>
      </c>
      <c r="U1457" s="72">
        <v>0</v>
      </c>
      <c r="V1457" s="72">
        <v>0</v>
      </c>
      <c r="W1457" s="72">
        <v>0</v>
      </c>
      <c r="X1457" s="74">
        <v>0.92</v>
      </c>
      <c r="Y1457" s="74">
        <v>0</v>
      </c>
      <c r="Z1457" s="74">
        <v>0</v>
      </c>
      <c r="AA1457" s="74">
        <v>0</v>
      </c>
      <c r="AB1457" s="74">
        <v>0</v>
      </c>
      <c r="AC1457" s="74">
        <v>0.92</v>
      </c>
      <c r="AD1457" s="72">
        <v>0.930232558139535</v>
      </c>
      <c r="AE1457" s="72">
        <v>0.884057971014493</v>
      </c>
      <c r="AF1457" s="72">
        <v>0.936507936507937</v>
      </c>
      <c r="AG1457" s="72">
        <v>0.837226277372263</v>
      </c>
      <c r="AH1457" s="74">
        <v>0.92</v>
      </c>
      <c r="AI1457" s="72">
        <v>0</v>
      </c>
      <c r="AJ1457" s="72">
        <v>0</v>
      </c>
      <c r="AK1457" s="72">
        <v>0</v>
      </c>
      <c r="AL1457" s="72">
        <v>0</v>
      </c>
      <c r="AM1457" s="71">
        <v>0.99</v>
      </c>
      <c r="AN1457" s="76">
        <v>0</v>
      </c>
      <c r="AO1457" s="76">
        <v>1</v>
      </c>
      <c r="AP1457" s="76">
        <v>1</v>
      </c>
      <c r="AQ1457" s="76">
        <v>1</v>
      </c>
      <c r="AR1457" s="96">
        <v>0.110069253262963</v>
      </c>
      <c r="AS1457" s="80">
        <v>0</v>
      </c>
      <c r="AT1457" s="80">
        <v>0</v>
      </c>
      <c r="AU1457" s="80">
        <v>0</v>
      </c>
      <c r="AV1457" s="80">
        <v>0</v>
      </c>
      <c r="AW1457" s="36"/>
      <c r="AX1457" s="34"/>
    </row>
    <row r="1458" ht="14.5" spans="1:50">
      <c r="A1458" s="32"/>
      <c r="B1458" s="36"/>
      <c r="C1458" s="91" t="s">
        <v>1473</v>
      </c>
      <c r="D1458" s="69" t="s">
        <v>27</v>
      </c>
      <c r="E1458" s="136" t="s">
        <v>1507</v>
      </c>
      <c r="F1458" s="136" t="s">
        <v>1507</v>
      </c>
      <c r="G1458" s="136" t="s">
        <v>1507</v>
      </c>
      <c r="H1458" s="136" t="s">
        <v>1507</v>
      </c>
      <c r="I1458" s="71">
        <v>0.9</v>
      </c>
      <c r="J1458" s="72">
        <v>0</v>
      </c>
      <c r="K1458" s="72">
        <v>0</v>
      </c>
      <c r="L1458" s="73">
        <v>0</v>
      </c>
      <c r="M1458" s="72">
        <v>0</v>
      </c>
      <c r="N1458" s="74">
        <v>0.9</v>
      </c>
      <c r="O1458" s="72">
        <v>0</v>
      </c>
      <c r="P1458" s="72">
        <v>0</v>
      </c>
      <c r="Q1458" s="72">
        <v>0</v>
      </c>
      <c r="R1458" s="72">
        <v>0</v>
      </c>
      <c r="S1458" s="74">
        <v>0.9</v>
      </c>
      <c r="T1458" s="72">
        <v>0</v>
      </c>
      <c r="U1458" s="72">
        <v>0</v>
      </c>
      <c r="V1458" s="72">
        <v>0</v>
      </c>
      <c r="W1458" s="72">
        <v>0</v>
      </c>
      <c r="X1458" s="74">
        <v>0.92</v>
      </c>
      <c r="Y1458" s="74">
        <v>0</v>
      </c>
      <c r="Z1458" s="74">
        <v>0</v>
      </c>
      <c r="AA1458" s="74">
        <v>0</v>
      </c>
      <c r="AB1458" s="74">
        <v>0</v>
      </c>
      <c r="AC1458" s="74">
        <v>0.92</v>
      </c>
      <c r="AD1458" s="72">
        <v>1</v>
      </c>
      <c r="AE1458" s="72">
        <v>1</v>
      </c>
      <c r="AF1458" s="72">
        <v>1</v>
      </c>
      <c r="AG1458" s="72">
        <v>0.999464237878382</v>
      </c>
      <c r="AH1458" s="74">
        <v>0.92</v>
      </c>
      <c r="AI1458" s="72">
        <v>0</v>
      </c>
      <c r="AJ1458" s="72">
        <v>0</v>
      </c>
      <c r="AK1458" s="72">
        <v>0</v>
      </c>
      <c r="AL1458" s="72">
        <v>0</v>
      </c>
      <c r="AM1458" s="71">
        <v>0.99</v>
      </c>
      <c r="AN1458" s="76">
        <v>1</v>
      </c>
      <c r="AO1458" s="76">
        <v>1</v>
      </c>
      <c r="AP1458" s="76">
        <v>1</v>
      </c>
      <c r="AQ1458" s="76">
        <v>1</v>
      </c>
      <c r="AR1458" s="96">
        <v>0.110069253262963</v>
      </c>
      <c r="AS1458" s="80">
        <v>0</v>
      </c>
      <c r="AT1458" s="80">
        <v>0</v>
      </c>
      <c r="AU1458" s="80">
        <v>0</v>
      </c>
      <c r="AV1458" s="80">
        <v>0</v>
      </c>
      <c r="AW1458" s="36"/>
      <c r="AX1458" s="34"/>
    </row>
    <row r="1459" ht="14.5" spans="1:50">
      <c r="A1459" s="32"/>
      <c r="B1459" s="36"/>
      <c r="C1459" s="91" t="s">
        <v>1473</v>
      </c>
      <c r="D1459" s="69" t="s">
        <v>27</v>
      </c>
      <c r="E1459" s="134" t="s">
        <v>1508</v>
      </c>
      <c r="F1459" s="134" t="s">
        <v>1508</v>
      </c>
      <c r="G1459" s="134" t="s">
        <v>1508</v>
      </c>
      <c r="H1459" s="134" t="s">
        <v>1508</v>
      </c>
      <c r="I1459" s="71">
        <v>0.9</v>
      </c>
      <c r="J1459" s="72">
        <v>0</v>
      </c>
      <c r="K1459" s="72">
        <v>0</v>
      </c>
      <c r="L1459" s="73">
        <v>0</v>
      </c>
      <c r="M1459" s="72">
        <v>0</v>
      </c>
      <c r="N1459" s="74">
        <v>0.9</v>
      </c>
      <c r="O1459" s="72">
        <v>0</v>
      </c>
      <c r="P1459" s="72">
        <v>0</v>
      </c>
      <c r="Q1459" s="72">
        <v>0</v>
      </c>
      <c r="R1459" s="72">
        <v>0</v>
      </c>
      <c r="S1459" s="74">
        <v>0.9</v>
      </c>
      <c r="T1459" s="72">
        <v>0</v>
      </c>
      <c r="U1459" s="72">
        <v>1</v>
      </c>
      <c r="V1459" s="72">
        <v>1</v>
      </c>
      <c r="W1459" s="72">
        <v>1</v>
      </c>
      <c r="X1459" s="74">
        <v>0.92</v>
      </c>
      <c r="Y1459" s="74">
        <v>0</v>
      </c>
      <c r="Z1459" s="74">
        <v>0</v>
      </c>
      <c r="AA1459" s="74">
        <v>0</v>
      </c>
      <c r="AB1459" s="74">
        <v>0</v>
      </c>
      <c r="AC1459" s="74">
        <v>0.92</v>
      </c>
      <c r="AD1459" s="72">
        <v>0.99890350877193</v>
      </c>
      <c r="AE1459" s="72">
        <v>0.97396449704142</v>
      </c>
      <c r="AF1459" s="72">
        <v>0.985333333333333</v>
      </c>
      <c r="AG1459" s="72">
        <v>0.993889131383675</v>
      </c>
      <c r="AH1459" s="74">
        <v>0.92</v>
      </c>
      <c r="AI1459" s="72">
        <v>0</v>
      </c>
      <c r="AJ1459" s="72">
        <v>1</v>
      </c>
      <c r="AK1459" s="72">
        <v>1</v>
      </c>
      <c r="AL1459" s="72">
        <v>1</v>
      </c>
      <c r="AM1459" s="71">
        <v>0.99</v>
      </c>
      <c r="AN1459" s="76">
        <v>1</v>
      </c>
      <c r="AO1459" s="76">
        <v>1</v>
      </c>
      <c r="AP1459" s="76">
        <v>1</v>
      </c>
      <c r="AQ1459" s="76">
        <v>1</v>
      </c>
      <c r="AR1459" s="96">
        <v>0.110069253262963</v>
      </c>
      <c r="AS1459" s="80">
        <v>0</v>
      </c>
      <c r="AT1459" s="80">
        <v>0</v>
      </c>
      <c r="AU1459" s="80">
        <v>0</v>
      </c>
      <c r="AV1459" s="80">
        <v>0</v>
      </c>
      <c r="AW1459" s="36"/>
      <c r="AX1459" s="34"/>
    </row>
    <row r="1460" ht="14.5" spans="1:50">
      <c r="A1460" s="32"/>
      <c r="B1460" s="36"/>
      <c r="C1460" s="91" t="s">
        <v>1473</v>
      </c>
      <c r="D1460" s="69" t="s">
        <v>27</v>
      </c>
      <c r="E1460" s="107" t="s">
        <v>1509</v>
      </c>
      <c r="F1460" s="107" t="s">
        <v>1509</v>
      </c>
      <c r="G1460" s="107" t="s">
        <v>1509</v>
      </c>
      <c r="H1460" s="107" t="s">
        <v>1509</v>
      </c>
      <c r="I1460" s="71">
        <v>0.9</v>
      </c>
      <c r="J1460" s="72">
        <v>1</v>
      </c>
      <c r="K1460" s="72">
        <v>1</v>
      </c>
      <c r="L1460" s="73">
        <v>1</v>
      </c>
      <c r="M1460" s="72">
        <v>0.9921875</v>
      </c>
      <c r="N1460" s="74">
        <v>0.9</v>
      </c>
      <c r="O1460" s="72">
        <v>0.995787700084246</v>
      </c>
      <c r="P1460" s="72">
        <v>0.996186117467582</v>
      </c>
      <c r="Q1460" s="72">
        <v>0.996539792387543</v>
      </c>
      <c r="R1460" s="72">
        <v>0.992926530227294</v>
      </c>
      <c r="S1460" s="74">
        <v>0.9</v>
      </c>
      <c r="T1460" s="72">
        <v>0.92670598146588</v>
      </c>
      <c r="U1460" s="72">
        <v>0.947368421052632</v>
      </c>
      <c r="V1460" s="72">
        <v>0.923875432525952</v>
      </c>
      <c r="W1460" s="72">
        <v>0.915778553239649</v>
      </c>
      <c r="X1460" s="74">
        <v>0.92</v>
      </c>
      <c r="Y1460" s="74">
        <v>0</v>
      </c>
      <c r="Z1460" s="74">
        <v>0</v>
      </c>
      <c r="AA1460" s="74">
        <v>0</v>
      </c>
      <c r="AB1460" s="74">
        <v>0</v>
      </c>
      <c r="AC1460" s="74">
        <v>0.92</v>
      </c>
      <c r="AD1460" s="72">
        <v>1</v>
      </c>
      <c r="AE1460" s="72">
        <v>1</v>
      </c>
      <c r="AF1460" s="72">
        <v>1</v>
      </c>
      <c r="AG1460" s="72">
        <v>0.973214285714286</v>
      </c>
      <c r="AH1460" s="74">
        <v>0.92</v>
      </c>
      <c r="AI1460" s="72">
        <v>0.961246840775063</v>
      </c>
      <c r="AJ1460" s="72">
        <v>0.987795575896262</v>
      </c>
      <c r="AK1460" s="72">
        <v>0.996539792387543</v>
      </c>
      <c r="AL1460" s="72">
        <v>0.984249740639442</v>
      </c>
      <c r="AM1460" s="71">
        <v>0.99</v>
      </c>
      <c r="AN1460" s="76">
        <v>1</v>
      </c>
      <c r="AO1460" s="76">
        <v>1</v>
      </c>
      <c r="AP1460" s="76">
        <v>1</v>
      </c>
      <c r="AQ1460" s="76">
        <v>1</v>
      </c>
      <c r="AR1460" s="96">
        <v>0.110069253262963</v>
      </c>
      <c r="AS1460" s="80">
        <v>0</v>
      </c>
      <c r="AT1460" s="80">
        <v>0.0714285714285714</v>
      </c>
      <c r="AU1460" s="80">
        <v>0.285714285714286</v>
      </c>
      <c r="AV1460" s="80">
        <v>0.0909090909090909</v>
      </c>
      <c r="AW1460" s="36"/>
      <c r="AX1460" s="34"/>
    </row>
    <row r="1461" ht="14.5" spans="1:50">
      <c r="A1461" s="32"/>
      <c r="B1461" s="36"/>
      <c r="C1461" s="91" t="s">
        <v>1473</v>
      </c>
      <c r="D1461" s="69" t="s">
        <v>27</v>
      </c>
      <c r="E1461" s="107" t="s">
        <v>1510</v>
      </c>
      <c r="F1461" s="107" t="s">
        <v>1510</v>
      </c>
      <c r="G1461" s="107" t="s">
        <v>1510</v>
      </c>
      <c r="H1461" s="107" t="s">
        <v>1510</v>
      </c>
      <c r="I1461" s="71">
        <v>0.9</v>
      </c>
      <c r="J1461" s="72">
        <v>1</v>
      </c>
      <c r="K1461" s="72">
        <v>1</v>
      </c>
      <c r="L1461" s="73">
        <v>1</v>
      </c>
      <c r="M1461" s="72">
        <v>0.986754966887417</v>
      </c>
      <c r="N1461" s="74">
        <v>0.9</v>
      </c>
      <c r="O1461" s="72">
        <v>0.999553571428571</v>
      </c>
      <c r="P1461" s="72">
        <v>0.999217731421121</v>
      </c>
      <c r="Q1461" s="72">
        <v>0.998414376321353</v>
      </c>
      <c r="R1461" s="72">
        <v>0.998862257281553</v>
      </c>
      <c r="S1461" s="74">
        <v>0.9</v>
      </c>
      <c r="T1461" s="72">
        <v>0.957142857142857</v>
      </c>
      <c r="U1461" s="72">
        <v>0.972359843546284</v>
      </c>
      <c r="V1461" s="72">
        <v>0.961945031712474</v>
      </c>
      <c r="W1461" s="72">
        <v>0.966815837378641</v>
      </c>
      <c r="X1461" s="74">
        <v>0.92</v>
      </c>
      <c r="Y1461" s="74">
        <v>0</v>
      </c>
      <c r="Z1461" s="74">
        <v>0</v>
      </c>
      <c r="AA1461" s="74">
        <v>0</v>
      </c>
      <c r="AB1461" s="74">
        <v>0</v>
      </c>
      <c r="AC1461" s="74">
        <v>0.92</v>
      </c>
      <c r="AD1461" s="72">
        <v>0.826086956521739</v>
      </c>
      <c r="AE1461" s="72">
        <v>0.95</v>
      </c>
      <c r="AF1461" s="72">
        <v>1</v>
      </c>
      <c r="AG1461" s="72">
        <v>0.782608695652174</v>
      </c>
      <c r="AH1461" s="74">
        <v>0.92</v>
      </c>
      <c r="AI1461" s="72">
        <v>0.981696428571429</v>
      </c>
      <c r="AJ1461" s="72">
        <v>0.988787483702738</v>
      </c>
      <c r="AK1461" s="72">
        <v>0.991014799154334</v>
      </c>
      <c r="AL1461" s="72">
        <v>0.988850121359223</v>
      </c>
      <c r="AM1461" s="71">
        <v>0.99</v>
      </c>
      <c r="AN1461" s="76">
        <v>1</v>
      </c>
      <c r="AO1461" s="76">
        <v>1</v>
      </c>
      <c r="AP1461" s="76">
        <v>1</v>
      </c>
      <c r="AQ1461" s="76">
        <v>1</v>
      </c>
      <c r="AR1461" s="96">
        <v>0.110069253262963</v>
      </c>
      <c r="AS1461" s="80">
        <v>0.105263157894737</v>
      </c>
      <c r="AT1461" s="80">
        <v>0</v>
      </c>
      <c r="AU1461" s="80">
        <v>0</v>
      </c>
      <c r="AV1461" s="80">
        <v>0.0396825396825397</v>
      </c>
      <c r="AW1461" s="36"/>
      <c r="AX1461" s="34"/>
    </row>
    <row r="1462" ht="14.5" spans="1:50">
      <c r="A1462" s="32"/>
      <c r="B1462" s="36"/>
      <c r="C1462" s="91" t="s">
        <v>1473</v>
      </c>
      <c r="D1462" s="69" t="s">
        <v>27</v>
      </c>
      <c r="E1462" s="107" t="s">
        <v>1511</v>
      </c>
      <c r="F1462" s="107" t="s">
        <v>1511</v>
      </c>
      <c r="G1462" s="107" t="s">
        <v>1511</v>
      </c>
      <c r="H1462" s="107" t="s">
        <v>1511</v>
      </c>
      <c r="I1462" s="71">
        <v>0.9</v>
      </c>
      <c r="J1462" s="72">
        <v>0</v>
      </c>
      <c r="K1462" s="72">
        <v>0</v>
      </c>
      <c r="L1462" s="73">
        <v>0</v>
      </c>
      <c r="M1462" s="72">
        <v>0</v>
      </c>
      <c r="N1462" s="74">
        <v>0.9</v>
      </c>
      <c r="O1462" s="72">
        <v>0</v>
      </c>
      <c r="P1462" s="72">
        <v>0</v>
      </c>
      <c r="Q1462" s="72">
        <v>0</v>
      </c>
      <c r="R1462" s="72">
        <v>0</v>
      </c>
      <c r="S1462" s="74">
        <v>0.9</v>
      </c>
      <c r="T1462" s="72">
        <v>0</v>
      </c>
      <c r="U1462" s="72">
        <v>0</v>
      </c>
      <c r="V1462" s="72">
        <v>0</v>
      </c>
      <c r="W1462" s="72">
        <v>0</v>
      </c>
      <c r="X1462" s="74">
        <v>0.92</v>
      </c>
      <c r="Y1462" s="74">
        <v>0</v>
      </c>
      <c r="Z1462" s="74">
        <v>0</v>
      </c>
      <c r="AA1462" s="74">
        <v>0</v>
      </c>
      <c r="AB1462" s="74">
        <v>0</v>
      </c>
      <c r="AC1462" s="74">
        <v>0.92</v>
      </c>
      <c r="AD1462" s="72">
        <v>0</v>
      </c>
      <c r="AE1462" s="72">
        <v>0</v>
      </c>
      <c r="AF1462" s="72">
        <v>0</v>
      </c>
      <c r="AG1462" s="72">
        <v>0</v>
      </c>
      <c r="AH1462" s="74">
        <v>0.92</v>
      </c>
      <c r="AI1462" s="72">
        <v>0</v>
      </c>
      <c r="AJ1462" s="72">
        <v>0</v>
      </c>
      <c r="AK1462" s="72">
        <v>0</v>
      </c>
      <c r="AL1462" s="72">
        <v>0</v>
      </c>
      <c r="AM1462" s="71">
        <v>0.99</v>
      </c>
      <c r="AN1462" s="76">
        <v>0</v>
      </c>
      <c r="AO1462" s="76">
        <v>0</v>
      </c>
      <c r="AP1462" s="76">
        <v>0</v>
      </c>
      <c r="AQ1462" s="76">
        <v>0</v>
      </c>
      <c r="AR1462" s="96">
        <v>0.110069253262963</v>
      </c>
      <c r="AS1462" s="80">
        <v>0</v>
      </c>
      <c r="AT1462" s="80">
        <v>0</v>
      </c>
      <c r="AU1462" s="80">
        <v>0</v>
      </c>
      <c r="AV1462" s="80">
        <v>0</v>
      </c>
      <c r="AW1462" s="36"/>
      <c r="AX1462" s="34"/>
    </row>
    <row r="1463" ht="14.5" spans="1:50">
      <c r="A1463" s="32"/>
      <c r="B1463" s="36"/>
      <c r="C1463" s="91" t="s">
        <v>1473</v>
      </c>
      <c r="D1463" s="69" t="s">
        <v>27</v>
      </c>
      <c r="E1463" s="107" t="s">
        <v>1512</v>
      </c>
      <c r="F1463" s="107" t="s">
        <v>1512</v>
      </c>
      <c r="G1463" s="107" t="s">
        <v>1512</v>
      </c>
      <c r="H1463" s="107" t="s">
        <v>1512</v>
      </c>
      <c r="I1463" s="71">
        <v>0.9</v>
      </c>
      <c r="J1463" s="72">
        <v>0.6</v>
      </c>
      <c r="K1463" s="72">
        <v>0.714285714285714</v>
      </c>
      <c r="L1463" s="73">
        <v>0.625</v>
      </c>
      <c r="M1463" s="72">
        <v>0.766666666666667</v>
      </c>
      <c r="N1463" s="74">
        <v>0.9</v>
      </c>
      <c r="O1463" s="72">
        <v>1</v>
      </c>
      <c r="P1463" s="72">
        <v>1</v>
      </c>
      <c r="Q1463" s="72">
        <v>0.73921200750469</v>
      </c>
      <c r="R1463" s="72">
        <v>0.682184750733138</v>
      </c>
      <c r="S1463" s="74">
        <v>0.9</v>
      </c>
      <c r="T1463" s="72">
        <v>0.858407079646018</v>
      </c>
      <c r="U1463" s="72">
        <v>0.875</v>
      </c>
      <c r="V1463" s="72">
        <v>0.621013133208255</v>
      </c>
      <c r="W1463" s="72">
        <v>0.545454545454545</v>
      </c>
      <c r="X1463" s="74">
        <v>0.92</v>
      </c>
      <c r="Y1463" s="74">
        <v>0</v>
      </c>
      <c r="Z1463" s="74">
        <v>0</v>
      </c>
      <c r="AA1463" s="74">
        <v>0</v>
      </c>
      <c r="AB1463" s="74">
        <v>0</v>
      </c>
      <c r="AC1463" s="74">
        <v>0.92</v>
      </c>
      <c r="AD1463" s="72">
        <v>0</v>
      </c>
      <c r="AE1463" s="72">
        <v>0</v>
      </c>
      <c r="AF1463" s="72">
        <v>1</v>
      </c>
      <c r="AG1463" s="72">
        <v>1</v>
      </c>
      <c r="AH1463" s="74">
        <v>0.92</v>
      </c>
      <c r="AI1463" s="72">
        <v>0.867256637168142</v>
      </c>
      <c r="AJ1463" s="72">
        <v>0.777777777777778</v>
      </c>
      <c r="AK1463" s="72">
        <v>0.654545454545455</v>
      </c>
      <c r="AL1463" s="72">
        <v>0.584476534296029</v>
      </c>
      <c r="AM1463" s="71">
        <v>0.99</v>
      </c>
      <c r="AN1463" s="76">
        <v>1</v>
      </c>
      <c r="AO1463" s="76">
        <v>0</v>
      </c>
      <c r="AP1463" s="76">
        <v>0</v>
      </c>
      <c r="AQ1463" s="76">
        <v>1</v>
      </c>
      <c r="AR1463" s="96">
        <v>0.110069253262963</v>
      </c>
      <c r="AS1463" s="80">
        <v>0.0769230769230769</v>
      </c>
      <c r="AT1463" s="80">
        <v>0</v>
      </c>
      <c r="AU1463" s="80">
        <v>0.0666666666666667</v>
      </c>
      <c r="AV1463" s="80">
        <v>0.119565217391304</v>
      </c>
      <c r="AW1463" s="36"/>
      <c r="AX1463" s="34"/>
    </row>
    <row r="1464" ht="14.5" spans="1:50">
      <c r="A1464" s="32"/>
      <c r="B1464" s="36"/>
      <c r="C1464" s="91" t="s">
        <v>1473</v>
      </c>
      <c r="D1464" s="69" t="s">
        <v>27</v>
      </c>
      <c r="E1464" s="107" t="s">
        <v>1513</v>
      </c>
      <c r="F1464" s="107" t="s">
        <v>1513</v>
      </c>
      <c r="G1464" s="107" t="s">
        <v>1513</v>
      </c>
      <c r="H1464" s="107" t="s">
        <v>1513</v>
      </c>
      <c r="I1464" s="71">
        <v>0.9</v>
      </c>
      <c r="J1464" s="72">
        <v>0.857142857142857</v>
      </c>
      <c r="K1464" s="72">
        <v>1</v>
      </c>
      <c r="L1464" s="73">
        <v>1</v>
      </c>
      <c r="M1464" s="72">
        <v>0.931034482758621</v>
      </c>
      <c r="N1464" s="74">
        <v>0.9</v>
      </c>
      <c r="O1464" s="72">
        <v>0</v>
      </c>
      <c r="P1464" s="72">
        <v>0</v>
      </c>
      <c r="Q1464" s="72">
        <v>0</v>
      </c>
      <c r="R1464" s="72">
        <v>0</v>
      </c>
      <c r="S1464" s="74">
        <v>0.9</v>
      </c>
      <c r="T1464" s="72">
        <v>0</v>
      </c>
      <c r="U1464" s="72">
        <v>0</v>
      </c>
      <c r="V1464" s="72">
        <v>0</v>
      </c>
      <c r="W1464" s="72">
        <v>0</v>
      </c>
      <c r="X1464" s="74">
        <v>0.92</v>
      </c>
      <c r="Y1464" s="74">
        <v>0</v>
      </c>
      <c r="Z1464" s="74">
        <v>0</v>
      </c>
      <c r="AA1464" s="74">
        <v>0</v>
      </c>
      <c r="AB1464" s="74">
        <v>0</v>
      </c>
      <c r="AC1464" s="74">
        <v>0.92</v>
      </c>
      <c r="AD1464" s="72">
        <v>0</v>
      </c>
      <c r="AE1464" s="72">
        <v>0</v>
      </c>
      <c r="AF1464" s="72">
        <v>0</v>
      </c>
      <c r="AG1464" s="72">
        <v>0.0555555555555556</v>
      </c>
      <c r="AH1464" s="74">
        <v>0.92</v>
      </c>
      <c r="AI1464" s="72">
        <v>0.853790613718412</v>
      </c>
      <c r="AJ1464" s="72">
        <v>0.842931937172775</v>
      </c>
      <c r="AK1464" s="72">
        <v>0.909228441754917</v>
      </c>
      <c r="AL1464" s="72">
        <v>0.89920866305706</v>
      </c>
      <c r="AM1464" s="71">
        <v>0.99</v>
      </c>
      <c r="AN1464" s="76">
        <v>0</v>
      </c>
      <c r="AO1464" s="76">
        <v>0</v>
      </c>
      <c r="AP1464" s="76">
        <v>0</v>
      </c>
      <c r="AQ1464" s="76">
        <v>0</v>
      </c>
      <c r="AR1464" s="96">
        <v>0.110069253262963</v>
      </c>
      <c r="AS1464" s="80">
        <v>0</v>
      </c>
      <c r="AT1464" s="80">
        <v>0.222222222222222</v>
      </c>
      <c r="AU1464" s="80">
        <v>0.125</v>
      </c>
      <c r="AV1464" s="80">
        <v>0.0853658536585366</v>
      </c>
      <c r="AW1464" s="36"/>
      <c r="AX1464" s="34"/>
    </row>
    <row r="1465" ht="14.5" spans="1:50">
      <c r="A1465" s="32"/>
      <c r="B1465" s="36"/>
      <c r="C1465" s="91" t="s">
        <v>1473</v>
      </c>
      <c r="D1465" s="69" t="s">
        <v>27</v>
      </c>
      <c r="E1465" s="107" t="s">
        <v>1514</v>
      </c>
      <c r="F1465" s="107" t="s">
        <v>1514</v>
      </c>
      <c r="G1465" s="107" t="s">
        <v>1514</v>
      </c>
      <c r="H1465" s="107" t="s">
        <v>1514</v>
      </c>
      <c r="I1465" s="71">
        <v>0.9</v>
      </c>
      <c r="J1465" s="72">
        <v>0.545454545454545</v>
      </c>
      <c r="K1465" s="72">
        <v>0.481481481481481</v>
      </c>
      <c r="L1465" s="73">
        <v>0.545454545454545</v>
      </c>
      <c r="M1465" s="72">
        <v>0.548837209302326</v>
      </c>
      <c r="N1465" s="74">
        <v>0.9</v>
      </c>
      <c r="O1465" s="72">
        <v>0.699532511687208</v>
      </c>
      <c r="P1465" s="72">
        <v>0.900124843945069</v>
      </c>
      <c r="Q1465" s="72">
        <v>0.653339834227206</v>
      </c>
      <c r="R1465" s="72">
        <v>0.800184311812219</v>
      </c>
      <c r="S1465" s="74">
        <v>0.9</v>
      </c>
      <c r="T1465" s="72">
        <v>0.44326391840204</v>
      </c>
      <c r="U1465" s="72">
        <v>0.526841448189763</v>
      </c>
      <c r="V1465" s="72">
        <v>0.441248171623598</v>
      </c>
      <c r="W1465" s="72">
        <v>0.522523987640267</v>
      </c>
      <c r="X1465" s="74">
        <v>0.92</v>
      </c>
      <c r="Y1465" s="74">
        <v>0</v>
      </c>
      <c r="Z1465" s="74">
        <v>0</v>
      </c>
      <c r="AA1465" s="74">
        <v>0</v>
      </c>
      <c r="AB1465" s="74">
        <v>0</v>
      </c>
      <c r="AC1465" s="74">
        <v>0.92</v>
      </c>
      <c r="AD1465" s="72">
        <v>1</v>
      </c>
      <c r="AE1465" s="72">
        <v>0.947368421052632</v>
      </c>
      <c r="AF1465" s="72">
        <v>1</v>
      </c>
      <c r="AG1465" s="72">
        <v>0.983739837398374</v>
      </c>
      <c r="AH1465" s="74">
        <v>0.92</v>
      </c>
      <c r="AI1465" s="72">
        <v>0.712282192945176</v>
      </c>
      <c r="AJ1465" s="72">
        <v>0.773616312942156</v>
      </c>
      <c r="AK1465" s="72">
        <v>0.711847879083374</v>
      </c>
      <c r="AL1465" s="72">
        <v>0.801268498942918</v>
      </c>
      <c r="AM1465" s="71">
        <v>0.99</v>
      </c>
      <c r="AN1465" s="76">
        <v>1</v>
      </c>
      <c r="AO1465" s="76">
        <v>1</v>
      </c>
      <c r="AP1465" s="76">
        <v>1</v>
      </c>
      <c r="AQ1465" s="76">
        <v>1</v>
      </c>
      <c r="AR1465" s="96">
        <v>0.110069253262963</v>
      </c>
      <c r="AS1465" s="80">
        <v>0.102564102564103</v>
      </c>
      <c r="AT1465" s="80">
        <v>0.0512820512820513</v>
      </c>
      <c r="AU1465" s="80">
        <v>0.0434782608695652</v>
      </c>
      <c r="AV1465" s="80">
        <v>0.128888888888889</v>
      </c>
      <c r="AW1465" s="36"/>
      <c r="AX1465" s="34"/>
    </row>
    <row r="1466" ht="14.5" spans="1:50">
      <c r="A1466" s="32"/>
      <c r="B1466" s="36"/>
      <c r="C1466" s="91" t="s">
        <v>1473</v>
      </c>
      <c r="D1466" s="69" t="s">
        <v>27</v>
      </c>
      <c r="E1466" s="107" t="s">
        <v>1515</v>
      </c>
      <c r="F1466" s="107" t="s">
        <v>1515</v>
      </c>
      <c r="G1466" s="107" t="s">
        <v>1515</v>
      </c>
      <c r="H1466" s="107" t="s">
        <v>1515</v>
      </c>
      <c r="I1466" s="71">
        <v>0.9</v>
      </c>
      <c r="J1466" s="72">
        <v>0.909090909090909</v>
      </c>
      <c r="K1466" s="72">
        <v>0.928571428571429</v>
      </c>
      <c r="L1466" s="73">
        <v>0.75</v>
      </c>
      <c r="M1466" s="72">
        <v>0.778688524590164</v>
      </c>
      <c r="N1466" s="74">
        <v>0.9</v>
      </c>
      <c r="O1466" s="72">
        <v>0.998847926267281</v>
      </c>
      <c r="P1466" s="72">
        <v>0.996131528046422</v>
      </c>
      <c r="Q1466" s="72">
        <v>1</v>
      </c>
      <c r="R1466" s="72">
        <v>0.99923106497501</v>
      </c>
      <c r="S1466" s="74">
        <v>0.9</v>
      </c>
      <c r="T1466" s="72">
        <v>0.881336405529954</v>
      </c>
      <c r="U1466" s="72">
        <v>0.878143133462282</v>
      </c>
      <c r="V1466" s="72">
        <v>0.925281473899693</v>
      </c>
      <c r="W1466" s="72">
        <v>0.922978341663463</v>
      </c>
      <c r="X1466" s="74">
        <v>0.92</v>
      </c>
      <c r="Y1466" s="74">
        <v>0</v>
      </c>
      <c r="Z1466" s="74">
        <v>0</v>
      </c>
      <c r="AA1466" s="74">
        <v>0</v>
      </c>
      <c r="AB1466" s="74">
        <v>1</v>
      </c>
      <c r="AC1466" s="74">
        <v>0.92</v>
      </c>
      <c r="AD1466" s="72">
        <v>0</v>
      </c>
      <c r="AE1466" s="72">
        <v>0</v>
      </c>
      <c r="AF1466" s="72">
        <v>0</v>
      </c>
      <c r="AG1466" s="72">
        <v>0.325581395348837</v>
      </c>
      <c r="AH1466" s="74">
        <v>0.92</v>
      </c>
      <c r="AI1466" s="72">
        <v>0.904707233065442</v>
      </c>
      <c r="AJ1466" s="72">
        <v>0.902321083172147</v>
      </c>
      <c r="AK1466" s="72">
        <v>0.953940634595701</v>
      </c>
      <c r="AL1466" s="72">
        <v>0.942846232179226</v>
      </c>
      <c r="AM1466" s="71">
        <v>0.99</v>
      </c>
      <c r="AN1466" s="76">
        <v>1</v>
      </c>
      <c r="AO1466" s="76">
        <v>1</v>
      </c>
      <c r="AP1466" s="76">
        <v>1</v>
      </c>
      <c r="AQ1466" s="76">
        <v>1</v>
      </c>
      <c r="AR1466" s="96">
        <v>0.110069253262963</v>
      </c>
      <c r="AS1466" s="80">
        <v>0.2</v>
      </c>
      <c r="AT1466" s="80">
        <v>0</v>
      </c>
      <c r="AU1466" s="80">
        <v>0.151515151515152</v>
      </c>
      <c r="AV1466" s="80">
        <v>0.0931899641577061</v>
      </c>
      <c r="AW1466" s="36"/>
      <c r="AX1466" s="34"/>
    </row>
    <row r="1467" ht="14.5" spans="1:50">
      <c r="A1467" s="32"/>
      <c r="B1467" s="36"/>
      <c r="C1467" s="91" t="s">
        <v>1473</v>
      </c>
      <c r="D1467" s="69" t="s">
        <v>27</v>
      </c>
      <c r="E1467" s="107" t="s">
        <v>1516</v>
      </c>
      <c r="F1467" s="107" t="s">
        <v>1516</v>
      </c>
      <c r="G1467" s="107" t="s">
        <v>1516</v>
      </c>
      <c r="H1467" s="107" t="s">
        <v>1516</v>
      </c>
      <c r="I1467" s="71">
        <v>0.9</v>
      </c>
      <c r="J1467" s="72">
        <v>1</v>
      </c>
      <c r="K1467" s="72">
        <v>0.933333333333333</v>
      </c>
      <c r="L1467" s="73">
        <v>0.941176470588235</v>
      </c>
      <c r="M1467" s="72">
        <v>0.971631205673759</v>
      </c>
      <c r="N1467" s="74">
        <v>0.9</v>
      </c>
      <c r="O1467" s="72">
        <v>0.914073385973061</v>
      </c>
      <c r="P1467" s="72">
        <v>0.980886185925282</v>
      </c>
      <c r="Q1467" s="72">
        <v>0.9818268770923</v>
      </c>
      <c r="R1467" s="72">
        <v>0.963745800671893</v>
      </c>
      <c r="S1467" s="74">
        <v>0.9</v>
      </c>
      <c r="T1467" s="72">
        <v>0.258708778448676</v>
      </c>
      <c r="U1467" s="72">
        <v>0.434404865334492</v>
      </c>
      <c r="V1467" s="72">
        <v>0.296508847441416</v>
      </c>
      <c r="W1467" s="72">
        <v>0.303261478163494</v>
      </c>
      <c r="X1467" s="74">
        <v>0.92</v>
      </c>
      <c r="Y1467" s="74">
        <v>0</v>
      </c>
      <c r="Z1467" s="74">
        <v>0</v>
      </c>
      <c r="AA1467" s="74">
        <v>0</v>
      </c>
      <c r="AB1467" s="74">
        <v>0</v>
      </c>
      <c r="AC1467" s="74">
        <v>0.92</v>
      </c>
      <c r="AD1467" s="72">
        <v>1</v>
      </c>
      <c r="AE1467" s="72">
        <v>0.923076923076923</v>
      </c>
      <c r="AF1467" s="72">
        <v>0.9</v>
      </c>
      <c r="AG1467" s="72">
        <v>0.897959183673469</v>
      </c>
      <c r="AH1467" s="74">
        <v>0.92</v>
      </c>
      <c r="AI1467" s="72">
        <v>0.823966558290757</v>
      </c>
      <c r="AJ1467" s="72">
        <v>0.893136403127715</v>
      </c>
      <c r="AK1467" s="72">
        <v>0.959349593495935</v>
      </c>
      <c r="AL1467" s="72">
        <v>0.904115341545353</v>
      </c>
      <c r="AM1467" s="71">
        <v>0.99</v>
      </c>
      <c r="AN1467" s="76">
        <v>1</v>
      </c>
      <c r="AO1467" s="76">
        <v>1</v>
      </c>
      <c r="AP1467" s="76">
        <v>1</v>
      </c>
      <c r="AQ1467" s="76">
        <v>1</v>
      </c>
      <c r="AR1467" s="96">
        <v>0.110069253262963</v>
      </c>
      <c r="AS1467" s="80">
        <v>0</v>
      </c>
      <c r="AT1467" s="80">
        <v>0.333333333333333</v>
      </c>
      <c r="AU1467" s="80">
        <v>0</v>
      </c>
      <c r="AV1467" s="80">
        <v>0.0888888888888889</v>
      </c>
      <c r="AW1467" s="36"/>
      <c r="AX1467" s="34"/>
    </row>
    <row r="1468" ht="14.5" spans="1:50">
      <c r="A1468" s="32"/>
      <c r="B1468" s="36"/>
      <c r="C1468" s="91" t="s">
        <v>1473</v>
      </c>
      <c r="D1468" s="69" t="s">
        <v>27</v>
      </c>
      <c r="E1468" s="107" t="s">
        <v>1517</v>
      </c>
      <c r="F1468" s="107" t="s">
        <v>1517</v>
      </c>
      <c r="G1468" s="107" t="s">
        <v>1517</v>
      </c>
      <c r="H1468" s="107" t="s">
        <v>1517</v>
      </c>
      <c r="I1468" s="71">
        <v>0.9</v>
      </c>
      <c r="J1468" s="72">
        <v>1</v>
      </c>
      <c r="K1468" s="72">
        <v>0.5</v>
      </c>
      <c r="L1468" s="73">
        <v>1</v>
      </c>
      <c r="M1468" s="72">
        <v>0.818181818181818</v>
      </c>
      <c r="N1468" s="74">
        <v>0.9</v>
      </c>
      <c r="O1468" s="72">
        <v>0</v>
      </c>
      <c r="P1468" s="72">
        <v>0</v>
      </c>
      <c r="Q1468" s="72">
        <v>0</v>
      </c>
      <c r="R1468" s="72">
        <v>0</v>
      </c>
      <c r="S1468" s="74">
        <v>0.9</v>
      </c>
      <c r="T1468" s="72">
        <v>0</v>
      </c>
      <c r="U1468" s="72">
        <v>0</v>
      </c>
      <c r="V1468" s="72">
        <v>0</v>
      </c>
      <c r="W1468" s="72">
        <v>0</v>
      </c>
      <c r="X1468" s="74">
        <v>0.92</v>
      </c>
      <c r="Y1468" s="74">
        <v>0</v>
      </c>
      <c r="Z1468" s="74">
        <v>0</v>
      </c>
      <c r="AA1468" s="74">
        <v>0</v>
      </c>
      <c r="AB1468" s="74">
        <v>0</v>
      </c>
      <c r="AC1468" s="74">
        <v>0.92</v>
      </c>
      <c r="AD1468" s="72">
        <v>0</v>
      </c>
      <c r="AE1468" s="72">
        <v>0</v>
      </c>
      <c r="AF1468" s="72">
        <v>0</v>
      </c>
      <c r="AG1468" s="72">
        <v>0.27536231884058</v>
      </c>
      <c r="AH1468" s="74">
        <v>0.92</v>
      </c>
      <c r="AI1468" s="72">
        <v>0.807692307692308</v>
      </c>
      <c r="AJ1468" s="72">
        <v>0.875305623471883</v>
      </c>
      <c r="AK1468" s="72">
        <v>0.985533453887884</v>
      </c>
      <c r="AL1468" s="72">
        <v>0.909851301115242</v>
      </c>
      <c r="AM1468" s="71">
        <v>0.99</v>
      </c>
      <c r="AN1468" s="76">
        <v>1</v>
      </c>
      <c r="AO1468" s="76">
        <v>1</v>
      </c>
      <c r="AP1468" s="76">
        <v>1</v>
      </c>
      <c r="AQ1468" s="76">
        <v>1</v>
      </c>
      <c r="AR1468" s="96">
        <v>0.110069253262963</v>
      </c>
      <c r="AS1468" s="80">
        <v>0.4</v>
      </c>
      <c r="AT1468" s="80">
        <v>0.166666666666667</v>
      </c>
      <c r="AU1468" s="80">
        <v>0</v>
      </c>
      <c r="AV1468" s="80">
        <v>0.0625</v>
      </c>
      <c r="AW1468" s="36"/>
      <c r="AX1468" s="34"/>
    </row>
    <row r="1469" ht="14.5" spans="1:50">
      <c r="A1469" s="32"/>
      <c r="B1469" s="36"/>
      <c r="C1469" s="91" t="s">
        <v>1473</v>
      </c>
      <c r="D1469" s="69" t="s">
        <v>27</v>
      </c>
      <c r="E1469" s="107" t="s">
        <v>1518</v>
      </c>
      <c r="F1469" s="107" t="s">
        <v>1518</v>
      </c>
      <c r="G1469" s="107" t="s">
        <v>1518</v>
      </c>
      <c r="H1469" s="107" t="s">
        <v>1518</v>
      </c>
      <c r="I1469" s="71">
        <v>0.9</v>
      </c>
      <c r="J1469" s="72">
        <v>0.888888888888889</v>
      </c>
      <c r="K1469" s="72">
        <v>0.916666666666667</v>
      </c>
      <c r="L1469" s="73">
        <v>0.909090909090909</v>
      </c>
      <c r="M1469" s="72">
        <v>0.892156862745098</v>
      </c>
      <c r="N1469" s="74">
        <v>0.9</v>
      </c>
      <c r="O1469" s="72">
        <v>0</v>
      </c>
      <c r="P1469" s="72">
        <v>0</v>
      </c>
      <c r="Q1469" s="72">
        <v>0</v>
      </c>
      <c r="R1469" s="72">
        <v>1</v>
      </c>
      <c r="S1469" s="74">
        <v>0.9</v>
      </c>
      <c r="T1469" s="72">
        <v>0</v>
      </c>
      <c r="U1469" s="72">
        <v>0</v>
      </c>
      <c r="V1469" s="72">
        <v>0</v>
      </c>
      <c r="W1469" s="72">
        <v>0</v>
      </c>
      <c r="X1469" s="74">
        <v>0.92</v>
      </c>
      <c r="Y1469" s="74">
        <v>0</v>
      </c>
      <c r="Z1469" s="74">
        <v>0</v>
      </c>
      <c r="AA1469" s="74">
        <v>0</v>
      </c>
      <c r="AB1469" s="74">
        <v>0</v>
      </c>
      <c r="AC1469" s="74">
        <v>0.92</v>
      </c>
      <c r="AD1469" s="72">
        <v>0</v>
      </c>
      <c r="AE1469" s="72">
        <v>0</v>
      </c>
      <c r="AF1469" s="72">
        <v>0.1</v>
      </c>
      <c r="AG1469" s="72">
        <v>0.0819672131147541</v>
      </c>
      <c r="AH1469" s="74">
        <v>0.92</v>
      </c>
      <c r="AI1469" s="72">
        <v>0.88622754491018</v>
      </c>
      <c r="AJ1469" s="72">
        <v>0.92271662763466</v>
      </c>
      <c r="AK1469" s="72">
        <v>0.956958393113343</v>
      </c>
      <c r="AL1469" s="72">
        <v>0.94076197300848</v>
      </c>
      <c r="AM1469" s="71">
        <v>0.99</v>
      </c>
      <c r="AN1469" s="76">
        <v>0</v>
      </c>
      <c r="AO1469" s="76">
        <v>0</v>
      </c>
      <c r="AP1469" s="76">
        <v>1</v>
      </c>
      <c r="AQ1469" s="76">
        <v>1</v>
      </c>
      <c r="AR1469" s="96">
        <v>0.110069253262963</v>
      </c>
      <c r="AS1469" s="80">
        <v>0</v>
      </c>
      <c r="AT1469" s="80">
        <v>0</v>
      </c>
      <c r="AU1469" s="80">
        <v>0.230769230769231</v>
      </c>
      <c r="AV1469" s="80">
        <v>0.0866141732283465</v>
      </c>
      <c r="AW1469" s="36"/>
      <c r="AX1469" s="34"/>
    </row>
    <row r="1470" ht="14.5" spans="1:50">
      <c r="A1470" s="32"/>
      <c r="B1470" s="36"/>
      <c r="C1470" s="91" t="s">
        <v>1473</v>
      </c>
      <c r="D1470" s="69" t="s">
        <v>27</v>
      </c>
      <c r="E1470" s="107" t="s">
        <v>1519</v>
      </c>
      <c r="F1470" s="107" t="s">
        <v>1519</v>
      </c>
      <c r="G1470" s="107" t="s">
        <v>1519</v>
      </c>
      <c r="H1470" s="107" t="s">
        <v>1519</v>
      </c>
      <c r="I1470" s="71">
        <v>0.9</v>
      </c>
      <c r="J1470" s="72">
        <v>0.411764705882353</v>
      </c>
      <c r="K1470" s="72">
        <v>0.333333333333333</v>
      </c>
      <c r="L1470" s="73">
        <v>0.272727272727273</v>
      </c>
      <c r="M1470" s="72">
        <v>0.347593582887701</v>
      </c>
      <c r="N1470" s="74">
        <v>0.9</v>
      </c>
      <c r="O1470" s="72">
        <v>0.982523211359913</v>
      </c>
      <c r="P1470" s="72">
        <v>0.985591766723842</v>
      </c>
      <c r="Q1470" s="72">
        <v>0.983454665784249</v>
      </c>
      <c r="R1470" s="72">
        <v>0.985649898979433</v>
      </c>
      <c r="S1470" s="74">
        <v>0.9</v>
      </c>
      <c r="T1470" s="72">
        <v>0.655379574003277</v>
      </c>
      <c r="U1470" s="72">
        <v>0.722813036020583</v>
      </c>
      <c r="V1470" s="72">
        <v>0.775645268034414</v>
      </c>
      <c r="W1470" s="72">
        <v>0.750505102833756</v>
      </c>
      <c r="X1470" s="74">
        <v>0.92</v>
      </c>
      <c r="Y1470" s="74">
        <v>0</v>
      </c>
      <c r="Z1470" s="74">
        <v>0</v>
      </c>
      <c r="AA1470" s="74">
        <v>0</v>
      </c>
      <c r="AB1470" s="74">
        <v>0</v>
      </c>
      <c r="AC1470" s="74">
        <v>0.92</v>
      </c>
      <c r="AD1470" s="72">
        <v>0.235294117647059</v>
      </c>
      <c r="AE1470" s="72">
        <v>0.8</v>
      </c>
      <c r="AF1470" s="72">
        <v>0.904761904761905</v>
      </c>
      <c r="AG1470" s="72">
        <v>0.814814814814815</v>
      </c>
      <c r="AH1470" s="74">
        <v>0.92</v>
      </c>
      <c r="AI1470" s="72">
        <v>0.78208629164391</v>
      </c>
      <c r="AJ1470" s="72">
        <v>0.880274442538593</v>
      </c>
      <c r="AK1470" s="72">
        <v>0.908669755129054</v>
      </c>
      <c r="AL1470" s="72">
        <v>0.885561829767394</v>
      </c>
      <c r="AM1470" s="71">
        <v>0.99</v>
      </c>
      <c r="AN1470" s="76">
        <v>1</v>
      </c>
      <c r="AO1470" s="76">
        <v>1</v>
      </c>
      <c r="AP1470" s="76">
        <v>1</v>
      </c>
      <c r="AQ1470" s="76">
        <v>1</v>
      </c>
      <c r="AR1470" s="96">
        <v>0.110069253262963</v>
      </c>
      <c r="AS1470" s="80">
        <v>0</v>
      </c>
      <c r="AT1470" s="80">
        <v>0.05</v>
      </c>
      <c r="AU1470" s="80">
        <v>0</v>
      </c>
      <c r="AV1470" s="80">
        <v>0.0660377358490566</v>
      </c>
      <c r="AW1470" s="36"/>
      <c r="AX1470" s="34"/>
    </row>
    <row r="1471" ht="14.5" spans="1:50">
      <c r="A1471" s="32"/>
      <c r="B1471" s="36"/>
      <c r="C1471" s="91" t="s">
        <v>1473</v>
      </c>
      <c r="D1471" s="69" t="s">
        <v>27</v>
      </c>
      <c r="E1471" s="107" t="s">
        <v>1520</v>
      </c>
      <c r="F1471" s="107" t="s">
        <v>1520</v>
      </c>
      <c r="G1471" s="107" t="s">
        <v>1520</v>
      </c>
      <c r="H1471" s="107" t="s">
        <v>1520</v>
      </c>
      <c r="I1471" s="71">
        <v>0.9</v>
      </c>
      <c r="J1471" s="72">
        <v>1</v>
      </c>
      <c r="K1471" s="72">
        <v>1</v>
      </c>
      <c r="L1471" s="73">
        <v>1</v>
      </c>
      <c r="M1471" s="72">
        <v>1</v>
      </c>
      <c r="N1471" s="74">
        <v>0.9</v>
      </c>
      <c r="O1471" s="72">
        <v>0.950669914738124</v>
      </c>
      <c r="P1471" s="72">
        <v>0.982346832814122</v>
      </c>
      <c r="Q1471" s="72">
        <v>0.970903522205207</v>
      </c>
      <c r="R1471" s="72">
        <v>0.971025979744606</v>
      </c>
      <c r="S1471" s="74">
        <v>0.9</v>
      </c>
      <c r="T1471" s="72">
        <v>0.718026796589525</v>
      </c>
      <c r="U1471" s="72">
        <v>0.814122533748702</v>
      </c>
      <c r="V1471" s="72">
        <v>0.77718223583461</v>
      </c>
      <c r="W1471" s="72">
        <v>0.770937912813738</v>
      </c>
      <c r="X1471" s="74">
        <v>0.92</v>
      </c>
      <c r="Y1471" s="74">
        <v>0.814285714285714</v>
      </c>
      <c r="Z1471" s="74">
        <v>0.889795918367347</v>
      </c>
      <c r="AA1471" s="74">
        <v>0.902708124373119</v>
      </c>
      <c r="AB1471" s="74">
        <v>0.891566265060241</v>
      </c>
      <c r="AC1471" s="74">
        <v>0.92</v>
      </c>
      <c r="AD1471" s="72">
        <v>1</v>
      </c>
      <c r="AE1471" s="72">
        <v>1</v>
      </c>
      <c r="AF1471" s="72">
        <v>0.96</v>
      </c>
      <c r="AG1471" s="72">
        <v>0.835748792270531</v>
      </c>
      <c r="AH1471" s="74">
        <v>0.92</v>
      </c>
      <c r="AI1471" s="72">
        <v>0.851556842867487</v>
      </c>
      <c r="AJ1471" s="72">
        <v>0.915904936014625</v>
      </c>
      <c r="AK1471" s="72">
        <v>0.930525401650022</v>
      </c>
      <c r="AL1471" s="72">
        <v>0.917842323651452</v>
      </c>
      <c r="AM1471" s="71">
        <v>0.99</v>
      </c>
      <c r="AN1471" s="76">
        <v>1</v>
      </c>
      <c r="AO1471" s="76">
        <v>1</v>
      </c>
      <c r="AP1471" s="76">
        <v>1</v>
      </c>
      <c r="AQ1471" s="76">
        <v>1</v>
      </c>
      <c r="AR1471" s="96">
        <v>0.110069253262963</v>
      </c>
      <c r="AS1471" s="80">
        <v>0</v>
      </c>
      <c r="AT1471" s="80">
        <v>0.111111111111111</v>
      </c>
      <c r="AU1471" s="80">
        <v>0.307692307692308</v>
      </c>
      <c r="AV1471" s="80">
        <v>0.127906976744186</v>
      </c>
      <c r="AW1471" s="36"/>
      <c r="AX1471" s="34"/>
    </row>
    <row r="1472" ht="14.5" spans="1:50">
      <c r="A1472" s="32"/>
      <c r="B1472" s="36"/>
      <c r="C1472" s="91" t="s">
        <v>1473</v>
      </c>
      <c r="D1472" s="69" t="s">
        <v>27</v>
      </c>
      <c r="E1472" s="107" t="s">
        <v>1521</v>
      </c>
      <c r="F1472" s="107" t="s">
        <v>1521</v>
      </c>
      <c r="G1472" s="107" t="s">
        <v>1521</v>
      </c>
      <c r="H1472" s="107" t="s">
        <v>1521</v>
      </c>
      <c r="I1472" s="71">
        <v>0.9</v>
      </c>
      <c r="J1472" s="72">
        <v>0.583333333333333</v>
      </c>
      <c r="K1472" s="72">
        <v>0.818181818181818</v>
      </c>
      <c r="L1472" s="73">
        <v>0.772727272727273</v>
      </c>
      <c r="M1472" s="72">
        <v>0.791044776119403</v>
      </c>
      <c r="N1472" s="74">
        <v>0.9</v>
      </c>
      <c r="O1472" s="72">
        <v>0.64590570719603</v>
      </c>
      <c r="P1472" s="72">
        <v>0.59173313995649</v>
      </c>
      <c r="Q1472" s="72">
        <v>0.73952779893374</v>
      </c>
      <c r="R1472" s="72">
        <v>0.648524291162328</v>
      </c>
      <c r="S1472" s="74">
        <v>0.9</v>
      </c>
      <c r="T1472" s="72">
        <v>0.430024813895782</v>
      </c>
      <c r="U1472" s="72">
        <v>0.448875997099347</v>
      </c>
      <c r="V1472" s="72">
        <v>0.501904036557502</v>
      </c>
      <c r="W1472" s="72">
        <v>0.465552976289173</v>
      </c>
      <c r="X1472" s="74">
        <v>0.92</v>
      </c>
      <c r="Y1472" s="74">
        <v>0</v>
      </c>
      <c r="Z1472" s="74">
        <v>0</v>
      </c>
      <c r="AA1472" s="74">
        <v>0</v>
      </c>
      <c r="AB1472" s="74">
        <v>0</v>
      </c>
      <c r="AC1472" s="74">
        <v>0.92</v>
      </c>
      <c r="AD1472" s="72">
        <v>1</v>
      </c>
      <c r="AE1472" s="72">
        <v>1</v>
      </c>
      <c r="AF1472" s="72">
        <v>1</v>
      </c>
      <c r="AG1472" s="72">
        <v>0.942148760330578</v>
      </c>
      <c r="AH1472" s="74">
        <v>0.92</v>
      </c>
      <c r="AI1472" s="72">
        <v>0.561538461538462</v>
      </c>
      <c r="AJ1472" s="72">
        <v>0.632342277012328</v>
      </c>
      <c r="AK1472" s="72">
        <v>0.681645087585682</v>
      </c>
      <c r="AL1472" s="72">
        <v>0.659357512953368</v>
      </c>
      <c r="AM1472" s="71">
        <v>0.99</v>
      </c>
      <c r="AN1472" s="76">
        <v>0</v>
      </c>
      <c r="AO1472" s="76">
        <v>0</v>
      </c>
      <c r="AP1472" s="76">
        <v>1</v>
      </c>
      <c r="AQ1472" s="76">
        <v>1</v>
      </c>
      <c r="AR1472" s="96">
        <v>0.110069253262963</v>
      </c>
      <c r="AS1472" s="80">
        <v>0.307692307692308</v>
      </c>
      <c r="AT1472" s="80">
        <v>0.181818181818182</v>
      </c>
      <c r="AU1472" s="80">
        <v>0.0882352941176471</v>
      </c>
      <c r="AV1472" s="80">
        <v>0.145593869731801</v>
      </c>
      <c r="AW1472" s="36"/>
      <c r="AX1472" s="34"/>
    </row>
    <row r="1473" ht="14.5" spans="1:50">
      <c r="A1473" s="32"/>
      <c r="B1473" s="36"/>
      <c r="C1473" s="91" t="s">
        <v>1473</v>
      </c>
      <c r="D1473" s="69" t="s">
        <v>27</v>
      </c>
      <c r="E1473" s="107" t="s">
        <v>1522</v>
      </c>
      <c r="F1473" s="107" t="s">
        <v>1522</v>
      </c>
      <c r="G1473" s="107" t="s">
        <v>1522</v>
      </c>
      <c r="H1473" s="107" t="s">
        <v>1522</v>
      </c>
      <c r="I1473" s="71">
        <v>0.9</v>
      </c>
      <c r="J1473" s="72">
        <v>0.923076923076923</v>
      </c>
      <c r="K1473" s="72">
        <v>1</v>
      </c>
      <c r="L1473" s="73">
        <v>0.9375</v>
      </c>
      <c r="M1473" s="72">
        <v>0.903448275862069</v>
      </c>
      <c r="N1473" s="74">
        <v>0.9</v>
      </c>
      <c r="O1473" s="72">
        <v>0.974576271186441</v>
      </c>
      <c r="P1473" s="72">
        <v>0.933701657458563</v>
      </c>
      <c r="Q1473" s="72">
        <v>0.629461388708631</v>
      </c>
      <c r="R1473" s="72">
        <v>0.406953873485185</v>
      </c>
      <c r="S1473" s="74">
        <v>0.9</v>
      </c>
      <c r="T1473" s="72">
        <v>0.700564971751412</v>
      </c>
      <c r="U1473" s="72">
        <v>0.430939226519337</v>
      </c>
      <c r="V1473" s="72">
        <v>0.311486048020766</v>
      </c>
      <c r="W1473" s="72">
        <v>0.300551995431762</v>
      </c>
      <c r="X1473" s="74">
        <v>0.92</v>
      </c>
      <c r="Y1473" s="74">
        <v>0</v>
      </c>
      <c r="Z1473" s="74">
        <v>0</v>
      </c>
      <c r="AA1473" s="74">
        <v>0</v>
      </c>
      <c r="AB1473" s="74">
        <v>0</v>
      </c>
      <c r="AC1473" s="74">
        <v>0.92</v>
      </c>
      <c r="AD1473" s="72">
        <v>0.8</v>
      </c>
      <c r="AE1473" s="72">
        <v>0</v>
      </c>
      <c r="AF1473" s="72">
        <v>0.285714285714286</v>
      </c>
      <c r="AG1473" s="72">
        <v>0.72972972972973</v>
      </c>
      <c r="AH1473" s="74">
        <v>0.92</v>
      </c>
      <c r="AI1473" s="72">
        <v>0.940845070422535</v>
      </c>
      <c r="AJ1473" s="72">
        <v>0.61878453038674</v>
      </c>
      <c r="AK1473" s="72">
        <v>0.341336794289422</v>
      </c>
      <c r="AL1473" s="72">
        <v>0.365210222588623</v>
      </c>
      <c r="AM1473" s="71">
        <v>0.99</v>
      </c>
      <c r="AN1473" s="76">
        <v>1</v>
      </c>
      <c r="AO1473" s="76">
        <v>1</v>
      </c>
      <c r="AP1473" s="76">
        <v>1</v>
      </c>
      <c r="AQ1473" s="76">
        <v>1</v>
      </c>
      <c r="AR1473" s="96">
        <v>0.110069253262963</v>
      </c>
      <c r="AS1473" s="80">
        <v>0.923076923076923</v>
      </c>
      <c r="AT1473" s="80">
        <v>0.95</v>
      </c>
      <c r="AU1473" s="80">
        <v>0.545454545454545</v>
      </c>
      <c r="AV1473" s="80">
        <v>0.151459854014599</v>
      </c>
      <c r="AW1473" s="36"/>
      <c r="AX1473" s="34"/>
    </row>
    <row r="1474" ht="14.5" spans="1:50">
      <c r="A1474" s="32"/>
      <c r="B1474" s="36"/>
      <c r="C1474" s="91" t="s">
        <v>1473</v>
      </c>
      <c r="D1474" s="69" t="s">
        <v>27</v>
      </c>
      <c r="E1474" s="107" t="s">
        <v>1523</v>
      </c>
      <c r="F1474" s="107" t="s">
        <v>1523</v>
      </c>
      <c r="G1474" s="107" t="s">
        <v>1523</v>
      </c>
      <c r="H1474" s="107" t="s">
        <v>1523</v>
      </c>
      <c r="I1474" s="71">
        <v>0.9</v>
      </c>
      <c r="J1474" s="72">
        <v>1</v>
      </c>
      <c r="K1474" s="72">
        <v>1</v>
      </c>
      <c r="L1474" s="73">
        <v>1</v>
      </c>
      <c r="M1474" s="72">
        <v>0.824561403508772</v>
      </c>
      <c r="N1474" s="74">
        <v>0.9</v>
      </c>
      <c r="O1474" s="72">
        <v>0.735665694849368</v>
      </c>
      <c r="P1474" s="72">
        <v>1</v>
      </c>
      <c r="Q1474" s="72">
        <v>0.275862068965517</v>
      </c>
      <c r="R1474" s="72">
        <v>0.691419515508264</v>
      </c>
      <c r="S1474" s="74">
        <v>0.9</v>
      </c>
      <c r="T1474" s="72">
        <v>0.345966958211856</v>
      </c>
      <c r="U1474" s="72">
        <v>1</v>
      </c>
      <c r="V1474" s="72">
        <v>0.275862068965517</v>
      </c>
      <c r="W1474" s="72">
        <v>0.381480642970342</v>
      </c>
      <c r="X1474" s="74">
        <v>0.92</v>
      </c>
      <c r="Y1474" s="74">
        <v>0</v>
      </c>
      <c r="Z1474" s="74">
        <v>0</v>
      </c>
      <c r="AA1474" s="74">
        <v>0</v>
      </c>
      <c r="AB1474" s="74">
        <v>0</v>
      </c>
      <c r="AC1474" s="74">
        <v>0.92</v>
      </c>
      <c r="AD1474" s="72">
        <v>0</v>
      </c>
      <c r="AE1474" s="72">
        <v>0</v>
      </c>
      <c r="AF1474" s="72">
        <v>1</v>
      </c>
      <c r="AG1474" s="72">
        <v>0.702702702702703</v>
      </c>
      <c r="AH1474" s="74">
        <v>0.92</v>
      </c>
      <c r="AI1474" s="72">
        <v>0.379008746355685</v>
      </c>
      <c r="AJ1474" s="72">
        <v>0.925925925925926</v>
      </c>
      <c r="AK1474" s="72">
        <v>0.333333333333333</v>
      </c>
      <c r="AL1474" s="72">
        <v>0.415994623655914</v>
      </c>
      <c r="AM1474" s="71">
        <v>0.99</v>
      </c>
      <c r="AN1474" s="76">
        <v>0</v>
      </c>
      <c r="AO1474" s="76">
        <v>0</v>
      </c>
      <c r="AP1474" s="76">
        <v>0</v>
      </c>
      <c r="AQ1474" s="76">
        <v>1</v>
      </c>
      <c r="AR1474" s="96">
        <v>0.110069253262963</v>
      </c>
      <c r="AS1474" s="80">
        <v>0.0967741935483871</v>
      </c>
      <c r="AT1474" s="80">
        <v>0.588235294117647</v>
      </c>
      <c r="AU1474" s="80">
        <v>0.0263157894736842</v>
      </c>
      <c r="AV1474" s="80">
        <v>0.129533678756477</v>
      </c>
      <c r="AW1474" s="36"/>
      <c r="AX1474" s="34"/>
    </row>
    <row r="1475" ht="14.5" spans="1:50">
      <c r="A1475" s="32"/>
      <c r="B1475" s="36"/>
      <c r="C1475" s="91" t="s">
        <v>1473</v>
      </c>
      <c r="D1475" s="69" t="s">
        <v>27</v>
      </c>
      <c r="E1475" s="107" t="s">
        <v>1524</v>
      </c>
      <c r="F1475" s="107" t="s">
        <v>1524</v>
      </c>
      <c r="G1475" s="107" t="s">
        <v>1524</v>
      </c>
      <c r="H1475" s="107" t="s">
        <v>1524</v>
      </c>
      <c r="I1475" s="71">
        <v>0.9</v>
      </c>
      <c r="J1475" s="72">
        <v>0.8</v>
      </c>
      <c r="K1475" s="72">
        <v>0.857142857142857</v>
      </c>
      <c r="L1475" s="73">
        <v>0.904761904761905</v>
      </c>
      <c r="M1475" s="72">
        <v>0.818652849740933</v>
      </c>
      <c r="N1475" s="74">
        <v>0.9</v>
      </c>
      <c r="O1475" s="72">
        <v>0</v>
      </c>
      <c r="P1475" s="72">
        <v>0</v>
      </c>
      <c r="Q1475" s="72">
        <v>0</v>
      </c>
      <c r="R1475" s="72">
        <v>0</v>
      </c>
      <c r="S1475" s="74">
        <v>0.9</v>
      </c>
      <c r="T1475" s="72">
        <v>0</v>
      </c>
      <c r="U1475" s="72">
        <v>0</v>
      </c>
      <c r="V1475" s="72">
        <v>0</v>
      </c>
      <c r="W1475" s="72">
        <v>1</v>
      </c>
      <c r="X1475" s="74">
        <v>0.92</v>
      </c>
      <c r="Y1475" s="74">
        <v>0</v>
      </c>
      <c r="Z1475" s="74">
        <v>0</v>
      </c>
      <c r="AA1475" s="74">
        <v>0</v>
      </c>
      <c r="AB1475" s="74">
        <v>0</v>
      </c>
      <c r="AC1475" s="74">
        <v>0.92</v>
      </c>
      <c r="AD1475" s="72">
        <v>0</v>
      </c>
      <c r="AE1475" s="72">
        <v>0</v>
      </c>
      <c r="AF1475" s="72">
        <v>0.666666666666667</v>
      </c>
      <c r="AG1475" s="72">
        <v>0.207317073170732</v>
      </c>
      <c r="AH1475" s="74">
        <v>0.92</v>
      </c>
      <c r="AI1475" s="72">
        <v>0.861702127659574</v>
      </c>
      <c r="AJ1475" s="72">
        <v>0.922871154703522</v>
      </c>
      <c r="AK1475" s="72">
        <v>0.923804226918799</v>
      </c>
      <c r="AL1475" s="72">
        <v>0.931416324343633</v>
      </c>
      <c r="AM1475" s="71">
        <v>0.99</v>
      </c>
      <c r="AN1475" s="76">
        <v>1</v>
      </c>
      <c r="AO1475" s="76">
        <v>1</v>
      </c>
      <c r="AP1475" s="76">
        <v>1</v>
      </c>
      <c r="AQ1475" s="76">
        <v>1</v>
      </c>
      <c r="AR1475" s="96">
        <v>0.110069253262963</v>
      </c>
      <c r="AS1475" s="80">
        <v>0.148148148148148</v>
      </c>
      <c r="AT1475" s="80">
        <v>0.0769230769230769</v>
      </c>
      <c r="AU1475" s="80">
        <v>0.103448275862069</v>
      </c>
      <c r="AV1475" s="80">
        <v>0.1</v>
      </c>
      <c r="AW1475" s="36"/>
      <c r="AX1475" s="34"/>
    </row>
    <row r="1476" ht="14.5" spans="1:50">
      <c r="A1476" s="32"/>
      <c r="B1476" s="36"/>
      <c r="C1476" s="91" t="s">
        <v>1473</v>
      </c>
      <c r="D1476" s="69" t="s">
        <v>27</v>
      </c>
      <c r="E1476" s="107" t="s">
        <v>1525</v>
      </c>
      <c r="F1476" s="107" t="s">
        <v>1525</v>
      </c>
      <c r="G1476" s="107" t="s">
        <v>1525</v>
      </c>
      <c r="H1476" s="107" t="s">
        <v>1525</v>
      </c>
      <c r="I1476" s="71">
        <v>0.9</v>
      </c>
      <c r="J1476" s="72">
        <v>0.8</v>
      </c>
      <c r="K1476" s="72">
        <v>0.909090909090909</v>
      </c>
      <c r="L1476" s="73">
        <v>0.916666666666667</v>
      </c>
      <c r="M1476" s="72">
        <v>0.89922480620155</v>
      </c>
      <c r="N1476" s="74">
        <v>0.9</v>
      </c>
      <c r="O1476" s="72">
        <v>0.942953020134228</v>
      </c>
      <c r="P1476" s="72">
        <v>0.742738589211618</v>
      </c>
      <c r="Q1476" s="72">
        <v>0.443923240938166</v>
      </c>
      <c r="R1476" s="72">
        <v>0.480074407955928</v>
      </c>
      <c r="S1476" s="74">
        <v>0.9</v>
      </c>
      <c r="T1476" s="72">
        <v>0.610738255033557</v>
      </c>
      <c r="U1476" s="72">
        <v>0.353526970954357</v>
      </c>
      <c r="V1476" s="72">
        <v>0.385501066098081</v>
      </c>
      <c r="W1476" s="72">
        <v>0.37182514130357</v>
      </c>
      <c r="X1476" s="74">
        <v>0.92</v>
      </c>
      <c r="Y1476" s="74">
        <v>0</v>
      </c>
      <c r="Z1476" s="74">
        <v>0</v>
      </c>
      <c r="AA1476" s="74">
        <v>0</v>
      </c>
      <c r="AB1476" s="74">
        <v>0</v>
      </c>
      <c r="AC1476" s="74">
        <v>0.92</v>
      </c>
      <c r="AD1476" s="72">
        <v>0.5</v>
      </c>
      <c r="AE1476" s="72">
        <v>0</v>
      </c>
      <c r="AF1476" s="72">
        <v>0</v>
      </c>
      <c r="AG1476" s="72">
        <v>0.261904761904762</v>
      </c>
      <c r="AH1476" s="74">
        <v>0.92</v>
      </c>
      <c r="AI1476" s="72">
        <v>0.667785234899329</v>
      </c>
      <c r="AJ1476" s="72">
        <v>0.4149377593361</v>
      </c>
      <c r="AK1476" s="72">
        <v>0.436247334754797</v>
      </c>
      <c r="AL1476" s="72">
        <v>0.459898404521714</v>
      </c>
      <c r="AM1476" s="71">
        <v>0.99</v>
      </c>
      <c r="AN1476" s="76">
        <v>0</v>
      </c>
      <c r="AO1476" s="76">
        <v>0</v>
      </c>
      <c r="AP1476" s="76">
        <v>1</v>
      </c>
      <c r="AQ1476" s="76">
        <v>1</v>
      </c>
      <c r="AR1476" s="96">
        <v>0.110069253262963</v>
      </c>
      <c r="AS1476" s="80">
        <v>0</v>
      </c>
      <c r="AT1476" s="80">
        <v>0.333333333333333</v>
      </c>
      <c r="AU1476" s="80">
        <v>0.0740740740740741</v>
      </c>
      <c r="AV1476" s="80">
        <v>0.145695364238411</v>
      </c>
      <c r="AW1476" s="36"/>
      <c r="AX1476" s="34"/>
    </row>
    <row r="1477" ht="14.5" spans="1:50">
      <c r="A1477" s="32"/>
      <c r="B1477" s="36"/>
      <c r="C1477" s="91" t="s">
        <v>1473</v>
      </c>
      <c r="D1477" s="69" t="s">
        <v>27</v>
      </c>
      <c r="E1477" s="107" t="s">
        <v>1526</v>
      </c>
      <c r="F1477" s="107" t="s">
        <v>1526</v>
      </c>
      <c r="G1477" s="107" t="s">
        <v>1526</v>
      </c>
      <c r="H1477" s="107" t="s">
        <v>1526</v>
      </c>
      <c r="I1477" s="71">
        <v>0.9</v>
      </c>
      <c r="J1477" s="72">
        <v>1</v>
      </c>
      <c r="K1477" s="72">
        <v>1</v>
      </c>
      <c r="L1477" s="73">
        <v>0.909090909090909</v>
      </c>
      <c r="M1477" s="72">
        <v>0.98989898989899</v>
      </c>
      <c r="N1477" s="74">
        <v>0.9</v>
      </c>
      <c r="O1477" s="72">
        <v>0.909722222222222</v>
      </c>
      <c r="P1477" s="72">
        <v>0.708838821490468</v>
      </c>
      <c r="Q1477" s="72">
        <v>0.623720136518771</v>
      </c>
      <c r="R1477" s="72">
        <v>0.505932721712538</v>
      </c>
      <c r="S1477" s="74">
        <v>0.9</v>
      </c>
      <c r="T1477" s="72">
        <v>0.826388888888889</v>
      </c>
      <c r="U1477" s="72">
        <v>0.54419410745234</v>
      </c>
      <c r="V1477" s="72">
        <v>0.534982935153584</v>
      </c>
      <c r="W1477" s="72">
        <v>0.424954128440367</v>
      </c>
      <c r="X1477" s="74">
        <v>0.92</v>
      </c>
      <c r="Y1477" s="74">
        <v>0</v>
      </c>
      <c r="Z1477" s="74">
        <v>0</v>
      </c>
      <c r="AA1477" s="74">
        <v>0</v>
      </c>
      <c r="AB1477" s="74">
        <v>0</v>
      </c>
      <c r="AC1477" s="74">
        <v>0.92</v>
      </c>
      <c r="AD1477" s="72">
        <v>0</v>
      </c>
      <c r="AE1477" s="72">
        <v>0</v>
      </c>
      <c r="AF1477" s="72">
        <v>0.8</v>
      </c>
      <c r="AG1477" s="72">
        <v>0.520833333333333</v>
      </c>
      <c r="AH1477" s="74">
        <v>0.92</v>
      </c>
      <c r="AI1477" s="72">
        <v>0.875</v>
      </c>
      <c r="AJ1477" s="72">
        <v>0.642980935875217</v>
      </c>
      <c r="AK1477" s="72">
        <v>0.563993174061433</v>
      </c>
      <c r="AL1477" s="72">
        <v>0.490886850152905</v>
      </c>
      <c r="AM1477" s="71">
        <v>0.99</v>
      </c>
      <c r="AN1477" s="76">
        <v>0</v>
      </c>
      <c r="AO1477" s="76">
        <v>1</v>
      </c>
      <c r="AP1477" s="76">
        <v>1</v>
      </c>
      <c r="AQ1477" s="76">
        <v>1</v>
      </c>
      <c r="AR1477" s="96">
        <v>0.110069253262963</v>
      </c>
      <c r="AS1477" s="80">
        <v>0.117647058823529</v>
      </c>
      <c r="AT1477" s="80">
        <v>0.2</v>
      </c>
      <c r="AU1477" s="80">
        <v>0.235294117647059</v>
      </c>
      <c r="AV1477" s="80">
        <v>0.138190954773869</v>
      </c>
      <c r="AW1477" s="36"/>
      <c r="AX1477" s="34"/>
    </row>
    <row r="1478" ht="14.5" spans="1:50">
      <c r="A1478" s="32"/>
      <c r="B1478" s="36"/>
      <c r="C1478" s="91" t="s">
        <v>1473</v>
      </c>
      <c r="D1478" s="69" t="s">
        <v>27</v>
      </c>
      <c r="E1478" s="107" t="s">
        <v>1527</v>
      </c>
      <c r="F1478" s="107" t="s">
        <v>1527</v>
      </c>
      <c r="G1478" s="107" t="s">
        <v>1527</v>
      </c>
      <c r="H1478" s="107" t="s">
        <v>1527</v>
      </c>
      <c r="I1478" s="71">
        <v>0.9</v>
      </c>
      <c r="J1478" s="72">
        <v>1</v>
      </c>
      <c r="K1478" s="72">
        <v>1</v>
      </c>
      <c r="L1478" s="73">
        <v>1</v>
      </c>
      <c r="M1478" s="72">
        <v>0.982142857142857</v>
      </c>
      <c r="N1478" s="74">
        <v>0.9</v>
      </c>
      <c r="O1478" s="72">
        <v>0.998540856031128</v>
      </c>
      <c r="P1478" s="72">
        <v>1</v>
      </c>
      <c r="Q1478" s="72">
        <v>0.991319444444444</v>
      </c>
      <c r="R1478" s="72">
        <v>0.995835209365151</v>
      </c>
      <c r="S1478" s="74">
        <v>0.9</v>
      </c>
      <c r="T1478" s="72">
        <v>0.526264591439689</v>
      </c>
      <c r="U1478" s="72">
        <v>0.611394557823129</v>
      </c>
      <c r="V1478" s="72">
        <v>0.986111111111111</v>
      </c>
      <c r="W1478" s="72">
        <v>0.738968932913102</v>
      </c>
      <c r="X1478" s="74">
        <v>0.92</v>
      </c>
      <c r="Y1478" s="74">
        <v>0</v>
      </c>
      <c r="Z1478" s="74">
        <v>0</v>
      </c>
      <c r="AA1478" s="74">
        <v>0</v>
      </c>
      <c r="AB1478" s="74">
        <v>0</v>
      </c>
      <c r="AC1478" s="74">
        <v>0.92</v>
      </c>
      <c r="AD1478" s="72">
        <v>0.222222222222222</v>
      </c>
      <c r="AE1478" s="72">
        <v>0</v>
      </c>
      <c r="AF1478" s="72">
        <v>1</v>
      </c>
      <c r="AG1478" s="72">
        <v>0.684782608695652</v>
      </c>
      <c r="AH1478" s="74">
        <v>0.92</v>
      </c>
      <c r="AI1478" s="72">
        <v>0.535019455252918</v>
      </c>
      <c r="AJ1478" s="72">
        <v>0.660152931180969</v>
      </c>
      <c r="AK1478" s="72">
        <v>0.989583333333333</v>
      </c>
      <c r="AL1478" s="72">
        <v>0.772875633089477</v>
      </c>
      <c r="AM1478" s="71">
        <v>0.99</v>
      </c>
      <c r="AN1478" s="76">
        <v>1</v>
      </c>
      <c r="AO1478" s="76">
        <v>1</v>
      </c>
      <c r="AP1478" s="76">
        <v>1</v>
      </c>
      <c r="AQ1478" s="76">
        <v>1</v>
      </c>
      <c r="AR1478" s="96">
        <v>0.110069253262963</v>
      </c>
      <c r="AS1478" s="80">
        <v>0.0833333333333333</v>
      </c>
      <c r="AT1478" s="80">
        <v>0.0649350649350649</v>
      </c>
      <c r="AU1478" s="80">
        <v>0.181818181818182</v>
      </c>
      <c r="AV1478" s="80">
        <v>0.109404990403071</v>
      </c>
      <c r="AW1478" s="36"/>
      <c r="AX1478" s="34"/>
    </row>
    <row r="1479" ht="14.5" spans="1:50">
      <c r="A1479" s="32"/>
      <c r="B1479" s="36"/>
      <c r="C1479" s="91" t="s">
        <v>1473</v>
      </c>
      <c r="D1479" s="69" t="s">
        <v>27</v>
      </c>
      <c r="E1479" s="107" t="s">
        <v>1528</v>
      </c>
      <c r="F1479" s="107" t="s">
        <v>1528</v>
      </c>
      <c r="G1479" s="107" t="s">
        <v>1528</v>
      </c>
      <c r="H1479" s="107" t="s">
        <v>1528</v>
      </c>
      <c r="I1479" s="71">
        <v>0.9</v>
      </c>
      <c r="J1479" s="72">
        <v>0.966666666666667</v>
      </c>
      <c r="K1479" s="72">
        <v>0.96551724137931</v>
      </c>
      <c r="L1479" s="73">
        <v>0.971428571428571</v>
      </c>
      <c r="M1479" s="72">
        <v>0.970588235294118</v>
      </c>
      <c r="N1479" s="74">
        <v>0.9</v>
      </c>
      <c r="O1479" s="72">
        <v>0.992250922509225</v>
      </c>
      <c r="P1479" s="72">
        <v>0.997817652764306</v>
      </c>
      <c r="Q1479" s="72">
        <v>0.997038499506417</v>
      </c>
      <c r="R1479" s="72">
        <v>0.996444630346126</v>
      </c>
      <c r="S1479" s="74">
        <v>0.9</v>
      </c>
      <c r="T1479" s="72">
        <v>0.901845018450184</v>
      </c>
      <c r="U1479" s="72">
        <v>0.955868089233754</v>
      </c>
      <c r="V1479" s="72">
        <v>0.947186574531096</v>
      </c>
      <c r="W1479" s="72">
        <v>0.922688138310851</v>
      </c>
      <c r="X1479" s="74">
        <v>0.92</v>
      </c>
      <c r="Y1479" s="74">
        <v>0</v>
      </c>
      <c r="Z1479" s="74">
        <v>0</v>
      </c>
      <c r="AA1479" s="74">
        <v>0</v>
      </c>
      <c r="AB1479" s="74">
        <v>0</v>
      </c>
      <c r="AC1479" s="74">
        <v>0.92</v>
      </c>
      <c r="AD1479" s="72">
        <v>0.980392156862745</v>
      </c>
      <c r="AE1479" s="72">
        <v>0.92</v>
      </c>
      <c r="AF1479" s="72">
        <v>0.8</v>
      </c>
      <c r="AG1479" s="72">
        <v>0.949748743718593</v>
      </c>
      <c r="AH1479" s="74">
        <v>0.92</v>
      </c>
      <c r="AI1479" s="72">
        <v>0.94760147601476</v>
      </c>
      <c r="AJ1479" s="72">
        <v>0.98545101842871</v>
      </c>
      <c r="AK1479" s="72">
        <v>0.989146521953626</v>
      </c>
      <c r="AL1479" s="72">
        <v>0.979923318229348</v>
      </c>
      <c r="AM1479" s="71">
        <v>0.99</v>
      </c>
      <c r="AN1479" s="76">
        <v>1</v>
      </c>
      <c r="AO1479" s="76">
        <v>1</v>
      </c>
      <c r="AP1479" s="76">
        <v>1</v>
      </c>
      <c r="AQ1479" s="76">
        <v>1</v>
      </c>
      <c r="AR1479" s="96">
        <v>0.110069253262963</v>
      </c>
      <c r="AS1479" s="80">
        <v>0.0555555555555556</v>
      </c>
      <c r="AT1479" s="80">
        <v>0.0833333333333333</v>
      </c>
      <c r="AU1479" s="80">
        <v>0</v>
      </c>
      <c r="AV1479" s="80">
        <v>0.0808823529411765</v>
      </c>
      <c r="AW1479" s="36"/>
      <c r="AX1479" s="34"/>
    </row>
    <row r="1480" ht="14.5" spans="1:50">
      <c r="A1480" s="32"/>
      <c r="B1480" s="36"/>
      <c r="C1480" s="91" t="s">
        <v>1473</v>
      </c>
      <c r="D1480" s="69" t="s">
        <v>27</v>
      </c>
      <c r="E1480" s="107" t="s">
        <v>1529</v>
      </c>
      <c r="F1480" s="107" t="s">
        <v>1529</v>
      </c>
      <c r="G1480" s="107" t="s">
        <v>1529</v>
      </c>
      <c r="H1480" s="107" t="s">
        <v>1529</v>
      </c>
      <c r="I1480" s="71">
        <v>0.9</v>
      </c>
      <c r="J1480" s="72">
        <v>0.277777777777778</v>
      </c>
      <c r="K1480" s="72">
        <v>0.4</v>
      </c>
      <c r="L1480" s="73">
        <v>0.230769230769231</v>
      </c>
      <c r="M1480" s="72">
        <v>0.278195488721804</v>
      </c>
      <c r="N1480" s="74">
        <v>0.9</v>
      </c>
      <c r="O1480" s="72">
        <v>0.573435504469987</v>
      </c>
      <c r="P1480" s="72">
        <v>0.740495137046861</v>
      </c>
      <c r="Q1480" s="72">
        <v>0.747076023391813</v>
      </c>
      <c r="R1480" s="72">
        <v>0.705718755431949</v>
      </c>
      <c r="S1480" s="74">
        <v>0.9</v>
      </c>
      <c r="T1480" s="72">
        <v>0.40485312899106</v>
      </c>
      <c r="U1480" s="72">
        <v>0.666224580017683</v>
      </c>
      <c r="V1480" s="72">
        <v>0.67719298245614</v>
      </c>
      <c r="W1480" s="72">
        <v>0.657859667419897</v>
      </c>
      <c r="X1480" s="74">
        <v>0.92</v>
      </c>
      <c r="Y1480" s="74">
        <v>0</v>
      </c>
      <c r="Z1480" s="74">
        <v>0</v>
      </c>
      <c r="AA1480" s="74">
        <v>0</v>
      </c>
      <c r="AB1480" s="74">
        <v>0</v>
      </c>
      <c r="AC1480" s="74">
        <v>0.92</v>
      </c>
      <c r="AD1480" s="72">
        <v>0.333333333333333</v>
      </c>
      <c r="AE1480" s="72">
        <v>0.5</v>
      </c>
      <c r="AF1480" s="72">
        <v>0.111111111111111</v>
      </c>
      <c r="AG1480" s="72">
        <v>0.181818181818182</v>
      </c>
      <c r="AH1480" s="74">
        <v>0.92</v>
      </c>
      <c r="AI1480" s="72">
        <v>0.508301404853129</v>
      </c>
      <c r="AJ1480" s="72">
        <v>0.724137931034483</v>
      </c>
      <c r="AK1480" s="72">
        <v>0.722514619883041</v>
      </c>
      <c r="AL1480" s="72">
        <v>0.720162224797219</v>
      </c>
      <c r="AM1480" s="71">
        <v>0.99</v>
      </c>
      <c r="AN1480" s="76">
        <v>1</v>
      </c>
      <c r="AO1480" s="76">
        <v>1</v>
      </c>
      <c r="AP1480" s="76">
        <v>1</v>
      </c>
      <c r="AQ1480" s="76">
        <v>1</v>
      </c>
      <c r="AR1480" s="96">
        <v>0.110069253262963</v>
      </c>
      <c r="AS1480" s="80">
        <v>0.162162162162162</v>
      </c>
      <c r="AT1480" s="80">
        <v>0.326923076923077</v>
      </c>
      <c r="AU1480" s="80">
        <v>0.428571428571429</v>
      </c>
      <c r="AV1480" s="80">
        <v>0.228888888888889</v>
      </c>
      <c r="AW1480" s="36"/>
      <c r="AX1480" s="34"/>
    </row>
    <row r="1481" ht="14.5" spans="1:50">
      <c r="A1481" s="32"/>
      <c r="B1481" s="36"/>
      <c r="C1481" s="91" t="s">
        <v>1473</v>
      </c>
      <c r="D1481" s="69" t="s">
        <v>27</v>
      </c>
      <c r="E1481" s="107" t="s">
        <v>1530</v>
      </c>
      <c r="F1481" s="107" t="s">
        <v>1530</v>
      </c>
      <c r="G1481" s="107" t="s">
        <v>1530</v>
      </c>
      <c r="H1481" s="107" t="s">
        <v>1530</v>
      </c>
      <c r="I1481" s="71">
        <v>0.9</v>
      </c>
      <c r="J1481" s="72">
        <v>0.44</v>
      </c>
      <c r="K1481" s="72">
        <v>0.363636363636364</v>
      </c>
      <c r="L1481" s="73">
        <v>0.620689655172414</v>
      </c>
      <c r="M1481" s="72">
        <v>0.486590038314176</v>
      </c>
      <c r="N1481" s="74">
        <v>0.9</v>
      </c>
      <c r="O1481" s="72">
        <v>0.692250922509225</v>
      </c>
      <c r="P1481" s="72">
        <v>0.630790190735695</v>
      </c>
      <c r="Q1481" s="72">
        <v>0.602784602784603</v>
      </c>
      <c r="R1481" s="72">
        <v>0.616008852821837</v>
      </c>
      <c r="S1481" s="74">
        <v>0.9</v>
      </c>
      <c r="T1481" s="72">
        <v>0.421894218942189</v>
      </c>
      <c r="U1481" s="72">
        <v>0.452316076294278</v>
      </c>
      <c r="V1481" s="72">
        <v>0.4995904995905</v>
      </c>
      <c r="W1481" s="72">
        <v>0.469117586786344</v>
      </c>
      <c r="X1481" s="74">
        <v>0.92</v>
      </c>
      <c r="Y1481" s="74">
        <v>0</v>
      </c>
      <c r="Z1481" s="74">
        <v>0</v>
      </c>
      <c r="AA1481" s="74">
        <v>0</v>
      </c>
      <c r="AB1481" s="74">
        <v>0</v>
      </c>
      <c r="AC1481" s="74">
        <v>0.92</v>
      </c>
      <c r="AD1481" s="72">
        <v>1</v>
      </c>
      <c r="AE1481" s="72">
        <v>1</v>
      </c>
      <c r="AF1481" s="72">
        <v>0.666666666666667</v>
      </c>
      <c r="AG1481" s="72">
        <v>0.781818181818182</v>
      </c>
      <c r="AH1481" s="74">
        <v>0.92</v>
      </c>
      <c r="AI1481" s="72">
        <v>0.511685116851168</v>
      </c>
      <c r="AJ1481" s="72">
        <v>0.588555858310627</v>
      </c>
      <c r="AK1481" s="72">
        <v>0.645372645372645</v>
      </c>
      <c r="AL1481" s="72">
        <v>0.612868852459016</v>
      </c>
      <c r="AM1481" s="71">
        <v>0.99</v>
      </c>
      <c r="AN1481" s="76">
        <v>0</v>
      </c>
      <c r="AO1481" s="76">
        <v>0</v>
      </c>
      <c r="AP1481" s="76">
        <v>0</v>
      </c>
      <c r="AQ1481" s="76">
        <v>1</v>
      </c>
      <c r="AR1481" s="96">
        <v>0.110069253262963</v>
      </c>
      <c r="AS1481" s="80">
        <v>0.277777777777778</v>
      </c>
      <c r="AT1481" s="80">
        <v>0.181818181818182</v>
      </c>
      <c r="AU1481" s="80">
        <v>0.117647058823529</v>
      </c>
      <c r="AV1481" s="80">
        <v>0.157657657657658</v>
      </c>
      <c r="AW1481" s="36"/>
      <c r="AX1481" s="34"/>
    </row>
    <row r="1482" ht="14.5" spans="1:50">
      <c r="A1482" s="32"/>
      <c r="B1482" s="36"/>
      <c r="C1482" s="91" t="s">
        <v>1473</v>
      </c>
      <c r="D1482" s="69" t="s">
        <v>27</v>
      </c>
      <c r="E1482" s="107" t="s">
        <v>1531</v>
      </c>
      <c r="F1482" s="107" t="s">
        <v>1531</v>
      </c>
      <c r="G1482" s="107" t="s">
        <v>1531</v>
      </c>
      <c r="H1482" s="107" t="s">
        <v>1531</v>
      </c>
      <c r="I1482" s="71">
        <v>0.9</v>
      </c>
      <c r="J1482" s="72">
        <v>0.88</v>
      </c>
      <c r="K1482" s="72">
        <v>0.633333333333333</v>
      </c>
      <c r="L1482" s="73">
        <v>0.708333333333333</v>
      </c>
      <c r="M1482" s="72">
        <v>0.76890756302521</v>
      </c>
      <c r="N1482" s="74">
        <v>0.9</v>
      </c>
      <c r="O1482" s="72">
        <v>0.861453356801609</v>
      </c>
      <c r="P1482" s="72">
        <v>0.785619174434088</v>
      </c>
      <c r="Q1482" s="72">
        <v>0.779522184300341</v>
      </c>
      <c r="R1482" s="72">
        <v>0.82580075459581</v>
      </c>
      <c r="S1482" s="74">
        <v>0.9</v>
      </c>
      <c r="T1482" s="72">
        <v>0.598189590143324</v>
      </c>
      <c r="U1482" s="72">
        <v>0.617177097203728</v>
      </c>
      <c r="V1482" s="72">
        <v>0.606825938566553</v>
      </c>
      <c r="W1482" s="72">
        <v>0.627077145380108</v>
      </c>
      <c r="X1482" s="74">
        <v>0.92</v>
      </c>
      <c r="Y1482" s="74">
        <v>0</v>
      </c>
      <c r="Z1482" s="74">
        <v>0</v>
      </c>
      <c r="AA1482" s="74">
        <v>0</v>
      </c>
      <c r="AB1482" s="74">
        <v>0</v>
      </c>
      <c r="AC1482" s="74">
        <v>0.92</v>
      </c>
      <c r="AD1482" s="72">
        <v>1</v>
      </c>
      <c r="AE1482" s="72">
        <v>0.869565217391304</v>
      </c>
      <c r="AF1482" s="72">
        <v>0.833333333333333</v>
      </c>
      <c r="AG1482" s="72">
        <v>0.866666666666667</v>
      </c>
      <c r="AH1482" s="74">
        <v>0.92</v>
      </c>
      <c r="AI1482" s="72">
        <v>0.660045260246417</v>
      </c>
      <c r="AJ1482" s="72">
        <v>0.784953395472703</v>
      </c>
      <c r="AK1482" s="72">
        <v>0.84778156996587</v>
      </c>
      <c r="AL1482" s="72">
        <v>0.78634502689251</v>
      </c>
      <c r="AM1482" s="71">
        <v>0.99</v>
      </c>
      <c r="AN1482" s="76">
        <v>1</v>
      </c>
      <c r="AO1482" s="76">
        <v>1</v>
      </c>
      <c r="AP1482" s="76">
        <v>1</v>
      </c>
      <c r="AQ1482" s="76">
        <v>1</v>
      </c>
      <c r="AR1482" s="96">
        <v>0.110069253262963</v>
      </c>
      <c r="AS1482" s="80">
        <v>0.0769230769230769</v>
      </c>
      <c r="AT1482" s="80">
        <v>0.08</v>
      </c>
      <c r="AU1482" s="80">
        <v>0.0869565217391304</v>
      </c>
      <c r="AV1482" s="80">
        <v>0.0796019900497512</v>
      </c>
      <c r="AW1482" s="36"/>
      <c r="AX1482" s="34"/>
    </row>
    <row r="1483" ht="14.5" spans="1:50">
      <c r="A1483" s="32"/>
      <c r="B1483" s="36"/>
      <c r="C1483" s="91" t="s">
        <v>1473</v>
      </c>
      <c r="D1483" s="69" t="s">
        <v>27</v>
      </c>
      <c r="E1483" s="107" t="s">
        <v>1532</v>
      </c>
      <c r="F1483" s="107" t="s">
        <v>1532</v>
      </c>
      <c r="G1483" s="107" t="s">
        <v>1532</v>
      </c>
      <c r="H1483" s="107" t="s">
        <v>1532</v>
      </c>
      <c r="I1483" s="71">
        <v>0.9</v>
      </c>
      <c r="J1483" s="72">
        <v>0</v>
      </c>
      <c r="K1483" s="72">
        <v>0</v>
      </c>
      <c r="L1483" s="73">
        <v>0</v>
      </c>
      <c r="M1483" s="72">
        <v>0</v>
      </c>
      <c r="N1483" s="74">
        <v>0.9</v>
      </c>
      <c r="O1483" s="72">
        <v>0</v>
      </c>
      <c r="P1483" s="72">
        <v>0</v>
      </c>
      <c r="Q1483" s="72">
        <v>0</v>
      </c>
      <c r="R1483" s="72">
        <v>0</v>
      </c>
      <c r="S1483" s="74">
        <v>0.9</v>
      </c>
      <c r="T1483" s="72">
        <v>0</v>
      </c>
      <c r="U1483" s="72">
        <v>0</v>
      </c>
      <c r="V1483" s="72">
        <v>0</v>
      </c>
      <c r="W1483" s="72">
        <v>1</v>
      </c>
      <c r="X1483" s="74">
        <v>0.92</v>
      </c>
      <c r="Y1483" s="74">
        <v>0</v>
      </c>
      <c r="Z1483" s="74">
        <v>0</v>
      </c>
      <c r="AA1483" s="74">
        <v>0</v>
      </c>
      <c r="AB1483" s="74">
        <v>0</v>
      </c>
      <c r="AC1483" s="74">
        <v>0.92</v>
      </c>
      <c r="AD1483" s="72">
        <v>0.994936708860759</v>
      </c>
      <c r="AE1483" s="72">
        <v>0.471516213847502</v>
      </c>
      <c r="AF1483" s="72">
        <v>0.891630901287554</v>
      </c>
      <c r="AG1483" s="72">
        <v>0.817477656405164</v>
      </c>
      <c r="AH1483" s="74">
        <v>0.92</v>
      </c>
      <c r="AI1483" s="72">
        <v>0</v>
      </c>
      <c r="AJ1483" s="72">
        <v>0</v>
      </c>
      <c r="AK1483" s="72">
        <v>0</v>
      </c>
      <c r="AL1483" s="72">
        <v>1</v>
      </c>
      <c r="AM1483" s="71">
        <v>0.99</v>
      </c>
      <c r="AN1483" s="76">
        <v>1</v>
      </c>
      <c r="AO1483" s="76">
        <v>1</v>
      </c>
      <c r="AP1483" s="76">
        <v>1</v>
      </c>
      <c r="AQ1483" s="76">
        <v>1</v>
      </c>
      <c r="AR1483" s="96">
        <v>0.110069253262963</v>
      </c>
      <c r="AS1483" s="80">
        <v>0</v>
      </c>
      <c r="AT1483" s="80">
        <v>0</v>
      </c>
      <c r="AU1483" s="80">
        <v>0</v>
      </c>
      <c r="AV1483" s="80">
        <v>0</v>
      </c>
      <c r="AW1483" s="36"/>
      <c r="AX1483" s="34"/>
    </row>
    <row r="1484" ht="14.5" spans="1:50">
      <c r="A1484" s="32"/>
      <c r="B1484" s="36"/>
      <c r="C1484" s="91" t="s">
        <v>1473</v>
      </c>
      <c r="D1484" s="69" t="s">
        <v>27</v>
      </c>
      <c r="E1484" s="107" t="s">
        <v>1533</v>
      </c>
      <c r="F1484" s="107" t="s">
        <v>1533</v>
      </c>
      <c r="G1484" s="107" t="s">
        <v>1533</v>
      </c>
      <c r="H1484" s="107" t="s">
        <v>1533</v>
      </c>
      <c r="I1484" s="71">
        <v>0.9</v>
      </c>
      <c r="J1484" s="72">
        <v>1</v>
      </c>
      <c r="K1484" s="72">
        <v>1</v>
      </c>
      <c r="L1484" s="73">
        <v>1</v>
      </c>
      <c r="M1484" s="72">
        <v>0.995260663507109</v>
      </c>
      <c r="N1484" s="74">
        <v>0.9</v>
      </c>
      <c r="O1484" s="72">
        <v>0.964551172098342</v>
      </c>
      <c r="P1484" s="72">
        <v>0.975359342915811</v>
      </c>
      <c r="Q1484" s="72">
        <v>0.965697240865026</v>
      </c>
      <c r="R1484" s="72">
        <v>0.956518032227811</v>
      </c>
      <c r="S1484" s="74">
        <v>0.9</v>
      </c>
      <c r="T1484" s="72">
        <v>0.724985706117782</v>
      </c>
      <c r="U1484" s="72">
        <v>0.829568788501027</v>
      </c>
      <c r="V1484" s="72">
        <v>0.790454884414616</v>
      </c>
      <c r="W1484" s="72">
        <v>0.775428425270697</v>
      </c>
      <c r="X1484" s="74">
        <v>0.92</v>
      </c>
      <c r="Y1484" s="74">
        <v>0.747702589807853</v>
      </c>
      <c r="Z1484" s="74">
        <v>0.869047619047619</v>
      </c>
      <c r="AA1484" s="74">
        <v>0.881256133464181</v>
      </c>
      <c r="AB1484" s="74">
        <v>0.836487509462528</v>
      </c>
      <c r="AC1484" s="74">
        <v>0.92</v>
      </c>
      <c r="AD1484" s="72">
        <v>1</v>
      </c>
      <c r="AE1484" s="72">
        <v>1</v>
      </c>
      <c r="AF1484" s="72">
        <v>0.292307692307692</v>
      </c>
      <c r="AG1484" s="72">
        <v>0.809917355371901</v>
      </c>
      <c r="AH1484" s="74">
        <v>0.92</v>
      </c>
      <c r="AI1484" s="72">
        <v>0.815682281059063</v>
      </c>
      <c r="AJ1484" s="72">
        <v>0.905625290562529</v>
      </c>
      <c r="AK1484" s="72">
        <v>0.918678526048285</v>
      </c>
      <c r="AL1484" s="72">
        <v>0.881208885499094</v>
      </c>
      <c r="AM1484" s="71">
        <v>0.99</v>
      </c>
      <c r="AN1484" s="76">
        <v>1</v>
      </c>
      <c r="AO1484" s="76">
        <v>1</v>
      </c>
      <c r="AP1484" s="76">
        <v>1</v>
      </c>
      <c r="AQ1484" s="76">
        <v>1</v>
      </c>
      <c r="AR1484" s="96">
        <v>0.110069253262963</v>
      </c>
      <c r="AS1484" s="80">
        <v>0.142857142857143</v>
      </c>
      <c r="AT1484" s="80">
        <v>0</v>
      </c>
      <c r="AU1484" s="80">
        <v>0.25</v>
      </c>
      <c r="AV1484" s="80">
        <v>0.130081300813008</v>
      </c>
      <c r="AW1484" s="36"/>
      <c r="AX1484" s="34"/>
    </row>
    <row r="1485" ht="14.5" spans="1:50">
      <c r="A1485" s="32"/>
      <c r="B1485" s="36"/>
      <c r="C1485" s="91" t="s">
        <v>1473</v>
      </c>
      <c r="D1485" s="69" t="s">
        <v>27</v>
      </c>
      <c r="E1485" s="107" t="s">
        <v>1534</v>
      </c>
      <c r="F1485" s="107" t="s">
        <v>1534</v>
      </c>
      <c r="G1485" s="107" t="s">
        <v>1534</v>
      </c>
      <c r="H1485" s="107" t="s">
        <v>1534</v>
      </c>
      <c r="I1485" s="71">
        <v>0.9</v>
      </c>
      <c r="J1485" s="72">
        <v>0.954545454545455</v>
      </c>
      <c r="K1485" s="72">
        <v>1</v>
      </c>
      <c r="L1485" s="73">
        <v>0.961538461538462</v>
      </c>
      <c r="M1485" s="72">
        <v>0.990610328638498</v>
      </c>
      <c r="N1485" s="74">
        <v>0.9</v>
      </c>
      <c r="O1485" s="72">
        <v>0.955154338963308</v>
      </c>
      <c r="P1485" s="72">
        <v>0.976394849785408</v>
      </c>
      <c r="Q1485" s="72">
        <v>0.975164353542732</v>
      </c>
      <c r="R1485" s="72">
        <v>0.973514977153495</v>
      </c>
      <c r="S1485" s="74">
        <v>0.9</v>
      </c>
      <c r="T1485" s="72">
        <v>0.672684915550379</v>
      </c>
      <c r="U1485" s="72">
        <v>0.824034334763948</v>
      </c>
      <c r="V1485" s="72">
        <v>0.803506208911614</v>
      </c>
      <c r="W1485" s="72">
        <v>0.779150448468438</v>
      </c>
      <c r="X1485" s="74">
        <v>0.92</v>
      </c>
      <c r="Y1485" s="74">
        <v>0.863829787234043</v>
      </c>
      <c r="Z1485" s="74">
        <v>0.945712037765539</v>
      </c>
      <c r="AA1485" s="74">
        <v>0.908762420957543</v>
      </c>
      <c r="AB1485" s="74">
        <v>0.912345160613059</v>
      </c>
      <c r="AC1485" s="74">
        <v>0.92</v>
      </c>
      <c r="AD1485" s="72">
        <v>1</v>
      </c>
      <c r="AE1485" s="72">
        <v>0.9375</v>
      </c>
      <c r="AF1485" s="72">
        <v>1</v>
      </c>
      <c r="AG1485" s="72">
        <v>0.874617737003058</v>
      </c>
      <c r="AH1485" s="74">
        <v>0.92</v>
      </c>
      <c r="AI1485" s="72">
        <v>0.894882434301521</v>
      </c>
      <c r="AJ1485" s="72">
        <v>0.95687698592828</v>
      </c>
      <c r="AK1485" s="72">
        <v>0.947517157852241</v>
      </c>
      <c r="AL1485" s="72">
        <v>0.938911271432587</v>
      </c>
      <c r="AM1485" s="71">
        <v>0.99</v>
      </c>
      <c r="AN1485" s="76">
        <v>1</v>
      </c>
      <c r="AO1485" s="76">
        <v>1</v>
      </c>
      <c r="AP1485" s="76">
        <v>1</v>
      </c>
      <c r="AQ1485" s="76">
        <v>1</v>
      </c>
      <c r="AR1485" s="96">
        <v>0.110069253262963</v>
      </c>
      <c r="AS1485" s="80">
        <v>0</v>
      </c>
      <c r="AT1485" s="80">
        <v>0.2</v>
      </c>
      <c r="AU1485" s="80">
        <v>0.125</v>
      </c>
      <c r="AV1485" s="80">
        <v>0.0625</v>
      </c>
      <c r="AW1485" s="36"/>
      <c r="AX1485" s="34"/>
    </row>
    <row r="1486" ht="14.5" spans="1:50">
      <c r="A1486" s="32"/>
      <c r="B1486" s="36"/>
      <c r="C1486" s="91" t="s">
        <v>1473</v>
      </c>
      <c r="D1486" s="69" t="s">
        <v>27</v>
      </c>
      <c r="E1486" s="107" t="s">
        <v>1535</v>
      </c>
      <c r="F1486" s="107" t="s">
        <v>1535</v>
      </c>
      <c r="G1486" s="107" t="s">
        <v>1535</v>
      </c>
      <c r="H1486" s="107" t="s">
        <v>1535</v>
      </c>
      <c r="I1486" s="71">
        <v>0.9</v>
      </c>
      <c r="J1486" s="72">
        <v>0</v>
      </c>
      <c r="K1486" s="72">
        <v>0</v>
      </c>
      <c r="L1486" s="73">
        <v>0</v>
      </c>
      <c r="M1486" s="72">
        <v>0.27027027027027</v>
      </c>
      <c r="N1486" s="74">
        <v>0.9</v>
      </c>
      <c r="O1486" s="72">
        <v>0.03125</v>
      </c>
      <c r="P1486" s="72">
        <v>1</v>
      </c>
      <c r="Q1486" s="72">
        <v>0.179063360881543</v>
      </c>
      <c r="R1486" s="72">
        <v>0.157210401891253</v>
      </c>
      <c r="S1486" s="74">
        <v>0.9</v>
      </c>
      <c r="T1486" s="72">
        <v>0.03125</v>
      </c>
      <c r="U1486" s="72">
        <v>0.555555555555556</v>
      </c>
      <c r="V1486" s="72">
        <v>0.0550964187327824</v>
      </c>
      <c r="W1486" s="72">
        <v>0.066193853427896</v>
      </c>
      <c r="X1486" s="74">
        <v>0.92</v>
      </c>
      <c r="Y1486" s="74">
        <v>0</v>
      </c>
      <c r="Z1486" s="74">
        <v>0</v>
      </c>
      <c r="AA1486" s="74">
        <v>0</v>
      </c>
      <c r="AB1486" s="74">
        <v>0</v>
      </c>
      <c r="AC1486" s="74">
        <v>0.92</v>
      </c>
      <c r="AD1486" s="72">
        <v>0</v>
      </c>
      <c r="AE1486" s="72">
        <v>0</v>
      </c>
      <c r="AF1486" s="72">
        <v>1</v>
      </c>
      <c r="AG1486" s="72">
        <v>0.8</v>
      </c>
      <c r="AH1486" s="74">
        <v>0.92</v>
      </c>
      <c r="AI1486" s="72">
        <v>0.03125</v>
      </c>
      <c r="AJ1486" s="72">
        <v>0.611111111111111</v>
      </c>
      <c r="AK1486" s="72">
        <v>0.0661157024793388</v>
      </c>
      <c r="AL1486" s="72">
        <v>0.074468085106383</v>
      </c>
      <c r="AM1486" s="71">
        <v>0.99</v>
      </c>
      <c r="AN1486" s="76">
        <v>0</v>
      </c>
      <c r="AO1486" s="76">
        <v>0</v>
      </c>
      <c r="AP1486" s="76">
        <v>0</v>
      </c>
      <c r="AQ1486" s="76">
        <v>0</v>
      </c>
      <c r="AR1486" s="96">
        <v>0.110069253262963</v>
      </c>
      <c r="AS1486" s="80">
        <v>0</v>
      </c>
      <c r="AT1486" s="80">
        <v>0</v>
      </c>
      <c r="AU1486" s="80">
        <v>0.0786516853932584</v>
      </c>
      <c r="AV1486" s="80">
        <v>0.0673469387755102</v>
      </c>
      <c r="AW1486" s="36"/>
      <c r="AX1486" s="34"/>
    </row>
    <row r="1487" ht="14.5" spans="1:50">
      <c r="A1487" s="32"/>
      <c r="B1487" s="36"/>
      <c r="C1487" s="91" t="s">
        <v>1473</v>
      </c>
      <c r="D1487" s="69" t="s">
        <v>27</v>
      </c>
      <c r="E1487" s="107" t="s">
        <v>1536</v>
      </c>
      <c r="F1487" s="107" t="s">
        <v>1536</v>
      </c>
      <c r="G1487" s="107" t="s">
        <v>1536</v>
      </c>
      <c r="H1487" s="107" t="s">
        <v>1536</v>
      </c>
      <c r="I1487" s="71">
        <v>0.9</v>
      </c>
      <c r="J1487" s="72">
        <v>0</v>
      </c>
      <c r="K1487" s="72">
        <v>0</v>
      </c>
      <c r="L1487" s="73">
        <v>0</v>
      </c>
      <c r="M1487" s="72">
        <v>0</v>
      </c>
      <c r="N1487" s="74">
        <v>0.9</v>
      </c>
      <c r="O1487" s="72">
        <v>0</v>
      </c>
      <c r="P1487" s="72">
        <v>0</v>
      </c>
      <c r="Q1487" s="72">
        <v>0</v>
      </c>
      <c r="R1487" s="72">
        <v>0</v>
      </c>
      <c r="S1487" s="74">
        <v>0.9</v>
      </c>
      <c r="T1487" s="72">
        <v>0</v>
      </c>
      <c r="U1487" s="72">
        <v>0</v>
      </c>
      <c r="V1487" s="72">
        <v>0</v>
      </c>
      <c r="W1487" s="72">
        <v>0</v>
      </c>
      <c r="X1487" s="74">
        <v>0.92</v>
      </c>
      <c r="Y1487" s="74">
        <v>0</v>
      </c>
      <c r="Z1487" s="74">
        <v>0</v>
      </c>
      <c r="AA1487" s="74">
        <v>0</v>
      </c>
      <c r="AB1487" s="74">
        <v>0</v>
      </c>
      <c r="AC1487" s="74">
        <v>0.92</v>
      </c>
      <c r="AD1487" s="72">
        <v>0.872340425531915</v>
      </c>
      <c r="AE1487" s="72">
        <v>0.896103896103896</v>
      </c>
      <c r="AF1487" s="72">
        <v>0.985074626865672</v>
      </c>
      <c r="AG1487" s="72">
        <v>0.916223404255319</v>
      </c>
      <c r="AH1487" s="74">
        <v>0.92</v>
      </c>
      <c r="AI1487" s="72">
        <v>0</v>
      </c>
      <c r="AJ1487" s="72">
        <v>0</v>
      </c>
      <c r="AK1487" s="72">
        <v>0</v>
      </c>
      <c r="AL1487" s="72">
        <v>0</v>
      </c>
      <c r="AM1487" s="71">
        <v>0.99</v>
      </c>
      <c r="AN1487" s="76">
        <v>1</v>
      </c>
      <c r="AO1487" s="76">
        <v>1</v>
      </c>
      <c r="AP1487" s="76">
        <v>1</v>
      </c>
      <c r="AQ1487" s="76">
        <v>1</v>
      </c>
      <c r="AR1487" s="96">
        <v>0.110069253262963</v>
      </c>
      <c r="AS1487" s="80">
        <v>0</v>
      </c>
      <c r="AT1487" s="80">
        <v>0</v>
      </c>
      <c r="AU1487" s="80">
        <v>0</v>
      </c>
      <c r="AV1487" s="80">
        <v>0</v>
      </c>
      <c r="AW1487" s="36"/>
      <c r="AX1487" s="34"/>
    </row>
    <row r="1488" ht="14.5" spans="1:50">
      <c r="A1488" s="32"/>
      <c r="B1488" s="36"/>
      <c r="C1488" s="91" t="s">
        <v>1473</v>
      </c>
      <c r="D1488" s="69" t="s">
        <v>27</v>
      </c>
      <c r="E1488" s="107" t="s">
        <v>1537</v>
      </c>
      <c r="F1488" s="107" t="s">
        <v>1537</v>
      </c>
      <c r="G1488" s="107" t="s">
        <v>1537</v>
      </c>
      <c r="H1488" s="107" t="s">
        <v>1537</v>
      </c>
      <c r="I1488" s="71">
        <v>0.9</v>
      </c>
      <c r="J1488" s="72">
        <v>0.730769230769231</v>
      </c>
      <c r="K1488" s="72">
        <v>0.7</v>
      </c>
      <c r="L1488" s="73">
        <v>0.538461538461538</v>
      </c>
      <c r="M1488" s="72">
        <v>0.701960784313725</v>
      </c>
      <c r="N1488" s="74">
        <v>0.9</v>
      </c>
      <c r="O1488" s="72">
        <v>0.834764506895654</v>
      </c>
      <c r="P1488" s="72">
        <v>0.821789321789322</v>
      </c>
      <c r="Q1488" s="72">
        <v>0.844391785150079</v>
      </c>
      <c r="R1488" s="72">
        <v>0.864505149240705</v>
      </c>
      <c r="S1488" s="74">
        <v>0.9</v>
      </c>
      <c r="T1488" s="72">
        <v>0.555555555555556</v>
      </c>
      <c r="U1488" s="72">
        <v>0.636363636363636</v>
      </c>
      <c r="V1488" s="72">
        <v>0.77567140600316</v>
      </c>
      <c r="W1488" s="72">
        <v>0.679219759120265</v>
      </c>
      <c r="X1488" s="74">
        <v>0.92</v>
      </c>
      <c r="Y1488" s="74">
        <v>0</v>
      </c>
      <c r="Z1488" s="74">
        <v>0</v>
      </c>
      <c r="AA1488" s="74">
        <v>0</v>
      </c>
      <c r="AB1488" s="74">
        <v>0</v>
      </c>
      <c r="AC1488" s="74">
        <v>0.92</v>
      </c>
      <c r="AD1488" s="72">
        <v>1</v>
      </c>
      <c r="AE1488" s="72">
        <v>0.909090909090909</v>
      </c>
      <c r="AF1488" s="72">
        <v>0.888888888888889</v>
      </c>
      <c r="AG1488" s="72">
        <v>0.765690376569038</v>
      </c>
      <c r="AH1488" s="74">
        <v>0.92</v>
      </c>
      <c r="AI1488" s="72">
        <v>0.619047619047619</v>
      </c>
      <c r="AJ1488" s="72">
        <v>0.774891774891775</v>
      </c>
      <c r="AK1488" s="72">
        <v>0.915481832543444</v>
      </c>
      <c r="AL1488" s="72">
        <v>0.823136673066853</v>
      </c>
      <c r="AM1488" s="71">
        <v>0.99</v>
      </c>
      <c r="AN1488" s="76">
        <v>0</v>
      </c>
      <c r="AO1488" s="76">
        <v>0</v>
      </c>
      <c r="AP1488" s="76">
        <v>1</v>
      </c>
      <c r="AQ1488" s="76">
        <v>1</v>
      </c>
      <c r="AR1488" s="96">
        <v>0.110069253262963</v>
      </c>
      <c r="AS1488" s="80">
        <v>0</v>
      </c>
      <c r="AT1488" s="80">
        <v>0</v>
      </c>
      <c r="AU1488" s="80">
        <v>0.157894736842105</v>
      </c>
      <c r="AV1488" s="80">
        <v>0.0779220779220779</v>
      </c>
      <c r="AW1488" s="36"/>
      <c r="AX1488" s="34"/>
    </row>
    <row r="1489" ht="14.5" spans="1:50">
      <c r="A1489" s="32"/>
      <c r="B1489" s="36"/>
      <c r="C1489" s="91" t="s">
        <v>1473</v>
      </c>
      <c r="D1489" s="69" t="s">
        <v>27</v>
      </c>
      <c r="E1489" s="107" t="s">
        <v>1538</v>
      </c>
      <c r="F1489" s="107" t="s">
        <v>1538</v>
      </c>
      <c r="G1489" s="107" t="s">
        <v>1538</v>
      </c>
      <c r="H1489" s="107" t="s">
        <v>1538</v>
      </c>
      <c r="I1489" s="71">
        <v>0.9</v>
      </c>
      <c r="J1489" s="72">
        <v>1</v>
      </c>
      <c r="K1489" s="72">
        <v>1</v>
      </c>
      <c r="L1489" s="73">
        <v>1</v>
      </c>
      <c r="M1489" s="72">
        <v>0.995633187772926</v>
      </c>
      <c r="N1489" s="74">
        <v>0.9</v>
      </c>
      <c r="O1489" s="72">
        <v>0.87535734705546</v>
      </c>
      <c r="P1489" s="72">
        <v>0.918</v>
      </c>
      <c r="Q1489" s="72">
        <v>0.972032742155525</v>
      </c>
      <c r="R1489" s="72">
        <v>0.951969419976733</v>
      </c>
      <c r="S1489" s="74">
        <v>0.9</v>
      </c>
      <c r="T1489" s="72">
        <v>0.609491137793025</v>
      </c>
      <c r="U1489" s="72">
        <v>0.663</v>
      </c>
      <c r="V1489" s="72">
        <v>0.766712141882674</v>
      </c>
      <c r="W1489" s="72">
        <v>0.700598304803058</v>
      </c>
      <c r="X1489" s="74">
        <v>0.92</v>
      </c>
      <c r="Y1489" s="74">
        <v>0.728828828828829</v>
      </c>
      <c r="Z1489" s="74">
        <v>0.842751842751843</v>
      </c>
      <c r="AA1489" s="74">
        <v>0.90693257359924</v>
      </c>
      <c r="AB1489" s="74">
        <v>0.851519628535247</v>
      </c>
      <c r="AC1489" s="74">
        <v>0.92</v>
      </c>
      <c r="AD1489" s="72">
        <v>0.179487179487179</v>
      </c>
      <c r="AE1489" s="72">
        <v>0.166666666666667</v>
      </c>
      <c r="AF1489" s="72">
        <v>0.52112676056338</v>
      </c>
      <c r="AG1489" s="72">
        <v>0.29263370332997</v>
      </c>
      <c r="AH1489" s="74">
        <v>0.92</v>
      </c>
      <c r="AI1489" s="72">
        <v>0.78803777544596</v>
      </c>
      <c r="AJ1489" s="72">
        <v>0.866336633663366</v>
      </c>
      <c r="AK1489" s="72">
        <v>0.940055577610163</v>
      </c>
      <c r="AL1489" s="72">
        <v>0.885412792859799</v>
      </c>
      <c r="AM1489" s="71">
        <v>0.99</v>
      </c>
      <c r="AN1489" s="76">
        <v>1</v>
      </c>
      <c r="AO1489" s="76">
        <v>1</v>
      </c>
      <c r="AP1489" s="76">
        <v>1</v>
      </c>
      <c r="AQ1489" s="76">
        <v>1</v>
      </c>
      <c r="AR1489" s="96">
        <v>0.110069253262963</v>
      </c>
      <c r="AS1489" s="80">
        <v>0</v>
      </c>
      <c r="AT1489" s="80">
        <v>0</v>
      </c>
      <c r="AU1489" s="80">
        <v>0.0833333333333333</v>
      </c>
      <c r="AV1489" s="80">
        <v>0.0714285714285714</v>
      </c>
      <c r="AW1489" s="36"/>
      <c r="AX1489" s="34"/>
    </row>
    <row r="1490" ht="14.5" spans="1:50">
      <c r="A1490" s="32"/>
      <c r="B1490" s="36"/>
      <c r="C1490" s="91" t="s">
        <v>1473</v>
      </c>
      <c r="D1490" s="69" t="s">
        <v>27</v>
      </c>
      <c r="E1490" s="107" t="s">
        <v>1539</v>
      </c>
      <c r="F1490" s="107" t="s">
        <v>1539</v>
      </c>
      <c r="G1490" s="107" t="s">
        <v>1539</v>
      </c>
      <c r="H1490" s="107" t="s">
        <v>1539</v>
      </c>
      <c r="I1490" s="71">
        <v>0.9</v>
      </c>
      <c r="J1490" s="72">
        <v>0.923076923076923</v>
      </c>
      <c r="K1490" s="72">
        <v>1</v>
      </c>
      <c r="L1490" s="73">
        <v>1</v>
      </c>
      <c r="M1490" s="72">
        <v>0.848484848484849</v>
      </c>
      <c r="N1490" s="74">
        <v>0.9</v>
      </c>
      <c r="O1490" s="72">
        <v>0</v>
      </c>
      <c r="P1490" s="72">
        <v>0</v>
      </c>
      <c r="Q1490" s="72">
        <v>0</v>
      </c>
      <c r="R1490" s="72">
        <v>0.222222222222222</v>
      </c>
      <c r="S1490" s="74">
        <v>0.9</v>
      </c>
      <c r="T1490" s="72">
        <v>0</v>
      </c>
      <c r="U1490" s="72">
        <v>0</v>
      </c>
      <c r="V1490" s="72">
        <v>0</v>
      </c>
      <c r="W1490" s="72">
        <v>0.111111111111111</v>
      </c>
      <c r="X1490" s="74">
        <v>0.92</v>
      </c>
      <c r="Y1490" s="74">
        <v>0</v>
      </c>
      <c r="Z1490" s="74">
        <v>0</v>
      </c>
      <c r="AA1490" s="74">
        <v>0</v>
      </c>
      <c r="AB1490" s="74">
        <v>0</v>
      </c>
      <c r="AC1490" s="74">
        <v>0.92</v>
      </c>
      <c r="AD1490" s="72">
        <v>0</v>
      </c>
      <c r="AE1490" s="72">
        <v>0</v>
      </c>
      <c r="AF1490" s="72">
        <v>0</v>
      </c>
      <c r="AG1490" s="72">
        <v>0.714285714285714</v>
      </c>
      <c r="AH1490" s="74">
        <v>0.92</v>
      </c>
      <c r="AI1490" s="72">
        <v>0.2</v>
      </c>
      <c r="AJ1490" s="72">
        <v>0.705833333333333</v>
      </c>
      <c r="AK1490" s="72">
        <v>0.995186522262335</v>
      </c>
      <c r="AL1490" s="72">
        <v>0.8205499276411</v>
      </c>
      <c r="AM1490" s="71">
        <v>0.99</v>
      </c>
      <c r="AN1490" s="76">
        <v>0</v>
      </c>
      <c r="AO1490" s="76">
        <v>0</v>
      </c>
      <c r="AP1490" s="76">
        <v>0</v>
      </c>
      <c r="AQ1490" s="76">
        <v>0</v>
      </c>
      <c r="AR1490" s="96">
        <v>0.110069253262963</v>
      </c>
      <c r="AS1490" s="80">
        <v>3</v>
      </c>
      <c r="AT1490" s="80">
        <v>2.66666666666667</v>
      </c>
      <c r="AU1490" s="80">
        <v>0.114754098360656</v>
      </c>
      <c r="AV1490" s="80">
        <v>0.10792349726776</v>
      </c>
      <c r="AW1490" s="36"/>
      <c r="AX1490" s="34"/>
    </row>
    <row r="1491" ht="14.5" spans="1:50">
      <c r="A1491" s="32"/>
      <c r="B1491" s="36"/>
      <c r="C1491" s="91" t="s">
        <v>1473</v>
      </c>
      <c r="D1491" s="69" t="s">
        <v>27</v>
      </c>
      <c r="E1491" s="107" t="s">
        <v>1540</v>
      </c>
      <c r="F1491" s="107" t="s">
        <v>1540</v>
      </c>
      <c r="G1491" s="107" t="s">
        <v>1540</v>
      </c>
      <c r="H1491" s="107" t="s">
        <v>1540</v>
      </c>
      <c r="I1491" s="71">
        <v>0.9</v>
      </c>
      <c r="J1491" s="72">
        <v>0.846153846153846</v>
      </c>
      <c r="K1491" s="72">
        <v>0.9</v>
      </c>
      <c r="L1491" s="73">
        <v>0.9375</v>
      </c>
      <c r="M1491" s="72">
        <v>0.907894736842105</v>
      </c>
      <c r="N1491" s="74">
        <v>0.9</v>
      </c>
      <c r="O1491" s="72">
        <v>0</v>
      </c>
      <c r="P1491" s="72">
        <v>0</v>
      </c>
      <c r="Q1491" s="72">
        <v>0</v>
      </c>
      <c r="R1491" s="72">
        <v>0</v>
      </c>
      <c r="S1491" s="74">
        <v>0.9</v>
      </c>
      <c r="T1491" s="72">
        <v>0</v>
      </c>
      <c r="U1491" s="72">
        <v>0</v>
      </c>
      <c r="V1491" s="72">
        <v>0</v>
      </c>
      <c r="W1491" s="72">
        <v>0</v>
      </c>
      <c r="X1491" s="74">
        <v>0.92</v>
      </c>
      <c r="Y1491" s="74">
        <v>0</v>
      </c>
      <c r="Z1491" s="74">
        <v>0</v>
      </c>
      <c r="AA1491" s="74">
        <v>0</v>
      </c>
      <c r="AB1491" s="74">
        <v>0</v>
      </c>
      <c r="AC1491" s="74">
        <v>0.92</v>
      </c>
      <c r="AD1491" s="72">
        <v>0.8</v>
      </c>
      <c r="AE1491" s="72">
        <v>0.5</v>
      </c>
      <c r="AF1491" s="72">
        <v>0.6</v>
      </c>
      <c r="AG1491" s="72">
        <v>0.701149425287356</v>
      </c>
      <c r="AH1491" s="74">
        <v>0.92</v>
      </c>
      <c r="AI1491" s="72">
        <v>0.88907753254103</v>
      </c>
      <c r="AJ1491" s="72">
        <v>0.959700093720712</v>
      </c>
      <c r="AK1491" s="72">
        <v>0.705882352941177</v>
      </c>
      <c r="AL1491" s="72">
        <v>0.881859131859132</v>
      </c>
      <c r="AM1491" s="71">
        <v>0.99</v>
      </c>
      <c r="AN1491" s="76">
        <v>1</v>
      </c>
      <c r="AO1491" s="76">
        <v>1</v>
      </c>
      <c r="AP1491" s="76">
        <v>1</v>
      </c>
      <c r="AQ1491" s="76">
        <v>1</v>
      </c>
      <c r="AR1491" s="96">
        <v>0.110069253262963</v>
      </c>
      <c r="AS1491" s="80">
        <v>1.25</v>
      </c>
      <c r="AT1491" s="80">
        <v>0.025974025974026</v>
      </c>
      <c r="AU1491" s="80">
        <v>0</v>
      </c>
      <c r="AV1491" s="80">
        <v>0.123595505617978</v>
      </c>
      <c r="AW1491" s="36"/>
      <c r="AX1491" s="34"/>
    </row>
    <row r="1492" ht="14.5" spans="1:50">
      <c r="A1492" s="32"/>
      <c r="B1492" s="36"/>
      <c r="C1492" s="91" t="s">
        <v>1473</v>
      </c>
      <c r="D1492" s="69" t="s">
        <v>27</v>
      </c>
      <c r="E1492" s="107" t="s">
        <v>1541</v>
      </c>
      <c r="F1492" s="107" t="s">
        <v>1541</v>
      </c>
      <c r="G1492" s="107" t="s">
        <v>1541</v>
      </c>
      <c r="H1492" s="107" t="s">
        <v>1541</v>
      </c>
      <c r="I1492" s="71">
        <v>0.9</v>
      </c>
      <c r="J1492" s="72">
        <v>0.416666666666667</v>
      </c>
      <c r="K1492" s="72">
        <v>0.75</v>
      </c>
      <c r="L1492" s="73">
        <v>0.916666666666667</v>
      </c>
      <c r="M1492" s="72">
        <v>0.827272727272727</v>
      </c>
      <c r="N1492" s="74">
        <v>0.9</v>
      </c>
      <c r="O1492" s="72">
        <v>0.208940719144801</v>
      </c>
      <c r="P1492" s="72">
        <v>0.723076923076923</v>
      </c>
      <c r="Q1492" s="72">
        <v>0.485282418456643</v>
      </c>
      <c r="R1492" s="72">
        <v>0.384373094899411</v>
      </c>
      <c r="S1492" s="74">
        <v>0.9</v>
      </c>
      <c r="T1492" s="72">
        <v>0.205053449951409</v>
      </c>
      <c r="U1492" s="72">
        <v>0.573076923076923</v>
      </c>
      <c r="V1492" s="72">
        <v>0.341288782816229</v>
      </c>
      <c r="W1492" s="72">
        <v>0.327372485267222</v>
      </c>
      <c r="X1492" s="74">
        <v>0.92</v>
      </c>
      <c r="Y1492" s="74">
        <v>0</v>
      </c>
      <c r="Z1492" s="74">
        <v>0</v>
      </c>
      <c r="AA1492" s="74">
        <v>0</v>
      </c>
      <c r="AB1492" s="74">
        <v>0</v>
      </c>
      <c r="AC1492" s="74">
        <v>0.92</v>
      </c>
      <c r="AD1492" s="72">
        <v>1</v>
      </c>
      <c r="AE1492" s="72">
        <v>0</v>
      </c>
      <c r="AF1492" s="72">
        <v>0</v>
      </c>
      <c r="AG1492" s="72">
        <v>0.315068493150685</v>
      </c>
      <c r="AH1492" s="74">
        <v>0.92</v>
      </c>
      <c r="AI1492" s="72">
        <v>0.427599611273081</v>
      </c>
      <c r="AJ1492" s="72">
        <v>0.7</v>
      </c>
      <c r="AK1492" s="72">
        <v>0.554494828957836</v>
      </c>
      <c r="AL1492" s="72">
        <v>0.477951635846373</v>
      </c>
      <c r="AM1492" s="71">
        <v>0.99</v>
      </c>
      <c r="AN1492" s="76">
        <v>0</v>
      </c>
      <c r="AO1492" s="76">
        <v>1</v>
      </c>
      <c r="AP1492" s="76">
        <v>1</v>
      </c>
      <c r="AQ1492" s="76">
        <v>1</v>
      </c>
      <c r="AR1492" s="96">
        <v>0.110069253262963</v>
      </c>
      <c r="AS1492" s="80">
        <v>0.049079754601227</v>
      </c>
      <c r="AT1492" s="80">
        <v>0.1</v>
      </c>
      <c r="AU1492" s="80">
        <v>0.161290322580645</v>
      </c>
      <c r="AV1492" s="80">
        <v>0.119419642857143</v>
      </c>
      <c r="AW1492" s="36"/>
      <c r="AX1492" s="34"/>
    </row>
    <row r="1493" ht="14.5" spans="1:50">
      <c r="A1493" s="32"/>
      <c r="B1493" s="36"/>
      <c r="C1493" s="91" t="s">
        <v>1473</v>
      </c>
      <c r="D1493" s="69" t="s">
        <v>27</v>
      </c>
      <c r="E1493" s="107" t="s">
        <v>1542</v>
      </c>
      <c r="F1493" s="107" t="s">
        <v>1542</v>
      </c>
      <c r="G1493" s="107" t="s">
        <v>1542</v>
      </c>
      <c r="H1493" s="107" t="s">
        <v>1542</v>
      </c>
      <c r="I1493" s="71">
        <v>0.9</v>
      </c>
      <c r="J1493" s="72">
        <v>0</v>
      </c>
      <c r="K1493" s="72">
        <v>0</v>
      </c>
      <c r="L1493" s="73">
        <v>0</v>
      </c>
      <c r="M1493" s="72">
        <v>0</v>
      </c>
      <c r="N1493" s="74">
        <v>0.9</v>
      </c>
      <c r="O1493" s="72">
        <v>0</v>
      </c>
      <c r="P1493" s="72">
        <v>0</v>
      </c>
      <c r="Q1493" s="72">
        <v>0</v>
      </c>
      <c r="R1493" s="72">
        <v>0</v>
      </c>
      <c r="S1493" s="74">
        <v>0.9</v>
      </c>
      <c r="T1493" s="72">
        <v>0</v>
      </c>
      <c r="U1493" s="72">
        <v>0</v>
      </c>
      <c r="V1493" s="72">
        <v>0</v>
      </c>
      <c r="W1493" s="72">
        <v>0</v>
      </c>
      <c r="X1493" s="74">
        <v>0.92</v>
      </c>
      <c r="Y1493" s="74">
        <v>0</v>
      </c>
      <c r="Z1493" s="74">
        <v>0</v>
      </c>
      <c r="AA1493" s="74">
        <v>0</v>
      </c>
      <c r="AB1493" s="74">
        <v>0</v>
      </c>
      <c r="AC1493" s="74">
        <v>0.92</v>
      </c>
      <c r="AD1493" s="72">
        <v>0.977750309023486</v>
      </c>
      <c r="AE1493" s="72">
        <v>0.906621392190153</v>
      </c>
      <c r="AF1493" s="72">
        <v>0.976909413854352</v>
      </c>
      <c r="AG1493" s="72">
        <v>0.861662817551963</v>
      </c>
      <c r="AH1493" s="74">
        <v>0.92</v>
      </c>
      <c r="AI1493" s="72">
        <v>0</v>
      </c>
      <c r="AJ1493" s="72">
        <v>1</v>
      </c>
      <c r="AK1493" s="72">
        <v>0</v>
      </c>
      <c r="AL1493" s="72">
        <v>1</v>
      </c>
      <c r="AM1493" s="71">
        <v>0.99</v>
      </c>
      <c r="AN1493" s="76">
        <v>1</v>
      </c>
      <c r="AO1493" s="76">
        <v>1</v>
      </c>
      <c r="AP1493" s="76">
        <v>1</v>
      </c>
      <c r="AQ1493" s="76">
        <v>1</v>
      </c>
      <c r="AR1493" s="96">
        <v>0.110069253262963</v>
      </c>
      <c r="AS1493" s="80">
        <v>0</v>
      </c>
      <c r="AT1493" s="80">
        <v>0</v>
      </c>
      <c r="AU1493" s="80">
        <v>0</v>
      </c>
      <c r="AV1493" s="80">
        <v>0</v>
      </c>
      <c r="AW1493" s="36"/>
      <c r="AX1493" s="34"/>
    </row>
    <row r="1494" ht="14.5" spans="1:50">
      <c r="A1494" s="32"/>
      <c r="B1494" s="36"/>
      <c r="C1494" s="91" t="s">
        <v>1473</v>
      </c>
      <c r="D1494" s="69" t="s">
        <v>27</v>
      </c>
      <c r="E1494" s="107" t="s">
        <v>1543</v>
      </c>
      <c r="F1494" s="107" t="s">
        <v>1543</v>
      </c>
      <c r="G1494" s="107" t="s">
        <v>1543</v>
      </c>
      <c r="H1494" s="107" t="s">
        <v>1543</v>
      </c>
      <c r="I1494" s="71">
        <v>0.9</v>
      </c>
      <c r="J1494" s="72">
        <v>0.481481481481481</v>
      </c>
      <c r="K1494" s="72">
        <v>0.533333333333333</v>
      </c>
      <c r="L1494" s="73">
        <v>0.583333333333333</v>
      </c>
      <c r="M1494" s="72">
        <v>0.44</v>
      </c>
      <c r="N1494" s="74">
        <v>0.9</v>
      </c>
      <c r="O1494" s="72">
        <v>0.966591872351035</v>
      </c>
      <c r="P1494" s="72">
        <v>0.970824215900802</v>
      </c>
      <c r="Q1494" s="72">
        <v>0.94794952681388</v>
      </c>
      <c r="R1494" s="72">
        <v>0.875549426872361</v>
      </c>
      <c r="S1494" s="74">
        <v>0.9</v>
      </c>
      <c r="T1494" s="72">
        <v>0.509847918224882</v>
      </c>
      <c r="U1494" s="72">
        <v>0.447848285922684</v>
      </c>
      <c r="V1494" s="72">
        <v>0.564668769716088</v>
      </c>
      <c r="W1494" s="72">
        <v>0.499439800051711</v>
      </c>
      <c r="X1494" s="74">
        <v>0.92</v>
      </c>
      <c r="Y1494" s="74">
        <v>0</v>
      </c>
      <c r="Z1494" s="74">
        <v>0</v>
      </c>
      <c r="AA1494" s="74">
        <v>0</v>
      </c>
      <c r="AB1494" s="74">
        <v>0</v>
      </c>
      <c r="AC1494" s="74">
        <v>0.92</v>
      </c>
      <c r="AD1494" s="72">
        <v>0.708333333333333</v>
      </c>
      <c r="AE1494" s="72">
        <v>0.875</v>
      </c>
      <c r="AF1494" s="72">
        <v>1</v>
      </c>
      <c r="AG1494" s="72">
        <v>0.902255639097744</v>
      </c>
      <c r="AH1494" s="74">
        <v>0.92</v>
      </c>
      <c r="AI1494" s="72">
        <v>0.600598354525056</v>
      </c>
      <c r="AJ1494" s="72">
        <v>0.644784828592268</v>
      </c>
      <c r="AK1494" s="72">
        <v>0.782334384858044</v>
      </c>
      <c r="AL1494" s="72">
        <v>0.714039472550203</v>
      </c>
      <c r="AM1494" s="71">
        <v>0.99</v>
      </c>
      <c r="AN1494" s="76">
        <v>1</v>
      </c>
      <c r="AO1494" s="76">
        <v>1</v>
      </c>
      <c r="AP1494" s="76">
        <v>0</v>
      </c>
      <c r="AQ1494" s="76">
        <v>1</v>
      </c>
      <c r="AR1494" s="96">
        <v>0.110069253262963</v>
      </c>
      <c r="AS1494" s="80">
        <v>0.125</v>
      </c>
      <c r="AT1494" s="80">
        <v>0.214285714285714</v>
      </c>
      <c r="AU1494" s="80">
        <v>0.125</v>
      </c>
      <c r="AV1494" s="80">
        <v>0.132564841498559</v>
      </c>
      <c r="AW1494" s="36"/>
      <c r="AX1494" s="34"/>
    </row>
    <row r="1495" ht="14.5" spans="1:50">
      <c r="A1495" s="32"/>
      <c r="B1495" s="36"/>
      <c r="C1495" s="91" t="s">
        <v>1473</v>
      </c>
      <c r="D1495" s="69" t="s">
        <v>27</v>
      </c>
      <c r="E1495" s="107" t="s">
        <v>1544</v>
      </c>
      <c r="F1495" s="107" t="s">
        <v>1544</v>
      </c>
      <c r="G1495" s="107" t="s">
        <v>1544</v>
      </c>
      <c r="H1495" s="107" t="s">
        <v>1544</v>
      </c>
      <c r="I1495" s="71">
        <v>0.9</v>
      </c>
      <c r="J1495" s="72">
        <v>0.769230769230769</v>
      </c>
      <c r="K1495" s="72">
        <v>0.846153846153846</v>
      </c>
      <c r="L1495" s="73">
        <v>0.807692307692308</v>
      </c>
      <c r="M1495" s="72">
        <v>0.847107438016529</v>
      </c>
      <c r="N1495" s="74">
        <v>0.9</v>
      </c>
      <c r="O1495" s="72">
        <v>1</v>
      </c>
      <c r="P1495" s="72">
        <v>0</v>
      </c>
      <c r="Q1495" s="72">
        <v>0</v>
      </c>
      <c r="R1495" s="72">
        <v>0.375</v>
      </c>
      <c r="S1495" s="74">
        <v>0.9</v>
      </c>
      <c r="T1495" s="72">
        <v>1</v>
      </c>
      <c r="U1495" s="72">
        <v>0</v>
      </c>
      <c r="V1495" s="72">
        <v>0</v>
      </c>
      <c r="W1495" s="72">
        <v>0.25</v>
      </c>
      <c r="X1495" s="74">
        <v>0.92</v>
      </c>
      <c r="Y1495" s="74">
        <v>0</v>
      </c>
      <c r="Z1495" s="74">
        <v>0</v>
      </c>
      <c r="AA1495" s="74">
        <v>0</v>
      </c>
      <c r="AB1495" s="74">
        <v>0</v>
      </c>
      <c r="AC1495" s="74">
        <v>0.92</v>
      </c>
      <c r="AD1495" s="72">
        <v>1</v>
      </c>
      <c r="AE1495" s="72">
        <v>0</v>
      </c>
      <c r="AF1495" s="72">
        <v>0</v>
      </c>
      <c r="AG1495" s="72">
        <v>0.333333333333333</v>
      </c>
      <c r="AH1495" s="74">
        <v>0.92</v>
      </c>
      <c r="AI1495" s="72">
        <v>0.725231820400195</v>
      </c>
      <c r="AJ1495" s="72">
        <v>0.72431161853593</v>
      </c>
      <c r="AK1495" s="72">
        <v>0.755072979708081</v>
      </c>
      <c r="AL1495" s="72">
        <v>0.764255278402834</v>
      </c>
      <c r="AM1495" s="71">
        <v>0.99</v>
      </c>
      <c r="AN1495" s="76">
        <v>0</v>
      </c>
      <c r="AO1495" s="76">
        <v>0</v>
      </c>
      <c r="AP1495" s="76">
        <v>0</v>
      </c>
      <c r="AQ1495" s="76">
        <v>0</v>
      </c>
      <c r="AR1495" s="96">
        <v>0.110069253262963</v>
      </c>
      <c r="AS1495" s="80">
        <v>0.162790697674419</v>
      </c>
      <c r="AT1495" s="80">
        <v>0.15</v>
      </c>
      <c r="AU1495" s="80">
        <v>0.109090909090909</v>
      </c>
      <c r="AV1495" s="80">
        <v>0.21219512195122</v>
      </c>
      <c r="AW1495" s="36"/>
      <c r="AX1495" s="34"/>
    </row>
    <row r="1496" ht="14.5" spans="1:50">
      <c r="A1496" s="32"/>
      <c r="B1496" s="36"/>
      <c r="C1496" s="91" t="s">
        <v>1473</v>
      </c>
      <c r="D1496" s="69" t="s">
        <v>27</v>
      </c>
      <c r="E1496" s="107" t="s">
        <v>1545</v>
      </c>
      <c r="F1496" s="107" t="s">
        <v>1545</v>
      </c>
      <c r="G1496" s="107" t="s">
        <v>1545</v>
      </c>
      <c r="H1496" s="107" t="s">
        <v>1545</v>
      </c>
      <c r="I1496" s="71">
        <v>0.9</v>
      </c>
      <c r="J1496" s="72">
        <v>1</v>
      </c>
      <c r="K1496" s="72">
        <v>0.888888888888889</v>
      </c>
      <c r="L1496" s="73">
        <v>0.933333333333333</v>
      </c>
      <c r="M1496" s="72">
        <v>0.941176470588235</v>
      </c>
      <c r="N1496" s="74">
        <v>0.9</v>
      </c>
      <c r="O1496" s="72">
        <v>0</v>
      </c>
      <c r="P1496" s="72">
        <v>0.996945488721805</v>
      </c>
      <c r="Q1496" s="72">
        <v>0</v>
      </c>
      <c r="R1496" s="72">
        <v>0.995918367346939</v>
      </c>
      <c r="S1496" s="74">
        <v>0.9</v>
      </c>
      <c r="T1496" s="72">
        <v>1</v>
      </c>
      <c r="U1496" s="72">
        <v>0.664238721804511</v>
      </c>
      <c r="V1496" s="72">
        <v>0</v>
      </c>
      <c r="W1496" s="72">
        <v>0.76281179138322</v>
      </c>
      <c r="X1496" s="74">
        <v>0.92</v>
      </c>
      <c r="Y1496" s="74">
        <v>0</v>
      </c>
      <c r="Z1496" s="74">
        <v>0</v>
      </c>
      <c r="AA1496" s="74">
        <v>0</v>
      </c>
      <c r="AB1496" s="74">
        <v>0</v>
      </c>
      <c r="AC1496" s="74">
        <v>0.92</v>
      </c>
      <c r="AD1496" s="72">
        <v>0</v>
      </c>
      <c r="AE1496" s="72">
        <v>0</v>
      </c>
      <c r="AF1496" s="72">
        <v>0</v>
      </c>
      <c r="AG1496" s="72">
        <v>1</v>
      </c>
      <c r="AH1496" s="74">
        <v>0.92</v>
      </c>
      <c r="AI1496" s="72">
        <v>1</v>
      </c>
      <c r="AJ1496" s="72">
        <v>0.692271552736669</v>
      </c>
      <c r="AK1496" s="72">
        <v>0</v>
      </c>
      <c r="AL1496" s="72">
        <v>0.79193109700816</v>
      </c>
      <c r="AM1496" s="71">
        <v>0.99</v>
      </c>
      <c r="AN1496" s="76">
        <v>0</v>
      </c>
      <c r="AO1496" s="76">
        <v>0</v>
      </c>
      <c r="AP1496" s="76">
        <v>0</v>
      </c>
      <c r="AQ1496" s="76">
        <v>0</v>
      </c>
      <c r="AR1496" s="96">
        <v>0.110069253262963</v>
      </c>
      <c r="AS1496" s="80">
        <v>0.0510204081632653</v>
      </c>
      <c r="AT1496" s="80">
        <v>0.235294117647059</v>
      </c>
      <c r="AU1496" s="80">
        <v>0.210526315789474</v>
      </c>
      <c r="AV1496" s="80">
        <v>0.102094240837696</v>
      </c>
      <c r="AW1496" s="36"/>
      <c r="AX1496" s="34"/>
    </row>
    <row r="1497" ht="14.5" spans="1:50">
      <c r="A1497" s="32"/>
      <c r="B1497" s="36"/>
      <c r="C1497" s="91" t="s">
        <v>1473</v>
      </c>
      <c r="D1497" s="69" t="s">
        <v>27</v>
      </c>
      <c r="E1497" s="107" t="s">
        <v>1546</v>
      </c>
      <c r="F1497" s="107" t="s">
        <v>1546</v>
      </c>
      <c r="G1497" s="107" t="s">
        <v>1546</v>
      </c>
      <c r="H1497" s="107" t="s">
        <v>1546</v>
      </c>
      <c r="I1497" s="71">
        <v>0.9</v>
      </c>
      <c r="J1497" s="72">
        <v>0.6</v>
      </c>
      <c r="K1497" s="72">
        <v>0.56</v>
      </c>
      <c r="L1497" s="73">
        <v>0.681818181818182</v>
      </c>
      <c r="M1497" s="72">
        <v>0.605150214592275</v>
      </c>
      <c r="N1497" s="74">
        <v>0.9</v>
      </c>
      <c r="O1497" s="72">
        <v>0.795565302144249</v>
      </c>
      <c r="P1497" s="72">
        <v>0.702963473466575</v>
      </c>
      <c r="Q1497" s="72">
        <v>0.728205128205128</v>
      </c>
      <c r="R1497" s="72">
        <v>0.794742367953481</v>
      </c>
      <c r="S1497" s="74">
        <v>0.9</v>
      </c>
      <c r="T1497" s="72">
        <v>0.517300194931774</v>
      </c>
      <c r="U1497" s="72">
        <v>0.529979324603722</v>
      </c>
      <c r="V1497" s="72">
        <v>0.578754578754579</v>
      </c>
      <c r="W1497" s="72">
        <v>0.570182523017283</v>
      </c>
      <c r="X1497" s="74">
        <v>0.92</v>
      </c>
      <c r="Y1497" s="74">
        <v>0</v>
      </c>
      <c r="Z1497" s="74">
        <v>0</v>
      </c>
      <c r="AA1497" s="74">
        <v>0</v>
      </c>
      <c r="AB1497" s="74">
        <v>0</v>
      </c>
      <c r="AC1497" s="74">
        <v>0.92</v>
      </c>
      <c r="AD1497" s="72">
        <v>0.789473684210526</v>
      </c>
      <c r="AE1497" s="72">
        <v>0.9375</v>
      </c>
      <c r="AF1497" s="72">
        <v>1</v>
      </c>
      <c r="AG1497" s="72">
        <v>0.915966386554622</v>
      </c>
      <c r="AH1497" s="74">
        <v>0.92</v>
      </c>
      <c r="AI1497" s="72">
        <v>0.630604288499025</v>
      </c>
      <c r="AJ1497" s="72">
        <v>0.736733287388008</v>
      </c>
      <c r="AK1497" s="72">
        <v>0.772161172161172</v>
      </c>
      <c r="AL1497" s="72">
        <v>0.762720077531901</v>
      </c>
      <c r="AM1497" s="71">
        <v>0.99</v>
      </c>
      <c r="AN1497" s="76">
        <v>1</v>
      </c>
      <c r="AO1497" s="76">
        <v>0</v>
      </c>
      <c r="AP1497" s="76">
        <v>1</v>
      </c>
      <c r="AQ1497" s="76">
        <v>1</v>
      </c>
      <c r="AR1497" s="96">
        <v>0.110069253262963</v>
      </c>
      <c r="AS1497" s="80">
        <v>0.037037037037037</v>
      </c>
      <c r="AT1497" s="80">
        <v>0.0416666666666667</v>
      </c>
      <c r="AU1497" s="80">
        <v>0.0303030303030303</v>
      </c>
      <c r="AV1497" s="80">
        <v>0.0796812749003984</v>
      </c>
      <c r="AW1497" s="36"/>
      <c r="AX1497" s="34"/>
    </row>
    <row r="1498" ht="14.5" spans="1:50">
      <c r="A1498" s="32"/>
      <c r="B1498" s="36"/>
      <c r="C1498" s="91" t="s">
        <v>1473</v>
      </c>
      <c r="D1498" s="69" t="s">
        <v>27</v>
      </c>
      <c r="E1498" s="107" t="s">
        <v>1547</v>
      </c>
      <c r="F1498" s="107" t="s">
        <v>1547</v>
      </c>
      <c r="G1498" s="107" t="s">
        <v>1547</v>
      </c>
      <c r="H1498" s="107" t="s">
        <v>1547</v>
      </c>
      <c r="I1498" s="71">
        <v>0.9</v>
      </c>
      <c r="J1498" s="72">
        <v>1</v>
      </c>
      <c r="K1498" s="72">
        <v>1</v>
      </c>
      <c r="L1498" s="73">
        <v>0.833333333333333</v>
      </c>
      <c r="M1498" s="72">
        <v>0.755813953488372</v>
      </c>
      <c r="N1498" s="74">
        <v>0.9</v>
      </c>
      <c r="O1498" s="72">
        <v>0.5</v>
      </c>
      <c r="P1498" s="72">
        <v>0</v>
      </c>
      <c r="Q1498" s="72">
        <v>0</v>
      </c>
      <c r="R1498" s="72">
        <v>0.0909090909090909</v>
      </c>
      <c r="S1498" s="74">
        <v>0.9</v>
      </c>
      <c r="T1498" s="72">
        <v>0.5</v>
      </c>
      <c r="U1498" s="72">
        <v>0</v>
      </c>
      <c r="V1498" s="72">
        <v>0</v>
      </c>
      <c r="W1498" s="72">
        <v>0.0909090909090909</v>
      </c>
      <c r="X1498" s="74">
        <v>0.92</v>
      </c>
      <c r="Y1498" s="74">
        <v>0</v>
      </c>
      <c r="Z1498" s="74">
        <v>0</v>
      </c>
      <c r="AA1498" s="74">
        <v>0</v>
      </c>
      <c r="AB1498" s="74">
        <v>0</v>
      </c>
      <c r="AC1498" s="74">
        <v>0.92</v>
      </c>
      <c r="AD1498" s="72">
        <v>0</v>
      </c>
      <c r="AE1498" s="72">
        <v>0</v>
      </c>
      <c r="AF1498" s="72">
        <v>0</v>
      </c>
      <c r="AG1498" s="72">
        <v>0.653846153846154</v>
      </c>
      <c r="AH1498" s="74">
        <v>0.92</v>
      </c>
      <c r="AI1498" s="72">
        <v>0.993589743589744</v>
      </c>
      <c r="AJ1498" s="72">
        <v>0.311557788944724</v>
      </c>
      <c r="AK1498" s="72">
        <v>0.311520109066121</v>
      </c>
      <c r="AL1498" s="72">
        <v>0.380829884800358</v>
      </c>
      <c r="AM1498" s="71">
        <v>0.99</v>
      </c>
      <c r="AN1498" s="76">
        <v>0</v>
      </c>
      <c r="AO1498" s="76">
        <v>0</v>
      </c>
      <c r="AP1498" s="76">
        <v>0</v>
      </c>
      <c r="AQ1498" s="76">
        <v>0</v>
      </c>
      <c r="AR1498" s="96">
        <v>0.110069253262963</v>
      </c>
      <c r="AS1498" s="80">
        <v>0.027027027027027</v>
      </c>
      <c r="AT1498" s="80">
        <v>0.25</v>
      </c>
      <c r="AU1498" s="80">
        <v>0.214285714285714</v>
      </c>
      <c r="AV1498" s="80">
        <v>0.0720268006700168</v>
      </c>
      <c r="AW1498" s="36"/>
      <c r="AX1498" s="34"/>
    </row>
    <row r="1499" ht="14.5" spans="1:50">
      <c r="A1499" s="32"/>
      <c r="B1499" s="36"/>
      <c r="C1499" s="91" t="s">
        <v>1473</v>
      </c>
      <c r="D1499" s="69" t="s">
        <v>27</v>
      </c>
      <c r="E1499" s="107" t="s">
        <v>1548</v>
      </c>
      <c r="F1499" s="107" t="s">
        <v>1548</v>
      </c>
      <c r="G1499" s="107" t="s">
        <v>1548</v>
      </c>
      <c r="H1499" s="107" t="s">
        <v>1548</v>
      </c>
      <c r="I1499" s="71">
        <v>0.9</v>
      </c>
      <c r="J1499" s="72">
        <v>0.666666666666667</v>
      </c>
      <c r="K1499" s="72">
        <v>1</v>
      </c>
      <c r="L1499" s="73">
        <v>1</v>
      </c>
      <c r="M1499" s="72">
        <v>0.978723404255319</v>
      </c>
      <c r="N1499" s="74">
        <v>0.9</v>
      </c>
      <c r="O1499" s="72">
        <v>0</v>
      </c>
      <c r="P1499" s="72">
        <v>0.6</v>
      </c>
      <c r="Q1499" s="72">
        <v>0</v>
      </c>
      <c r="R1499" s="72">
        <v>0.636363636363636</v>
      </c>
      <c r="S1499" s="74">
        <v>0.9</v>
      </c>
      <c r="T1499" s="72">
        <v>0</v>
      </c>
      <c r="U1499" s="72">
        <v>0</v>
      </c>
      <c r="V1499" s="72">
        <v>0</v>
      </c>
      <c r="W1499" s="72">
        <v>0.0909090909090909</v>
      </c>
      <c r="X1499" s="74">
        <v>0.92</v>
      </c>
      <c r="Y1499" s="74">
        <v>0</v>
      </c>
      <c r="Z1499" s="74">
        <v>0</v>
      </c>
      <c r="AA1499" s="74">
        <v>0</v>
      </c>
      <c r="AB1499" s="74">
        <v>1</v>
      </c>
      <c r="AC1499" s="74">
        <v>0.92</v>
      </c>
      <c r="AD1499" s="72">
        <v>0</v>
      </c>
      <c r="AE1499" s="72">
        <v>0</v>
      </c>
      <c r="AF1499" s="72">
        <v>1</v>
      </c>
      <c r="AG1499" s="72">
        <v>0.882352941176471</v>
      </c>
      <c r="AH1499" s="74">
        <v>0.92</v>
      </c>
      <c r="AI1499" s="72">
        <v>0.550561797752809</v>
      </c>
      <c r="AJ1499" s="72">
        <v>0.718120805369127</v>
      </c>
      <c r="AK1499" s="72">
        <v>0.720720720720721</v>
      </c>
      <c r="AL1499" s="72">
        <v>0.769422517656834</v>
      </c>
      <c r="AM1499" s="71">
        <v>0.99</v>
      </c>
      <c r="AN1499" s="76">
        <v>1</v>
      </c>
      <c r="AO1499" s="76">
        <v>1</v>
      </c>
      <c r="AP1499" s="76">
        <v>1</v>
      </c>
      <c r="AQ1499" s="76">
        <v>1</v>
      </c>
      <c r="AR1499" s="96">
        <v>0.110069253262963</v>
      </c>
      <c r="AS1499" s="80">
        <v>0</v>
      </c>
      <c r="AT1499" s="80">
        <v>0.2</v>
      </c>
      <c r="AU1499" s="80">
        <v>0.151515151515152</v>
      </c>
      <c r="AV1499" s="80">
        <v>0.0993520518358531</v>
      </c>
      <c r="AW1499" s="36"/>
      <c r="AX1499" s="34"/>
    </row>
    <row r="1500" ht="14.5" spans="1:50">
      <c r="A1500" s="32"/>
      <c r="B1500" s="36"/>
      <c r="C1500" s="91" t="s">
        <v>1473</v>
      </c>
      <c r="D1500" s="69" t="s">
        <v>27</v>
      </c>
      <c r="E1500" s="107" t="s">
        <v>1549</v>
      </c>
      <c r="F1500" s="107" t="s">
        <v>1549</v>
      </c>
      <c r="G1500" s="107" t="s">
        <v>1549</v>
      </c>
      <c r="H1500" s="107" t="s">
        <v>1549</v>
      </c>
      <c r="I1500" s="71">
        <v>0.9</v>
      </c>
      <c r="J1500" s="72">
        <v>0.615384615384615</v>
      </c>
      <c r="K1500" s="72">
        <v>0.727272727272727</v>
      </c>
      <c r="L1500" s="73">
        <v>0.733333333333333</v>
      </c>
      <c r="M1500" s="72">
        <v>0.71875</v>
      </c>
      <c r="N1500" s="74">
        <v>0.9</v>
      </c>
      <c r="O1500" s="72">
        <v>0.993788819875776</v>
      </c>
      <c r="P1500" s="72">
        <v>0.382022471910112</v>
      </c>
      <c r="Q1500" s="72">
        <v>0.981294964028777</v>
      </c>
      <c r="R1500" s="72">
        <v>0.784313725490196</v>
      </c>
      <c r="S1500" s="74">
        <v>0.9</v>
      </c>
      <c r="T1500" s="72">
        <v>0.596273291925466</v>
      </c>
      <c r="U1500" s="72">
        <v>0.359550561797753</v>
      </c>
      <c r="V1500" s="72">
        <v>0.620143884892086</v>
      </c>
      <c r="W1500" s="72">
        <v>0.545751633986928</v>
      </c>
      <c r="X1500" s="74">
        <v>0.92</v>
      </c>
      <c r="Y1500" s="74">
        <v>0</v>
      </c>
      <c r="Z1500" s="74">
        <v>0</v>
      </c>
      <c r="AA1500" s="74">
        <v>0</v>
      </c>
      <c r="AB1500" s="74">
        <v>0</v>
      </c>
      <c r="AC1500" s="74">
        <v>0.92</v>
      </c>
      <c r="AD1500" s="72">
        <v>0</v>
      </c>
      <c r="AE1500" s="72">
        <v>0</v>
      </c>
      <c r="AF1500" s="72">
        <v>0</v>
      </c>
      <c r="AG1500" s="72">
        <v>1</v>
      </c>
      <c r="AH1500" s="74">
        <v>0.92</v>
      </c>
      <c r="AI1500" s="72">
        <v>0.652173913043478</v>
      </c>
      <c r="AJ1500" s="72">
        <v>0.393258426966292</v>
      </c>
      <c r="AK1500" s="72">
        <v>0.76978417266187</v>
      </c>
      <c r="AL1500" s="72">
        <v>0.647460647460647</v>
      </c>
      <c r="AM1500" s="71">
        <v>0.99</v>
      </c>
      <c r="AN1500" s="76">
        <v>0</v>
      </c>
      <c r="AO1500" s="76">
        <v>0</v>
      </c>
      <c r="AP1500" s="76">
        <v>0</v>
      </c>
      <c r="AQ1500" s="76">
        <v>0</v>
      </c>
      <c r="AR1500" s="96">
        <v>0.110069253262963</v>
      </c>
      <c r="AS1500" s="80">
        <v>0.0235294117647059</v>
      </c>
      <c r="AT1500" s="80">
        <v>0.284090909090909</v>
      </c>
      <c r="AU1500" s="80">
        <v>0</v>
      </c>
      <c r="AV1500" s="80">
        <v>0.184782608695652</v>
      </c>
      <c r="AW1500" s="36"/>
      <c r="AX1500" s="34"/>
    </row>
    <row r="1501" ht="14.5" spans="1:50">
      <c r="A1501" s="32"/>
      <c r="B1501" s="36"/>
      <c r="C1501" s="91" t="s">
        <v>1473</v>
      </c>
      <c r="D1501" s="69" t="s">
        <v>27</v>
      </c>
      <c r="E1501" s="107" t="s">
        <v>1550</v>
      </c>
      <c r="F1501" s="107" t="s">
        <v>1550</v>
      </c>
      <c r="G1501" s="107" t="s">
        <v>1550</v>
      </c>
      <c r="H1501" s="107" t="s">
        <v>1550</v>
      </c>
      <c r="I1501" s="71">
        <v>0.9</v>
      </c>
      <c r="J1501" s="72">
        <v>1</v>
      </c>
      <c r="K1501" s="72">
        <v>1</v>
      </c>
      <c r="L1501" s="73">
        <v>1</v>
      </c>
      <c r="M1501" s="72">
        <v>0.981818181818182</v>
      </c>
      <c r="N1501" s="74">
        <v>0.9</v>
      </c>
      <c r="O1501" s="72">
        <v>0</v>
      </c>
      <c r="P1501" s="72">
        <v>0.991847826086957</v>
      </c>
      <c r="Q1501" s="72">
        <v>0.991686460807601</v>
      </c>
      <c r="R1501" s="72">
        <v>0.990546650226058</v>
      </c>
      <c r="S1501" s="74">
        <v>0.9</v>
      </c>
      <c r="T1501" s="72">
        <v>1</v>
      </c>
      <c r="U1501" s="72">
        <v>0.361413043478261</v>
      </c>
      <c r="V1501" s="72">
        <v>0.394299287410926</v>
      </c>
      <c r="W1501" s="72">
        <v>0.372790793259351</v>
      </c>
      <c r="X1501" s="74">
        <v>0.92</v>
      </c>
      <c r="Y1501" s="74">
        <v>0</v>
      </c>
      <c r="Z1501" s="74">
        <v>0</v>
      </c>
      <c r="AA1501" s="74">
        <v>0</v>
      </c>
      <c r="AB1501" s="74">
        <v>0</v>
      </c>
      <c r="AC1501" s="74">
        <v>0.92</v>
      </c>
      <c r="AD1501" s="72">
        <v>1</v>
      </c>
      <c r="AE1501" s="72">
        <v>0</v>
      </c>
      <c r="AF1501" s="72">
        <v>0</v>
      </c>
      <c r="AG1501" s="72">
        <v>0.95</v>
      </c>
      <c r="AH1501" s="74">
        <v>0.92</v>
      </c>
      <c r="AI1501" s="72">
        <v>1</v>
      </c>
      <c r="AJ1501" s="72">
        <v>0.361413043478261</v>
      </c>
      <c r="AK1501" s="72">
        <v>0.434679334916865</v>
      </c>
      <c r="AL1501" s="72">
        <v>0.413623307345096</v>
      </c>
      <c r="AM1501" s="71">
        <v>0.99</v>
      </c>
      <c r="AN1501" s="76">
        <v>1</v>
      </c>
      <c r="AO1501" s="76">
        <v>1</v>
      </c>
      <c r="AP1501" s="76">
        <v>0</v>
      </c>
      <c r="AQ1501" s="76">
        <v>1</v>
      </c>
      <c r="AR1501" s="96">
        <v>0.110069253262963</v>
      </c>
      <c r="AS1501" s="80">
        <v>0.0432098765432099</v>
      </c>
      <c r="AT1501" s="80">
        <v>0.136904761904762</v>
      </c>
      <c r="AU1501" s="80">
        <v>0.018018018018018</v>
      </c>
      <c r="AV1501" s="80">
        <v>0.0568031704095112</v>
      </c>
      <c r="AW1501" s="36"/>
      <c r="AX1501" s="34"/>
    </row>
    <row r="1502" ht="14.5" spans="1:50">
      <c r="A1502" s="32"/>
      <c r="B1502" s="36"/>
      <c r="C1502" s="91" t="s">
        <v>1473</v>
      </c>
      <c r="D1502" s="69" t="s">
        <v>27</v>
      </c>
      <c r="E1502" s="107" t="s">
        <v>1551</v>
      </c>
      <c r="F1502" s="107" t="s">
        <v>1551</v>
      </c>
      <c r="G1502" s="107" t="s">
        <v>1551</v>
      </c>
      <c r="H1502" s="107" t="s">
        <v>1551</v>
      </c>
      <c r="I1502" s="71">
        <v>0.9</v>
      </c>
      <c r="J1502" s="72">
        <v>0.444444444444444</v>
      </c>
      <c r="K1502" s="72">
        <v>0.6</v>
      </c>
      <c r="L1502" s="73">
        <v>0.777777777777778</v>
      </c>
      <c r="M1502" s="72">
        <v>0.764705882352941</v>
      </c>
      <c r="N1502" s="74">
        <v>0.9</v>
      </c>
      <c r="O1502" s="72">
        <v>0</v>
      </c>
      <c r="P1502" s="72">
        <v>0</v>
      </c>
      <c r="Q1502" s="72">
        <v>0</v>
      </c>
      <c r="R1502" s="72">
        <v>0</v>
      </c>
      <c r="S1502" s="74">
        <v>0.9</v>
      </c>
      <c r="T1502" s="72">
        <v>0</v>
      </c>
      <c r="U1502" s="72">
        <v>0</v>
      </c>
      <c r="V1502" s="72">
        <v>0</v>
      </c>
      <c r="W1502" s="72">
        <v>0</v>
      </c>
      <c r="X1502" s="74">
        <v>0.92</v>
      </c>
      <c r="Y1502" s="74">
        <v>0</v>
      </c>
      <c r="Z1502" s="74">
        <v>0</v>
      </c>
      <c r="AA1502" s="74">
        <v>0</v>
      </c>
      <c r="AB1502" s="74">
        <v>1</v>
      </c>
      <c r="AC1502" s="74">
        <v>0.92</v>
      </c>
      <c r="AD1502" s="72">
        <v>0</v>
      </c>
      <c r="AE1502" s="72">
        <v>0</v>
      </c>
      <c r="AF1502" s="72">
        <v>0</v>
      </c>
      <c r="AG1502" s="72">
        <v>0.721311475409836</v>
      </c>
      <c r="AH1502" s="74">
        <v>0.92</v>
      </c>
      <c r="AI1502" s="72">
        <v>0.96177370030581</v>
      </c>
      <c r="AJ1502" s="72">
        <v>0.575</v>
      </c>
      <c r="AK1502" s="72">
        <v>0.74859075535513</v>
      </c>
      <c r="AL1502" s="72">
        <v>0.712521191571809</v>
      </c>
      <c r="AM1502" s="71">
        <v>0.99</v>
      </c>
      <c r="AN1502" s="76">
        <v>0</v>
      </c>
      <c r="AO1502" s="76">
        <v>0</v>
      </c>
      <c r="AP1502" s="76">
        <v>0</v>
      </c>
      <c r="AQ1502" s="76">
        <v>0</v>
      </c>
      <c r="AR1502" s="96">
        <v>0.110069253262963</v>
      </c>
      <c r="AS1502" s="80">
        <v>0.0526315789473684</v>
      </c>
      <c r="AT1502" s="80">
        <v>0.0740740740740741</v>
      </c>
      <c r="AU1502" s="80">
        <v>0.09375</v>
      </c>
      <c r="AV1502" s="80">
        <v>0.0977917981072555</v>
      </c>
      <c r="AW1502" s="36"/>
      <c r="AX1502" s="34"/>
    </row>
    <row r="1503" ht="14.5" spans="1:50">
      <c r="A1503" s="32"/>
      <c r="B1503" s="36"/>
      <c r="C1503" s="91" t="s">
        <v>1473</v>
      </c>
      <c r="D1503" s="69" t="s">
        <v>27</v>
      </c>
      <c r="E1503" s="107" t="s">
        <v>1552</v>
      </c>
      <c r="F1503" s="107" t="s">
        <v>1552</v>
      </c>
      <c r="G1503" s="107" t="s">
        <v>1552</v>
      </c>
      <c r="H1503" s="107" t="s">
        <v>1552</v>
      </c>
      <c r="I1503" s="71">
        <v>0.9</v>
      </c>
      <c r="J1503" s="72">
        <v>0.933333333333333</v>
      </c>
      <c r="K1503" s="72">
        <v>0.846153846153846</v>
      </c>
      <c r="L1503" s="73">
        <v>0.909090909090909</v>
      </c>
      <c r="M1503" s="72">
        <v>0.870229007633588</v>
      </c>
      <c r="N1503" s="74">
        <v>0.9</v>
      </c>
      <c r="O1503" s="72">
        <v>0</v>
      </c>
      <c r="P1503" s="72">
        <v>0</v>
      </c>
      <c r="Q1503" s="72">
        <v>0</v>
      </c>
      <c r="R1503" s="72">
        <v>0</v>
      </c>
      <c r="S1503" s="74">
        <v>0.9</v>
      </c>
      <c r="T1503" s="72">
        <v>0</v>
      </c>
      <c r="U1503" s="72">
        <v>0</v>
      </c>
      <c r="V1503" s="72">
        <v>0</v>
      </c>
      <c r="W1503" s="72">
        <v>0</v>
      </c>
      <c r="X1503" s="74">
        <v>0.92</v>
      </c>
      <c r="Y1503" s="74">
        <v>0</v>
      </c>
      <c r="Z1503" s="74">
        <v>0</v>
      </c>
      <c r="AA1503" s="74">
        <v>0</v>
      </c>
      <c r="AB1503" s="74">
        <v>0</v>
      </c>
      <c r="AC1503" s="74">
        <v>0.92</v>
      </c>
      <c r="AD1503" s="72">
        <v>0</v>
      </c>
      <c r="AE1503" s="72">
        <v>0.769230769230769</v>
      </c>
      <c r="AF1503" s="72">
        <v>1</v>
      </c>
      <c r="AG1503" s="72">
        <v>0.590909090909091</v>
      </c>
      <c r="AH1503" s="74">
        <v>0.92</v>
      </c>
      <c r="AI1503" s="72">
        <v>0.415858528237307</v>
      </c>
      <c r="AJ1503" s="72">
        <v>0.404761904761905</v>
      </c>
      <c r="AK1503" s="72">
        <v>0.938271604938272</v>
      </c>
      <c r="AL1503" s="72">
        <v>0.735021856518385</v>
      </c>
      <c r="AM1503" s="71">
        <v>0.99</v>
      </c>
      <c r="AN1503" s="76">
        <v>0</v>
      </c>
      <c r="AO1503" s="76">
        <v>0</v>
      </c>
      <c r="AP1503" s="76">
        <v>1</v>
      </c>
      <c r="AQ1503" s="76">
        <v>1</v>
      </c>
      <c r="AR1503" s="96">
        <v>0.110069253262963</v>
      </c>
      <c r="AS1503" s="80">
        <v>0.0140845070422535</v>
      </c>
      <c r="AT1503" s="80">
        <v>0.025</v>
      </c>
      <c r="AU1503" s="80">
        <v>0.0705882352941176</v>
      </c>
      <c r="AV1503" s="80">
        <v>0.0940860215053763</v>
      </c>
      <c r="AW1503" s="36"/>
      <c r="AX1503" s="34"/>
    </row>
    <row r="1504" ht="14.5" spans="1:50">
      <c r="A1504" s="32"/>
      <c r="B1504" s="36"/>
      <c r="C1504" s="91" t="s">
        <v>1473</v>
      </c>
      <c r="D1504" s="69" t="s">
        <v>27</v>
      </c>
      <c r="E1504" s="107" t="s">
        <v>1553</v>
      </c>
      <c r="F1504" s="107" t="s">
        <v>1553</v>
      </c>
      <c r="G1504" s="107" t="s">
        <v>1553</v>
      </c>
      <c r="H1504" s="107" t="s">
        <v>1553</v>
      </c>
      <c r="I1504" s="71">
        <v>0.9</v>
      </c>
      <c r="J1504" s="72">
        <v>0.857142857142857</v>
      </c>
      <c r="K1504" s="72">
        <v>1</v>
      </c>
      <c r="L1504" s="73">
        <v>0</v>
      </c>
      <c r="M1504" s="72">
        <v>0.945945945945946</v>
      </c>
      <c r="N1504" s="74">
        <v>0.9</v>
      </c>
      <c r="O1504" s="72">
        <v>0.444444444444444</v>
      </c>
      <c r="P1504" s="72">
        <v>0.653846153846154</v>
      </c>
      <c r="Q1504" s="72">
        <v>1</v>
      </c>
      <c r="R1504" s="72">
        <v>0.771017699115044</v>
      </c>
      <c r="S1504" s="74">
        <v>0.9</v>
      </c>
      <c r="T1504" s="72">
        <v>0.714975845410628</v>
      </c>
      <c r="U1504" s="72">
        <v>0.653846153846154</v>
      </c>
      <c r="V1504" s="72">
        <v>1</v>
      </c>
      <c r="W1504" s="72">
        <v>0.768805309734513</v>
      </c>
      <c r="X1504" s="74">
        <v>0.92</v>
      </c>
      <c r="Y1504" s="74">
        <v>0</v>
      </c>
      <c r="Z1504" s="74">
        <v>0</v>
      </c>
      <c r="AA1504" s="74">
        <v>0</v>
      </c>
      <c r="AB1504" s="74">
        <v>0</v>
      </c>
      <c r="AC1504" s="74">
        <v>0.92</v>
      </c>
      <c r="AD1504" s="72">
        <v>0</v>
      </c>
      <c r="AE1504" s="72">
        <v>0</v>
      </c>
      <c r="AF1504" s="72">
        <v>1</v>
      </c>
      <c r="AG1504" s="72">
        <v>1</v>
      </c>
      <c r="AH1504" s="74">
        <v>0.92</v>
      </c>
      <c r="AI1504" s="72">
        <v>0.780193236714976</v>
      </c>
      <c r="AJ1504" s="72">
        <v>0.705128205128205</v>
      </c>
      <c r="AK1504" s="72">
        <v>1</v>
      </c>
      <c r="AL1504" s="72">
        <v>0.80033185840708</v>
      </c>
      <c r="AM1504" s="71">
        <v>0.99</v>
      </c>
      <c r="AN1504" s="76">
        <v>1</v>
      </c>
      <c r="AO1504" s="76">
        <v>1</v>
      </c>
      <c r="AP1504" s="76">
        <v>1</v>
      </c>
      <c r="AQ1504" s="76">
        <v>1</v>
      </c>
      <c r="AR1504" s="96">
        <v>0.110069253262963</v>
      </c>
      <c r="AS1504" s="80">
        <v>0</v>
      </c>
      <c r="AT1504" s="80">
        <v>0</v>
      </c>
      <c r="AU1504" s="80">
        <v>0</v>
      </c>
      <c r="AV1504" s="80">
        <v>0.0223880597014925</v>
      </c>
      <c r="AW1504" s="36"/>
      <c r="AX1504" s="34"/>
    </row>
    <row r="1505" ht="14.5" spans="1:50">
      <c r="A1505" s="32"/>
      <c r="B1505" s="36"/>
      <c r="C1505" s="91" t="s">
        <v>1473</v>
      </c>
      <c r="D1505" s="69" t="s">
        <v>27</v>
      </c>
      <c r="E1505" s="107" t="s">
        <v>1554</v>
      </c>
      <c r="F1505" s="107" t="s">
        <v>1554</v>
      </c>
      <c r="G1505" s="107" t="s">
        <v>1554</v>
      </c>
      <c r="H1505" s="107" t="s">
        <v>1554</v>
      </c>
      <c r="I1505" s="71">
        <v>0.9</v>
      </c>
      <c r="J1505" s="72">
        <v>0.4375</v>
      </c>
      <c r="K1505" s="72">
        <v>0.466666666666667</v>
      </c>
      <c r="L1505" s="73">
        <v>0.375</v>
      </c>
      <c r="M1505" s="72">
        <v>0.532374100719424</v>
      </c>
      <c r="N1505" s="74">
        <v>0.9</v>
      </c>
      <c r="O1505" s="72">
        <v>0</v>
      </c>
      <c r="P1505" s="72">
        <v>0</v>
      </c>
      <c r="Q1505" s="72">
        <v>1</v>
      </c>
      <c r="R1505" s="72">
        <v>0.538461538461538</v>
      </c>
      <c r="S1505" s="74">
        <v>0.9</v>
      </c>
      <c r="T1505" s="72">
        <v>0</v>
      </c>
      <c r="U1505" s="72">
        <v>0</v>
      </c>
      <c r="V1505" s="72">
        <v>0</v>
      </c>
      <c r="W1505" s="72">
        <v>0.230769230769231</v>
      </c>
      <c r="X1505" s="74">
        <v>0.92</v>
      </c>
      <c r="Y1505" s="74">
        <v>0</v>
      </c>
      <c r="Z1505" s="74">
        <v>0</v>
      </c>
      <c r="AA1505" s="74">
        <v>0</v>
      </c>
      <c r="AB1505" s="74">
        <v>0</v>
      </c>
      <c r="AC1505" s="74">
        <v>0.92</v>
      </c>
      <c r="AD1505" s="72">
        <v>0</v>
      </c>
      <c r="AE1505" s="72">
        <v>0.0769230769230769</v>
      </c>
      <c r="AF1505" s="72">
        <v>0</v>
      </c>
      <c r="AG1505" s="72">
        <v>0.099009900990099</v>
      </c>
      <c r="AH1505" s="74">
        <v>0.92</v>
      </c>
      <c r="AI1505" s="72">
        <v>0.728320194057004</v>
      </c>
      <c r="AJ1505" s="72">
        <v>0.64065180102916</v>
      </c>
      <c r="AK1505" s="72">
        <v>0.762057877813505</v>
      </c>
      <c r="AL1505" s="72">
        <v>0.726791565151642</v>
      </c>
      <c r="AM1505" s="71">
        <v>0.99</v>
      </c>
      <c r="AN1505" s="76">
        <v>1</v>
      </c>
      <c r="AO1505" s="76">
        <v>1</v>
      </c>
      <c r="AP1505" s="76">
        <v>0</v>
      </c>
      <c r="AQ1505" s="76">
        <v>1</v>
      </c>
      <c r="AR1505" s="96">
        <v>0.110069253262963</v>
      </c>
      <c r="AS1505" s="80">
        <v>0.0666666666666667</v>
      </c>
      <c r="AT1505" s="80">
        <v>0.0476190476190476</v>
      </c>
      <c r="AU1505" s="80">
        <v>0.0833333333333333</v>
      </c>
      <c r="AV1505" s="80">
        <v>0.112</v>
      </c>
      <c r="AW1505" s="36"/>
      <c r="AX1505" s="34"/>
    </row>
    <row r="1506" ht="14.5" spans="1:50">
      <c r="A1506" s="32"/>
      <c r="B1506" s="36"/>
      <c r="C1506" s="91" t="s">
        <v>1473</v>
      </c>
      <c r="D1506" s="69" t="s">
        <v>27</v>
      </c>
      <c r="E1506" s="107" t="s">
        <v>1555</v>
      </c>
      <c r="F1506" s="107" t="s">
        <v>1555</v>
      </c>
      <c r="G1506" s="107" t="s">
        <v>1555</v>
      </c>
      <c r="H1506" s="107" t="s">
        <v>1555</v>
      </c>
      <c r="I1506" s="71">
        <v>0.9</v>
      </c>
      <c r="J1506" s="72">
        <v>0.5</v>
      </c>
      <c r="K1506" s="72">
        <v>1</v>
      </c>
      <c r="L1506" s="73">
        <v>0.9375</v>
      </c>
      <c r="M1506" s="72">
        <v>0.96031746031746</v>
      </c>
      <c r="N1506" s="74">
        <v>0.9</v>
      </c>
      <c r="O1506" s="72">
        <v>0.881142098273572</v>
      </c>
      <c r="P1506" s="72">
        <v>0.998882681564246</v>
      </c>
      <c r="Q1506" s="72">
        <v>1</v>
      </c>
      <c r="R1506" s="72">
        <v>0.651242698430878</v>
      </c>
      <c r="S1506" s="74">
        <v>0.9</v>
      </c>
      <c r="T1506" s="72">
        <v>0.810092961487384</v>
      </c>
      <c r="U1506" s="72">
        <v>0.858100558659218</v>
      </c>
      <c r="V1506" s="72">
        <v>0.915584415584416</v>
      </c>
      <c r="W1506" s="72">
        <v>0.568777917764288</v>
      </c>
      <c r="X1506" s="74">
        <v>0.92</v>
      </c>
      <c r="Y1506" s="74">
        <v>0</v>
      </c>
      <c r="Z1506" s="74">
        <v>0</v>
      </c>
      <c r="AA1506" s="74">
        <v>0</v>
      </c>
      <c r="AB1506" s="74">
        <v>0</v>
      </c>
      <c r="AC1506" s="74">
        <v>0.92</v>
      </c>
      <c r="AD1506" s="72">
        <v>0.952380952380952</v>
      </c>
      <c r="AE1506" s="72">
        <v>0</v>
      </c>
      <c r="AF1506" s="72">
        <v>1</v>
      </c>
      <c r="AG1506" s="72">
        <v>0.923076923076923</v>
      </c>
      <c r="AH1506" s="74">
        <v>0.92</v>
      </c>
      <c r="AI1506" s="72">
        <v>0.81021897810219</v>
      </c>
      <c r="AJ1506" s="72">
        <v>0.926256983240223</v>
      </c>
      <c r="AK1506" s="72">
        <v>0.922077922077922</v>
      </c>
      <c r="AL1506" s="72">
        <v>0.617298037425833</v>
      </c>
      <c r="AM1506" s="71">
        <v>0.99</v>
      </c>
      <c r="AN1506" s="76">
        <v>0</v>
      </c>
      <c r="AO1506" s="76">
        <v>1</v>
      </c>
      <c r="AP1506" s="76">
        <v>0</v>
      </c>
      <c r="AQ1506" s="76">
        <v>1</v>
      </c>
      <c r="AR1506" s="96">
        <v>0.110069253262963</v>
      </c>
      <c r="AS1506" s="80">
        <v>0</v>
      </c>
      <c r="AT1506" s="80">
        <v>0.206896551724138</v>
      </c>
      <c r="AU1506" s="80">
        <v>0.0454545454545455</v>
      </c>
      <c r="AV1506" s="80">
        <v>0.163120567375887</v>
      </c>
      <c r="AW1506" s="36"/>
      <c r="AX1506" s="34"/>
    </row>
    <row r="1507" ht="14.5" spans="1:50">
      <c r="A1507" s="32"/>
      <c r="B1507" s="36"/>
      <c r="C1507" s="91" t="s">
        <v>1473</v>
      </c>
      <c r="D1507" s="69" t="s">
        <v>27</v>
      </c>
      <c r="E1507" s="107" t="s">
        <v>1556</v>
      </c>
      <c r="F1507" s="107" t="s">
        <v>1556</v>
      </c>
      <c r="G1507" s="107" t="s">
        <v>1556</v>
      </c>
      <c r="H1507" s="107" t="s">
        <v>1556</v>
      </c>
      <c r="I1507" s="71">
        <v>0.9</v>
      </c>
      <c r="J1507" s="72">
        <v>0.625</v>
      </c>
      <c r="K1507" s="72">
        <v>0.75</v>
      </c>
      <c r="L1507" s="73">
        <v>0.636363636363636</v>
      </c>
      <c r="M1507" s="72">
        <v>0.671052631578947</v>
      </c>
      <c r="N1507" s="74">
        <v>0.9</v>
      </c>
      <c r="O1507" s="72">
        <v>0</v>
      </c>
      <c r="P1507" s="72">
        <v>0</v>
      </c>
      <c r="Q1507" s="72">
        <v>0</v>
      </c>
      <c r="R1507" s="72">
        <v>0</v>
      </c>
      <c r="S1507" s="74">
        <v>0.9</v>
      </c>
      <c r="T1507" s="72">
        <v>0</v>
      </c>
      <c r="U1507" s="72">
        <v>0</v>
      </c>
      <c r="V1507" s="72">
        <v>0</v>
      </c>
      <c r="W1507" s="72">
        <v>0</v>
      </c>
      <c r="X1507" s="74">
        <v>0.92</v>
      </c>
      <c r="Y1507" s="74">
        <v>0</v>
      </c>
      <c r="Z1507" s="74">
        <v>0</v>
      </c>
      <c r="AA1507" s="74">
        <v>0</v>
      </c>
      <c r="AB1507" s="74">
        <v>0</v>
      </c>
      <c r="AC1507" s="74">
        <v>0.92</v>
      </c>
      <c r="AD1507" s="72">
        <v>0</v>
      </c>
      <c r="AE1507" s="72">
        <v>0.333333333333333</v>
      </c>
      <c r="AF1507" s="72">
        <v>0.25</v>
      </c>
      <c r="AG1507" s="72">
        <v>0.222222222222222</v>
      </c>
      <c r="AH1507" s="74">
        <v>0.92</v>
      </c>
      <c r="AI1507" s="72">
        <v>0.204767063921994</v>
      </c>
      <c r="AJ1507" s="72">
        <v>0.325581395348837</v>
      </c>
      <c r="AK1507" s="72">
        <v>0.292517006802721</v>
      </c>
      <c r="AL1507" s="72">
        <v>0.296943873053188</v>
      </c>
      <c r="AM1507" s="71">
        <v>0.99</v>
      </c>
      <c r="AN1507" s="76">
        <v>0</v>
      </c>
      <c r="AO1507" s="76">
        <v>1</v>
      </c>
      <c r="AP1507" s="76">
        <v>1</v>
      </c>
      <c r="AQ1507" s="76">
        <v>1</v>
      </c>
      <c r="AR1507" s="96">
        <v>0.110069253262963</v>
      </c>
      <c r="AS1507" s="80">
        <v>0.0326086956521739</v>
      </c>
      <c r="AT1507" s="80">
        <v>0.142857142857143</v>
      </c>
      <c r="AU1507" s="80">
        <v>0.0113636363636364</v>
      </c>
      <c r="AV1507" s="80">
        <v>0.0406607369758577</v>
      </c>
      <c r="AW1507" s="36"/>
      <c r="AX1507" s="34"/>
    </row>
    <row r="1508" ht="14.5" spans="1:50">
      <c r="A1508" s="32"/>
      <c r="B1508" s="36"/>
      <c r="C1508" s="91" t="s">
        <v>1473</v>
      </c>
      <c r="D1508" s="69" t="s">
        <v>27</v>
      </c>
      <c r="E1508" s="107" t="s">
        <v>1557</v>
      </c>
      <c r="F1508" s="107" t="s">
        <v>1557</v>
      </c>
      <c r="G1508" s="107" t="s">
        <v>1557</v>
      </c>
      <c r="H1508" s="107" t="s">
        <v>1557</v>
      </c>
      <c r="I1508" s="71">
        <v>0.9</v>
      </c>
      <c r="J1508" s="72">
        <v>1</v>
      </c>
      <c r="K1508" s="72">
        <v>0.958333333333333</v>
      </c>
      <c r="L1508" s="73">
        <v>1</v>
      </c>
      <c r="M1508" s="72">
        <v>0.995798319327731</v>
      </c>
      <c r="N1508" s="74">
        <v>0.9</v>
      </c>
      <c r="O1508" s="72">
        <v>0.920467185761958</v>
      </c>
      <c r="P1508" s="72">
        <v>0.982954545454545</v>
      </c>
      <c r="Q1508" s="72">
        <v>0.976356050069541</v>
      </c>
      <c r="R1508" s="72">
        <v>0.960588185004702</v>
      </c>
      <c r="S1508" s="74">
        <v>0.9</v>
      </c>
      <c r="T1508" s="72">
        <v>0.493325917686318</v>
      </c>
      <c r="U1508" s="72">
        <v>0.698863636363636</v>
      </c>
      <c r="V1508" s="72">
        <v>0.753129346314325</v>
      </c>
      <c r="W1508" s="72">
        <v>0.658972386081901</v>
      </c>
      <c r="X1508" s="74">
        <v>0.92</v>
      </c>
      <c r="Y1508" s="74">
        <v>0.612648221343874</v>
      </c>
      <c r="Z1508" s="74">
        <v>0.846269781461944</v>
      </c>
      <c r="AA1508" s="74">
        <v>0.832246039142591</v>
      </c>
      <c r="AB1508" s="74">
        <v>0.788007089405278</v>
      </c>
      <c r="AC1508" s="74">
        <v>0.92</v>
      </c>
      <c r="AD1508" s="72">
        <v>0.565217391304348</v>
      </c>
      <c r="AE1508" s="72">
        <v>0.871794871794872</v>
      </c>
      <c r="AF1508" s="72">
        <v>0.963636363636364</v>
      </c>
      <c r="AG1508" s="72">
        <v>0.884433962264151</v>
      </c>
      <c r="AH1508" s="74">
        <v>0.92</v>
      </c>
      <c r="AI1508" s="72">
        <v>0.68462291870715</v>
      </c>
      <c r="AJ1508" s="72">
        <v>0.867753623188406</v>
      </c>
      <c r="AK1508" s="72">
        <v>0.896057347670251</v>
      </c>
      <c r="AL1508" s="72">
        <v>0.84037880867417</v>
      </c>
      <c r="AM1508" s="71">
        <v>0.99</v>
      </c>
      <c r="AN1508" s="76">
        <v>1</v>
      </c>
      <c r="AO1508" s="76">
        <v>1</v>
      </c>
      <c r="AP1508" s="76">
        <v>1</v>
      </c>
      <c r="AQ1508" s="76">
        <v>1</v>
      </c>
      <c r="AR1508" s="96">
        <v>0.110069253262963</v>
      </c>
      <c r="AS1508" s="80">
        <v>0.0909090909090909</v>
      </c>
      <c r="AT1508" s="80">
        <v>0</v>
      </c>
      <c r="AU1508" s="80">
        <v>0</v>
      </c>
      <c r="AV1508" s="80">
        <v>0.0930232558139535</v>
      </c>
      <c r="AW1508" s="36"/>
      <c r="AX1508" s="34"/>
    </row>
    <row r="1509" ht="14.5" spans="1:50">
      <c r="A1509" s="32"/>
      <c r="B1509" s="36"/>
      <c r="C1509" s="91" t="s">
        <v>1473</v>
      </c>
      <c r="D1509" s="69" t="s">
        <v>27</v>
      </c>
      <c r="E1509" s="107" t="s">
        <v>1558</v>
      </c>
      <c r="F1509" s="107" t="s">
        <v>1558</v>
      </c>
      <c r="G1509" s="107" t="s">
        <v>1558</v>
      </c>
      <c r="H1509" s="107" t="s">
        <v>1558</v>
      </c>
      <c r="I1509" s="71">
        <v>0.9</v>
      </c>
      <c r="J1509" s="72">
        <v>1</v>
      </c>
      <c r="K1509" s="72">
        <v>1</v>
      </c>
      <c r="L1509" s="73">
        <v>1</v>
      </c>
      <c r="M1509" s="72">
        <v>0.9875</v>
      </c>
      <c r="N1509" s="74">
        <v>0.9</v>
      </c>
      <c r="O1509" s="72">
        <v>0.989833954591664</v>
      </c>
      <c r="P1509" s="72">
        <v>0.97651111807078</v>
      </c>
      <c r="Q1509" s="72">
        <v>0.965477560414269</v>
      </c>
      <c r="R1509" s="72">
        <v>0.955505822554337</v>
      </c>
      <c r="S1509" s="74">
        <v>0.9</v>
      </c>
      <c r="T1509" s="72">
        <v>0.836326668925788</v>
      </c>
      <c r="U1509" s="72">
        <v>0.838396492326965</v>
      </c>
      <c r="V1509" s="72">
        <v>0.775220560030687</v>
      </c>
      <c r="W1509" s="72">
        <v>0.830633842885863</v>
      </c>
      <c r="X1509" s="74">
        <v>0.92</v>
      </c>
      <c r="Y1509" s="74">
        <v>0</v>
      </c>
      <c r="Z1509" s="74">
        <v>0</v>
      </c>
      <c r="AA1509" s="74">
        <v>0</v>
      </c>
      <c r="AB1509" s="74">
        <v>0</v>
      </c>
      <c r="AC1509" s="74">
        <v>0.92</v>
      </c>
      <c r="AD1509" s="72">
        <v>1</v>
      </c>
      <c r="AE1509" s="72">
        <v>1</v>
      </c>
      <c r="AF1509" s="72">
        <v>1</v>
      </c>
      <c r="AG1509" s="72">
        <v>0.991836734693878</v>
      </c>
      <c r="AH1509" s="74">
        <v>0.92</v>
      </c>
      <c r="AI1509" s="72">
        <v>0.941714672992206</v>
      </c>
      <c r="AJ1509" s="72">
        <v>0.957093642342625</v>
      </c>
      <c r="AK1509" s="72">
        <v>0.950134253931722</v>
      </c>
      <c r="AL1509" s="72">
        <v>0.933315631756629</v>
      </c>
      <c r="AM1509" s="71">
        <v>0.99</v>
      </c>
      <c r="AN1509" s="76">
        <v>1</v>
      </c>
      <c r="AO1509" s="76">
        <v>1</v>
      </c>
      <c r="AP1509" s="76">
        <v>1</v>
      </c>
      <c r="AQ1509" s="76">
        <v>1</v>
      </c>
      <c r="AR1509" s="96">
        <v>0.110069253262963</v>
      </c>
      <c r="AS1509" s="80">
        <v>0</v>
      </c>
      <c r="AT1509" s="80">
        <v>0</v>
      </c>
      <c r="AU1509" s="80">
        <v>0</v>
      </c>
      <c r="AV1509" s="80">
        <v>0.0543478260869565</v>
      </c>
      <c r="AW1509" s="36"/>
      <c r="AX1509" s="34"/>
    </row>
    <row r="1510" ht="14.5" spans="1:50">
      <c r="A1510" s="32"/>
      <c r="B1510" s="36"/>
      <c r="C1510" s="91" t="s">
        <v>1473</v>
      </c>
      <c r="D1510" s="69" t="s">
        <v>27</v>
      </c>
      <c r="E1510" s="107" t="s">
        <v>1559</v>
      </c>
      <c r="F1510" s="107" t="s">
        <v>1559</v>
      </c>
      <c r="G1510" s="107" t="s">
        <v>1559</v>
      </c>
      <c r="H1510" s="107" t="s">
        <v>1559</v>
      </c>
      <c r="I1510" s="71">
        <v>0.9</v>
      </c>
      <c r="J1510" s="72">
        <v>0.956521739130435</v>
      </c>
      <c r="K1510" s="72">
        <v>0.909090909090909</v>
      </c>
      <c r="L1510" s="73">
        <v>0.962962962962963</v>
      </c>
      <c r="M1510" s="72">
        <v>0.982758620689655</v>
      </c>
      <c r="N1510" s="74">
        <v>0.9</v>
      </c>
      <c r="O1510" s="72">
        <v>0.924914675767918</v>
      </c>
      <c r="P1510" s="72">
        <v>0.976744186046512</v>
      </c>
      <c r="Q1510" s="72">
        <v>0.974431818181818</v>
      </c>
      <c r="R1510" s="72">
        <v>0.958435207823961</v>
      </c>
      <c r="S1510" s="74">
        <v>0.9</v>
      </c>
      <c r="T1510" s="72">
        <v>0.527303754266212</v>
      </c>
      <c r="U1510" s="72">
        <v>0.701718907987867</v>
      </c>
      <c r="V1510" s="72">
        <v>0.694602272727273</v>
      </c>
      <c r="W1510" s="72">
        <v>0.656153219233904</v>
      </c>
      <c r="X1510" s="74">
        <v>0.92</v>
      </c>
      <c r="Y1510" s="74">
        <v>0.673267326732673</v>
      </c>
      <c r="Z1510" s="74">
        <v>0.832406671961874</v>
      </c>
      <c r="AA1510" s="74">
        <v>0.920754716981132</v>
      </c>
      <c r="AB1510" s="74">
        <v>0.823462532299742</v>
      </c>
      <c r="AC1510" s="74">
        <v>0.92</v>
      </c>
      <c r="AD1510" s="72">
        <v>1</v>
      </c>
      <c r="AE1510" s="72">
        <v>1</v>
      </c>
      <c r="AF1510" s="72">
        <v>1</v>
      </c>
      <c r="AG1510" s="72">
        <v>0.997787610619469</v>
      </c>
      <c r="AH1510" s="74">
        <v>0.92</v>
      </c>
      <c r="AI1510" s="72">
        <v>0.759259259259259</v>
      </c>
      <c r="AJ1510" s="72">
        <v>0.88211743772242</v>
      </c>
      <c r="AK1510" s="72">
        <v>0.944534412955466</v>
      </c>
      <c r="AL1510" s="72">
        <v>0.876156194468492</v>
      </c>
      <c r="AM1510" s="71">
        <v>0.99</v>
      </c>
      <c r="AN1510" s="76">
        <v>1</v>
      </c>
      <c r="AO1510" s="76">
        <v>1</v>
      </c>
      <c r="AP1510" s="76">
        <v>1</v>
      </c>
      <c r="AQ1510" s="76">
        <v>1</v>
      </c>
      <c r="AR1510" s="96">
        <v>0.110069253262963</v>
      </c>
      <c r="AS1510" s="80">
        <v>0</v>
      </c>
      <c r="AT1510" s="80">
        <v>0</v>
      </c>
      <c r="AU1510" s="80">
        <v>0</v>
      </c>
      <c r="AV1510" s="80">
        <v>0.0491803278688525</v>
      </c>
      <c r="AW1510" s="36"/>
      <c r="AX1510" s="34"/>
    </row>
    <row r="1511" ht="14.5" spans="1:50">
      <c r="A1511" s="32"/>
      <c r="B1511" s="36"/>
      <c r="C1511" s="91" t="s">
        <v>1473</v>
      </c>
      <c r="D1511" s="69" t="s">
        <v>27</v>
      </c>
      <c r="E1511" s="107" t="s">
        <v>1560</v>
      </c>
      <c r="F1511" s="107" t="s">
        <v>1560</v>
      </c>
      <c r="G1511" s="107" t="s">
        <v>1560</v>
      </c>
      <c r="H1511" s="107" t="s">
        <v>1560</v>
      </c>
      <c r="I1511" s="71">
        <v>0.9</v>
      </c>
      <c r="J1511" s="72">
        <v>1</v>
      </c>
      <c r="K1511" s="72">
        <v>1</v>
      </c>
      <c r="L1511" s="73">
        <v>0.947368421052632</v>
      </c>
      <c r="M1511" s="72">
        <v>0.973262032085562</v>
      </c>
      <c r="N1511" s="74">
        <v>0.9</v>
      </c>
      <c r="O1511" s="72">
        <v>0.933658536585366</v>
      </c>
      <c r="P1511" s="72">
        <v>0.883233532934132</v>
      </c>
      <c r="Q1511" s="72">
        <v>0.966014897579143</v>
      </c>
      <c r="R1511" s="72">
        <v>0.928657230897791</v>
      </c>
      <c r="S1511" s="74">
        <v>0.9</v>
      </c>
      <c r="T1511" s="72">
        <v>0.817073170731707</v>
      </c>
      <c r="U1511" s="72">
        <v>0.815226689478186</v>
      </c>
      <c r="V1511" s="72">
        <v>0.861266294227188</v>
      </c>
      <c r="W1511" s="72">
        <v>0.864626312216013</v>
      </c>
      <c r="X1511" s="74">
        <v>0.92</v>
      </c>
      <c r="Y1511" s="74">
        <v>0</v>
      </c>
      <c r="Z1511" s="74">
        <v>0</v>
      </c>
      <c r="AA1511" s="74">
        <v>0</v>
      </c>
      <c r="AB1511" s="74">
        <v>0</v>
      </c>
      <c r="AC1511" s="74">
        <v>0.92</v>
      </c>
      <c r="AD1511" s="72">
        <v>0.878048780487805</v>
      </c>
      <c r="AE1511" s="72">
        <v>0.88135593220339</v>
      </c>
      <c r="AF1511" s="72">
        <v>0.783783783783784</v>
      </c>
      <c r="AG1511" s="72">
        <v>0.867537313432836</v>
      </c>
      <c r="AH1511" s="74">
        <v>0.92</v>
      </c>
      <c r="AI1511" s="72">
        <v>0.88</v>
      </c>
      <c r="AJ1511" s="72">
        <v>0.923011120615911</v>
      </c>
      <c r="AK1511" s="72">
        <v>0.911545623836127</v>
      </c>
      <c r="AL1511" s="72">
        <v>0.935864626312216</v>
      </c>
      <c r="AM1511" s="71">
        <v>0.99</v>
      </c>
      <c r="AN1511" s="76">
        <v>1</v>
      </c>
      <c r="AO1511" s="76">
        <v>0</v>
      </c>
      <c r="AP1511" s="76">
        <v>1</v>
      </c>
      <c r="AQ1511" s="76">
        <v>1</v>
      </c>
      <c r="AR1511" s="96">
        <v>0.110069253262963</v>
      </c>
      <c r="AS1511" s="80">
        <v>0</v>
      </c>
      <c r="AT1511" s="80">
        <v>0</v>
      </c>
      <c r="AU1511" s="80">
        <v>0.2</v>
      </c>
      <c r="AV1511" s="80">
        <v>0.0703125</v>
      </c>
      <c r="AW1511" s="36"/>
      <c r="AX1511" s="34"/>
    </row>
    <row r="1512" ht="14.5" spans="1:50">
      <c r="A1512" s="32"/>
      <c r="B1512" s="36"/>
      <c r="C1512" s="91" t="s">
        <v>1473</v>
      </c>
      <c r="D1512" s="69" t="s">
        <v>27</v>
      </c>
      <c r="E1512" s="107" t="s">
        <v>1561</v>
      </c>
      <c r="F1512" s="107" t="s">
        <v>1561</v>
      </c>
      <c r="G1512" s="107" t="s">
        <v>1561</v>
      </c>
      <c r="H1512" s="107" t="s">
        <v>1561</v>
      </c>
      <c r="I1512" s="71">
        <v>0.9</v>
      </c>
      <c r="J1512" s="72">
        <v>1</v>
      </c>
      <c r="K1512" s="72">
        <v>1</v>
      </c>
      <c r="L1512" s="73">
        <v>0.944444444444444</v>
      </c>
      <c r="M1512" s="72">
        <v>0.993055555555556</v>
      </c>
      <c r="N1512" s="74">
        <v>0.9</v>
      </c>
      <c r="O1512" s="72">
        <v>0.984346779048766</v>
      </c>
      <c r="P1512" s="72">
        <v>0.990485252140818</v>
      </c>
      <c r="Q1512" s="72">
        <v>0.970497848801475</v>
      </c>
      <c r="R1512" s="72">
        <v>0.968314850329359</v>
      </c>
      <c r="S1512" s="74">
        <v>0.9</v>
      </c>
      <c r="T1512" s="72">
        <v>0.553281155930163</v>
      </c>
      <c r="U1512" s="72">
        <v>0.78116079923882</v>
      </c>
      <c r="V1512" s="72">
        <v>0.709895513214505</v>
      </c>
      <c r="W1512" s="72">
        <v>0.650879679813224</v>
      </c>
      <c r="X1512" s="74">
        <v>0.92</v>
      </c>
      <c r="Y1512" s="74">
        <v>0</v>
      </c>
      <c r="Z1512" s="74">
        <v>0</v>
      </c>
      <c r="AA1512" s="74">
        <v>0</v>
      </c>
      <c r="AB1512" s="74">
        <v>0</v>
      </c>
      <c r="AC1512" s="74">
        <v>0.92</v>
      </c>
      <c r="AD1512" s="72">
        <v>1</v>
      </c>
      <c r="AE1512" s="72">
        <v>1</v>
      </c>
      <c r="AF1512" s="72">
        <v>1</v>
      </c>
      <c r="AG1512" s="72">
        <v>1</v>
      </c>
      <c r="AH1512" s="74">
        <v>0.92</v>
      </c>
      <c r="AI1512" s="72">
        <v>0.888019265502709</v>
      </c>
      <c r="AJ1512" s="72">
        <v>0.889628924833492</v>
      </c>
      <c r="AK1512" s="72">
        <v>0.966810079901659</v>
      </c>
      <c r="AL1512" s="72">
        <v>0.905861752689069</v>
      </c>
      <c r="AM1512" s="71">
        <v>0.99</v>
      </c>
      <c r="AN1512" s="76">
        <v>1</v>
      </c>
      <c r="AO1512" s="76">
        <v>1</v>
      </c>
      <c r="AP1512" s="76">
        <v>1</v>
      </c>
      <c r="AQ1512" s="76">
        <v>1</v>
      </c>
      <c r="AR1512" s="96">
        <v>0.110069253262963</v>
      </c>
      <c r="AS1512" s="80">
        <v>0</v>
      </c>
      <c r="AT1512" s="80">
        <v>0.1</v>
      </c>
      <c r="AU1512" s="80">
        <v>0</v>
      </c>
      <c r="AV1512" s="80">
        <v>0.0588235294117647</v>
      </c>
      <c r="AW1512" s="36"/>
      <c r="AX1512" s="34"/>
    </row>
    <row r="1513" ht="14.5" spans="1:50">
      <c r="A1513" s="32"/>
      <c r="B1513" s="36"/>
      <c r="C1513" s="91" t="s">
        <v>1473</v>
      </c>
      <c r="D1513" s="69" t="s">
        <v>27</v>
      </c>
      <c r="E1513" s="107" t="s">
        <v>1562</v>
      </c>
      <c r="F1513" s="107" t="s">
        <v>1562</v>
      </c>
      <c r="G1513" s="107" t="s">
        <v>1562</v>
      </c>
      <c r="H1513" s="107" t="s">
        <v>1562</v>
      </c>
      <c r="I1513" s="71">
        <v>0.9</v>
      </c>
      <c r="J1513" s="72">
        <v>1</v>
      </c>
      <c r="K1513" s="72">
        <v>0.958333333333333</v>
      </c>
      <c r="L1513" s="73">
        <v>0.96</v>
      </c>
      <c r="M1513" s="72">
        <v>0.976744186046512</v>
      </c>
      <c r="N1513" s="74">
        <v>0.9</v>
      </c>
      <c r="O1513" s="72">
        <v>0.894130554031816</v>
      </c>
      <c r="P1513" s="72">
        <v>0.985192497532083</v>
      </c>
      <c r="Q1513" s="72">
        <v>0.978421351504827</v>
      </c>
      <c r="R1513" s="72">
        <v>0.960698003458576</v>
      </c>
      <c r="S1513" s="74">
        <v>0.9</v>
      </c>
      <c r="T1513" s="72">
        <v>0.536478332419089</v>
      </c>
      <c r="U1513" s="72">
        <v>0.863770977295163</v>
      </c>
      <c r="V1513" s="72">
        <v>0.650198750709824</v>
      </c>
      <c r="W1513" s="72">
        <v>0.697924854582613</v>
      </c>
      <c r="X1513" s="74">
        <v>0.92</v>
      </c>
      <c r="Y1513" s="74">
        <v>0</v>
      </c>
      <c r="Z1513" s="74">
        <v>0</v>
      </c>
      <c r="AA1513" s="74">
        <v>0</v>
      </c>
      <c r="AB1513" s="74">
        <v>0</v>
      </c>
      <c r="AC1513" s="74">
        <v>0.92</v>
      </c>
      <c r="AD1513" s="72">
        <v>1</v>
      </c>
      <c r="AE1513" s="72">
        <v>1</v>
      </c>
      <c r="AF1513" s="72">
        <v>1</v>
      </c>
      <c r="AG1513" s="72">
        <v>0.979591836734694</v>
      </c>
      <c r="AH1513" s="74">
        <v>0.92</v>
      </c>
      <c r="AI1513" s="72">
        <v>0.894130554031816</v>
      </c>
      <c r="AJ1513" s="72">
        <v>0.956564659427443</v>
      </c>
      <c r="AK1513" s="72">
        <v>0.960817717206133</v>
      </c>
      <c r="AL1513" s="72">
        <v>0.949300424461563</v>
      </c>
      <c r="AM1513" s="71">
        <v>0.99</v>
      </c>
      <c r="AN1513" s="76">
        <v>1</v>
      </c>
      <c r="AO1513" s="76">
        <v>1</v>
      </c>
      <c r="AP1513" s="76">
        <v>1</v>
      </c>
      <c r="AQ1513" s="76">
        <v>1</v>
      </c>
      <c r="AR1513" s="96">
        <v>0.110069253262963</v>
      </c>
      <c r="AS1513" s="80">
        <v>0</v>
      </c>
      <c r="AT1513" s="80">
        <v>0</v>
      </c>
      <c r="AU1513" s="80">
        <v>0</v>
      </c>
      <c r="AV1513" s="80">
        <v>0.0891089108910891</v>
      </c>
      <c r="AW1513" s="36"/>
      <c r="AX1513" s="34"/>
    </row>
    <row r="1514" ht="14.5" spans="1:50">
      <c r="A1514" s="32"/>
      <c r="B1514" s="36"/>
      <c r="C1514" s="91" t="s">
        <v>1473</v>
      </c>
      <c r="D1514" s="69" t="s">
        <v>27</v>
      </c>
      <c r="E1514" s="107" t="s">
        <v>1563</v>
      </c>
      <c r="F1514" s="107" t="s">
        <v>1563</v>
      </c>
      <c r="G1514" s="107" t="s">
        <v>1563</v>
      </c>
      <c r="H1514" s="107" t="s">
        <v>1563</v>
      </c>
      <c r="I1514" s="71">
        <v>0.9</v>
      </c>
      <c r="J1514" s="72">
        <v>0.805555555555556</v>
      </c>
      <c r="K1514" s="72">
        <v>0.914285714285714</v>
      </c>
      <c r="L1514" s="73">
        <v>0.921052631578947</v>
      </c>
      <c r="M1514" s="72">
        <v>0.916666666666667</v>
      </c>
      <c r="N1514" s="74">
        <v>0.9</v>
      </c>
      <c r="O1514" s="72">
        <v>0.629279279279279</v>
      </c>
      <c r="P1514" s="72">
        <v>0.712962962962963</v>
      </c>
      <c r="Q1514" s="72">
        <v>0.709734907551793</v>
      </c>
      <c r="R1514" s="72">
        <v>0.71500611995104</v>
      </c>
      <c r="S1514" s="74">
        <v>0.9</v>
      </c>
      <c r="T1514" s="72">
        <v>0.701126126126126</v>
      </c>
      <c r="U1514" s="72">
        <v>0.72790404040404</v>
      </c>
      <c r="V1514" s="72">
        <v>0.76676319893072</v>
      </c>
      <c r="W1514" s="72">
        <v>0.761468788249694</v>
      </c>
      <c r="X1514" s="74">
        <v>0.92</v>
      </c>
      <c r="Y1514" s="74">
        <v>0</v>
      </c>
      <c r="Z1514" s="74">
        <v>0</v>
      </c>
      <c r="AA1514" s="74">
        <v>0</v>
      </c>
      <c r="AB1514" s="74">
        <v>0</v>
      </c>
      <c r="AC1514" s="74">
        <v>0.92</v>
      </c>
      <c r="AD1514" s="72">
        <v>0.68649885583524</v>
      </c>
      <c r="AE1514" s="72">
        <v>0.765116279069767</v>
      </c>
      <c r="AF1514" s="72">
        <v>0.783549783549784</v>
      </c>
      <c r="AG1514" s="72">
        <v>0.803832576903681</v>
      </c>
      <c r="AH1514" s="74">
        <v>0.92</v>
      </c>
      <c r="AI1514" s="72">
        <v>0.857432432432432</v>
      </c>
      <c r="AJ1514" s="72">
        <v>0.867424242424242</v>
      </c>
      <c r="AK1514" s="72">
        <v>0.913120962352417</v>
      </c>
      <c r="AL1514" s="72">
        <v>0.911040391676867</v>
      </c>
      <c r="AM1514" s="71">
        <v>0.99</v>
      </c>
      <c r="AN1514" s="76">
        <v>1</v>
      </c>
      <c r="AO1514" s="76">
        <v>1</v>
      </c>
      <c r="AP1514" s="76">
        <v>1</v>
      </c>
      <c r="AQ1514" s="76">
        <v>1</v>
      </c>
      <c r="AR1514" s="96">
        <v>0.110069253262963</v>
      </c>
      <c r="AS1514" s="80">
        <v>0.08</v>
      </c>
      <c r="AT1514" s="80">
        <v>0</v>
      </c>
      <c r="AU1514" s="80">
        <v>0.103448275862069</v>
      </c>
      <c r="AV1514" s="80">
        <v>0.0625</v>
      </c>
      <c r="AW1514" s="36"/>
      <c r="AX1514" s="34"/>
    </row>
    <row r="1515" ht="14.5" spans="1:50">
      <c r="A1515" s="32"/>
      <c r="B1515" s="36"/>
      <c r="C1515" s="91" t="s">
        <v>1473</v>
      </c>
      <c r="D1515" s="69" t="s">
        <v>27</v>
      </c>
      <c r="E1515" s="107" t="s">
        <v>1564</v>
      </c>
      <c r="F1515" s="107" t="s">
        <v>1564</v>
      </c>
      <c r="G1515" s="107" t="s">
        <v>1564</v>
      </c>
      <c r="H1515" s="107" t="s">
        <v>1564</v>
      </c>
      <c r="I1515" s="71">
        <v>0.9</v>
      </c>
      <c r="J1515" s="72">
        <v>1</v>
      </c>
      <c r="K1515" s="72">
        <v>1</v>
      </c>
      <c r="L1515" s="73">
        <v>1</v>
      </c>
      <c r="M1515" s="72">
        <v>0.985148514851485</v>
      </c>
      <c r="N1515" s="74">
        <v>0.9</v>
      </c>
      <c r="O1515" s="72">
        <v>0</v>
      </c>
      <c r="P1515" s="72">
        <v>0</v>
      </c>
      <c r="Q1515" s="72">
        <v>0</v>
      </c>
      <c r="R1515" s="72">
        <v>0.333333333333333</v>
      </c>
      <c r="S1515" s="74">
        <v>0.9</v>
      </c>
      <c r="T1515" s="72">
        <v>0</v>
      </c>
      <c r="U1515" s="72">
        <v>0</v>
      </c>
      <c r="V1515" s="72">
        <v>0</v>
      </c>
      <c r="W1515" s="72">
        <v>0.333333333333333</v>
      </c>
      <c r="X1515" s="74">
        <v>0.92</v>
      </c>
      <c r="Y1515" s="74">
        <v>0</v>
      </c>
      <c r="Z1515" s="74">
        <v>0</v>
      </c>
      <c r="AA1515" s="74">
        <v>0</v>
      </c>
      <c r="AB1515" s="74">
        <v>0</v>
      </c>
      <c r="AC1515" s="74">
        <v>0.92</v>
      </c>
      <c r="AD1515" s="72">
        <v>0</v>
      </c>
      <c r="AE1515" s="72">
        <v>0</v>
      </c>
      <c r="AF1515" s="72">
        <v>1</v>
      </c>
      <c r="AG1515" s="72">
        <v>0.823529411764706</v>
      </c>
      <c r="AH1515" s="74">
        <v>0.92</v>
      </c>
      <c r="AI1515" s="72">
        <v>0.654020385050963</v>
      </c>
      <c r="AJ1515" s="72">
        <v>0.569395017793594</v>
      </c>
      <c r="AK1515" s="72">
        <v>0.811639549436796</v>
      </c>
      <c r="AL1515" s="72">
        <v>0.784908933217693</v>
      </c>
      <c r="AM1515" s="71">
        <v>0.99</v>
      </c>
      <c r="AN1515" s="76">
        <v>1</v>
      </c>
      <c r="AO1515" s="76">
        <v>0</v>
      </c>
      <c r="AP1515" s="76">
        <v>0</v>
      </c>
      <c r="AQ1515" s="76">
        <v>1</v>
      </c>
      <c r="AR1515" s="96">
        <v>0.110069253262963</v>
      </c>
      <c r="AS1515" s="80">
        <v>0</v>
      </c>
      <c r="AT1515" s="80">
        <v>0</v>
      </c>
      <c r="AU1515" s="80">
        <v>0</v>
      </c>
      <c r="AV1515" s="80">
        <v>0.0285714285714286</v>
      </c>
      <c r="AW1515" s="36"/>
      <c r="AX1515" s="34"/>
    </row>
    <row r="1516" ht="14.5" spans="1:50">
      <c r="A1516" s="32"/>
      <c r="B1516" s="36"/>
      <c r="C1516" s="91" t="s">
        <v>1473</v>
      </c>
      <c r="D1516" s="69" t="s">
        <v>27</v>
      </c>
      <c r="E1516" s="107" t="s">
        <v>1565</v>
      </c>
      <c r="F1516" s="107" t="s">
        <v>1565</v>
      </c>
      <c r="G1516" s="107" t="s">
        <v>1565</v>
      </c>
      <c r="H1516" s="107" t="s">
        <v>1565</v>
      </c>
      <c r="I1516" s="71">
        <v>0.9</v>
      </c>
      <c r="J1516" s="72">
        <v>0.941176470588235</v>
      </c>
      <c r="K1516" s="72">
        <v>1</v>
      </c>
      <c r="L1516" s="73">
        <v>0.95</v>
      </c>
      <c r="M1516" s="72">
        <v>0.96875</v>
      </c>
      <c r="N1516" s="74">
        <v>0.9</v>
      </c>
      <c r="O1516" s="72">
        <v>0.998784933171324</v>
      </c>
      <c r="P1516" s="72">
        <v>0.991252050300711</v>
      </c>
      <c r="Q1516" s="72">
        <v>0.956781914893617</v>
      </c>
      <c r="R1516" s="72">
        <v>0.975093315235833</v>
      </c>
      <c r="S1516" s="74">
        <v>0.9</v>
      </c>
      <c r="T1516" s="72">
        <v>0.948967193195626</v>
      </c>
      <c r="U1516" s="72">
        <v>0.954073264078731</v>
      </c>
      <c r="V1516" s="72">
        <v>0.966090425531915</v>
      </c>
      <c r="W1516" s="72">
        <v>0.945503902273498</v>
      </c>
      <c r="X1516" s="74">
        <v>0.92</v>
      </c>
      <c r="Y1516" s="74">
        <v>0</v>
      </c>
      <c r="Z1516" s="74">
        <v>0</v>
      </c>
      <c r="AA1516" s="74">
        <v>0</v>
      </c>
      <c r="AB1516" s="74">
        <v>0</v>
      </c>
      <c r="AC1516" s="74">
        <v>0.92</v>
      </c>
      <c r="AD1516" s="72">
        <v>1</v>
      </c>
      <c r="AE1516" s="72">
        <v>1</v>
      </c>
      <c r="AF1516" s="72">
        <v>1</v>
      </c>
      <c r="AG1516" s="72">
        <v>0.987113402061856</v>
      </c>
      <c r="AH1516" s="74">
        <v>0.92</v>
      </c>
      <c r="AI1516" s="72">
        <v>0.978736330498177</v>
      </c>
      <c r="AJ1516" s="72">
        <v>0.981957353745216</v>
      </c>
      <c r="AK1516" s="72">
        <v>0.988696808510638</v>
      </c>
      <c r="AL1516" s="72">
        <v>0.983305055989142</v>
      </c>
      <c r="AM1516" s="71">
        <v>0.99</v>
      </c>
      <c r="AN1516" s="76">
        <v>1</v>
      </c>
      <c r="AO1516" s="76">
        <v>1</v>
      </c>
      <c r="AP1516" s="76">
        <v>1</v>
      </c>
      <c r="AQ1516" s="76">
        <v>1</v>
      </c>
      <c r="AR1516" s="96">
        <v>0.110069253262963</v>
      </c>
      <c r="AS1516" s="80">
        <v>0</v>
      </c>
      <c r="AT1516" s="80">
        <v>0.133333333333333</v>
      </c>
      <c r="AU1516" s="80">
        <v>0</v>
      </c>
      <c r="AV1516" s="80">
        <v>0.0679611650485437</v>
      </c>
      <c r="AW1516" s="36"/>
      <c r="AX1516" s="34"/>
    </row>
    <row r="1517" ht="14.5" spans="1:50">
      <c r="A1517" s="32"/>
      <c r="B1517" s="36"/>
      <c r="C1517" s="91" t="s">
        <v>1473</v>
      </c>
      <c r="D1517" s="69" t="s">
        <v>27</v>
      </c>
      <c r="E1517" s="107" t="s">
        <v>1566</v>
      </c>
      <c r="F1517" s="107" t="s">
        <v>1566</v>
      </c>
      <c r="G1517" s="107" t="s">
        <v>1566</v>
      </c>
      <c r="H1517" s="107" t="s">
        <v>1566</v>
      </c>
      <c r="I1517" s="71">
        <v>0.9</v>
      </c>
      <c r="J1517" s="72">
        <v>1</v>
      </c>
      <c r="K1517" s="72">
        <v>1</v>
      </c>
      <c r="L1517" s="73">
        <v>0.875</v>
      </c>
      <c r="M1517" s="72">
        <v>0.985507246376812</v>
      </c>
      <c r="N1517" s="74">
        <v>0.9</v>
      </c>
      <c r="O1517" s="72">
        <v>0.993917274939173</v>
      </c>
      <c r="P1517" s="72">
        <v>0.995601979109401</v>
      </c>
      <c r="Q1517" s="72">
        <v>0.957388316151203</v>
      </c>
      <c r="R1517" s="72">
        <v>0.97304156948827</v>
      </c>
      <c r="S1517" s="74">
        <v>0.9</v>
      </c>
      <c r="T1517" s="72">
        <v>0.880778588807786</v>
      </c>
      <c r="U1517" s="72">
        <v>0.859263331500825</v>
      </c>
      <c r="V1517" s="72">
        <v>0.846735395189003</v>
      </c>
      <c r="W1517" s="72">
        <v>0.859857319248182</v>
      </c>
      <c r="X1517" s="74">
        <v>0.92</v>
      </c>
      <c r="Y1517" s="74">
        <v>0</v>
      </c>
      <c r="Z1517" s="74">
        <v>0</v>
      </c>
      <c r="AA1517" s="74">
        <v>0</v>
      </c>
      <c r="AB1517" s="74">
        <v>0</v>
      </c>
      <c r="AC1517" s="74">
        <v>0.92</v>
      </c>
      <c r="AD1517" s="72">
        <v>1</v>
      </c>
      <c r="AE1517" s="72">
        <v>1</v>
      </c>
      <c r="AF1517" s="72">
        <v>1</v>
      </c>
      <c r="AG1517" s="72">
        <v>0.980113636363636</v>
      </c>
      <c r="AH1517" s="74">
        <v>0.92</v>
      </c>
      <c r="AI1517" s="72">
        <v>0.925182481751825</v>
      </c>
      <c r="AJ1517" s="72">
        <v>0.945723684210526</v>
      </c>
      <c r="AK1517" s="72">
        <v>0.936082474226804</v>
      </c>
      <c r="AL1517" s="72">
        <v>0.933904696606102</v>
      </c>
      <c r="AM1517" s="71">
        <v>0.99</v>
      </c>
      <c r="AN1517" s="76">
        <v>1</v>
      </c>
      <c r="AO1517" s="76">
        <v>1</v>
      </c>
      <c r="AP1517" s="76">
        <v>1</v>
      </c>
      <c r="AQ1517" s="76">
        <v>1</v>
      </c>
      <c r="AR1517" s="96">
        <v>0.110069253262963</v>
      </c>
      <c r="AS1517" s="80">
        <v>0</v>
      </c>
      <c r="AT1517" s="80">
        <v>0.125</v>
      </c>
      <c r="AU1517" s="80">
        <v>0</v>
      </c>
      <c r="AV1517" s="80">
        <v>0.0531914893617021</v>
      </c>
      <c r="AW1517" s="36"/>
      <c r="AX1517" s="34"/>
    </row>
    <row r="1518" ht="14.5" spans="1:50">
      <c r="A1518" s="32"/>
      <c r="B1518" s="36"/>
      <c r="C1518" s="91" t="s">
        <v>1473</v>
      </c>
      <c r="D1518" s="69" t="s">
        <v>27</v>
      </c>
      <c r="E1518" s="107" t="s">
        <v>1567</v>
      </c>
      <c r="F1518" s="107" t="s">
        <v>1567</v>
      </c>
      <c r="G1518" s="107" t="s">
        <v>1567</v>
      </c>
      <c r="H1518" s="107" t="s">
        <v>1567</v>
      </c>
      <c r="I1518" s="71">
        <v>0.9</v>
      </c>
      <c r="J1518" s="72">
        <v>1</v>
      </c>
      <c r="K1518" s="72">
        <v>1</v>
      </c>
      <c r="L1518" s="73">
        <v>1</v>
      </c>
      <c r="M1518" s="72">
        <v>1</v>
      </c>
      <c r="N1518" s="74">
        <v>0.9</v>
      </c>
      <c r="O1518" s="72">
        <v>0.993316004455997</v>
      </c>
      <c r="P1518" s="72">
        <v>0.998823990591925</v>
      </c>
      <c r="Q1518" s="72">
        <v>0.994285714285714</v>
      </c>
      <c r="R1518" s="72">
        <v>0.987700702178094</v>
      </c>
      <c r="S1518" s="74">
        <v>0.9</v>
      </c>
      <c r="T1518" s="72">
        <v>0.975863349424434</v>
      </c>
      <c r="U1518" s="72">
        <v>0.976479811838495</v>
      </c>
      <c r="V1518" s="72">
        <v>0.975714285714286</v>
      </c>
      <c r="W1518" s="72">
        <v>0.980008050449483</v>
      </c>
      <c r="X1518" s="74">
        <v>0.92</v>
      </c>
      <c r="Y1518" s="74">
        <v>0</v>
      </c>
      <c r="Z1518" s="74">
        <v>0</v>
      </c>
      <c r="AA1518" s="74">
        <v>0</v>
      </c>
      <c r="AB1518" s="74">
        <v>0</v>
      </c>
      <c r="AC1518" s="74">
        <v>0.92</v>
      </c>
      <c r="AD1518" s="72">
        <v>0.952380952380952</v>
      </c>
      <c r="AE1518" s="72">
        <v>0.875</v>
      </c>
      <c r="AF1518" s="72">
        <v>1</v>
      </c>
      <c r="AG1518" s="72">
        <v>0.954337899543379</v>
      </c>
      <c r="AH1518" s="74">
        <v>0.92</v>
      </c>
      <c r="AI1518" s="72">
        <v>0.991459339027107</v>
      </c>
      <c r="AJ1518" s="72">
        <v>0.992551940415523</v>
      </c>
      <c r="AK1518" s="72">
        <v>0.990952380952381</v>
      </c>
      <c r="AL1518" s="72">
        <v>0.992575696587504</v>
      </c>
      <c r="AM1518" s="71">
        <v>0.99</v>
      </c>
      <c r="AN1518" s="76">
        <v>1</v>
      </c>
      <c r="AO1518" s="76">
        <v>1</v>
      </c>
      <c r="AP1518" s="76">
        <v>1</v>
      </c>
      <c r="AQ1518" s="76">
        <v>1</v>
      </c>
      <c r="AR1518" s="96">
        <v>0.110069253262963</v>
      </c>
      <c r="AS1518" s="80">
        <v>0.266666666666667</v>
      </c>
      <c r="AT1518" s="80">
        <v>0</v>
      </c>
      <c r="AU1518" s="80">
        <v>0</v>
      </c>
      <c r="AV1518" s="80">
        <v>0.0633802816901408</v>
      </c>
      <c r="AW1518" s="36"/>
      <c r="AX1518" s="34"/>
    </row>
    <row r="1519" ht="14.5" spans="1:50">
      <c r="A1519" s="32"/>
      <c r="B1519" s="36"/>
      <c r="C1519" s="91" t="s">
        <v>1473</v>
      </c>
      <c r="D1519" s="69" t="s">
        <v>27</v>
      </c>
      <c r="E1519" s="107" t="s">
        <v>1568</v>
      </c>
      <c r="F1519" s="107" t="s">
        <v>1568</v>
      </c>
      <c r="G1519" s="107" t="s">
        <v>1568</v>
      </c>
      <c r="H1519" s="107" t="s">
        <v>1568</v>
      </c>
      <c r="I1519" s="71">
        <v>0.9</v>
      </c>
      <c r="J1519" s="72">
        <v>0.930232558139535</v>
      </c>
      <c r="K1519" s="72">
        <v>1</v>
      </c>
      <c r="L1519" s="73">
        <v>0.978260869565217</v>
      </c>
      <c r="M1519" s="72">
        <v>0.983091787439614</v>
      </c>
      <c r="N1519" s="74">
        <v>0.9</v>
      </c>
      <c r="O1519" s="72">
        <v>0.953096539162113</v>
      </c>
      <c r="P1519" s="72">
        <v>0.953722334004024</v>
      </c>
      <c r="Q1519" s="72">
        <v>0.96355617455896</v>
      </c>
      <c r="R1519" s="72">
        <v>0.95539974681079</v>
      </c>
      <c r="S1519" s="74">
        <v>0.9</v>
      </c>
      <c r="T1519" s="72">
        <v>0.926001821493625</v>
      </c>
      <c r="U1519" s="72">
        <v>0.907444668008048</v>
      </c>
      <c r="V1519" s="72">
        <v>0.91016713091922</v>
      </c>
      <c r="W1519" s="72">
        <v>0.938066023955594</v>
      </c>
      <c r="X1519" s="74">
        <v>0.92</v>
      </c>
      <c r="Y1519" s="74">
        <v>0</v>
      </c>
      <c r="Z1519" s="74">
        <v>0</v>
      </c>
      <c r="AA1519" s="74">
        <v>0</v>
      </c>
      <c r="AB1519" s="74">
        <v>0</v>
      </c>
      <c r="AC1519" s="74">
        <v>0.92</v>
      </c>
      <c r="AD1519" s="72">
        <v>0.881516587677725</v>
      </c>
      <c r="AE1519" s="72">
        <v>0.658536585365854</v>
      </c>
      <c r="AF1519" s="72">
        <v>0.98936170212766</v>
      </c>
      <c r="AG1519" s="72">
        <v>0.888888888888889</v>
      </c>
      <c r="AH1519" s="74">
        <v>0.92</v>
      </c>
      <c r="AI1519" s="72">
        <v>0.973816029143898</v>
      </c>
      <c r="AJ1519" s="72">
        <v>0.974044265593561</v>
      </c>
      <c r="AK1519" s="72">
        <v>0.974233983286908</v>
      </c>
      <c r="AL1519" s="72">
        <v>0.981838985320252</v>
      </c>
      <c r="AM1519" s="71">
        <v>0.99</v>
      </c>
      <c r="AN1519" s="76">
        <v>1</v>
      </c>
      <c r="AO1519" s="76">
        <v>1</v>
      </c>
      <c r="AP1519" s="76">
        <v>1</v>
      </c>
      <c r="AQ1519" s="76">
        <v>1</v>
      </c>
      <c r="AR1519" s="96">
        <v>0.110069253262963</v>
      </c>
      <c r="AS1519" s="80">
        <v>0.0666666666666667</v>
      </c>
      <c r="AT1519" s="80">
        <v>0.115384615384615</v>
      </c>
      <c r="AU1519" s="80">
        <v>0.0416666666666667</v>
      </c>
      <c r="AV1519" s="80">
        <v>0.0704225352112676</v>
      </c>
      <c r="AW1519" s="36"/>
      <c r="AX1519" s="34"/>
    </row>
    <row r="1520" ht="14.5" spans="1:50">
      <c r="A1520" s="32"/>
      <c r="B1520" s="36"/>
      <c r="C1520" s="91" t="s">
        <v>1473</v>
      </c>
      <c r="D1520" s="69" t="s">
        <v>27</v>
      </c>
      <c r="E1520" s="107" t="s">
        <v>1569</v>
      </c>
      <c r="F1520" s="107" t="s">
        <v>1569</v>
      </c>
      <c r="G1520" s="107" t="s">
        <v>1569</v>
      </c>
      <c r="H1520" s="107" t="s">
        <v>1569</v>
      </c>
      <c r="I1520" s="71">
        <v>0.9</v>
      </c>
      <c r="J1520" s="72">
        <v>0.964285714285714</v>
      </c>
      <c r="K1520" s="72">
        <v>1</v>
      </c>
      <c r="L1520" s="73">
        <v>1</v>
      </c>
      <c r="M1520" s="72">
        <v>0.988636363636364</v>
      </c>
      <c r="N1520" s="74">
        <v>0.9</v>
      </c>
      <c r="O1520" s="72">
        <v>0.981698732989207</v>
      </c>
      <c r="P1520" s="72">
        <v>0.951749095295537</v>
      </c>
      <c r="Q1520" s="72">
        <v>0.997202797202797</v>
      </c>
      <c r="R1520" s="72">
        <v>0.965451441197148</v>
      </c>
      <c r="S1520" s="74">
        <v>0.9</v>
      </c>
      <c r="T1520" s="72">
        <v>0.939934303144064</v>
      </c>
      <c r="U1520" s="72">
        <v>0.915158825894652</v>
      </c>
      <c r="V1520" s="72">
        <v>0.958508158508159</v>
      </c>
      <c r="W1520" s="72">
        <v>0.938887215024606</v>
      </c>
      <c r="X1520" s="74">
        <v>0.92</v>
      </c>
      <c r="Y1520" s="74">
        <v>0</v>
      </c>
      <c r="Z1520" s="74">
        <v>0</v>
      </c>
      <c r="AA1520" s="74">
        <v>0</v>
      </c>
      <c r="AB1520" s="74">
        <v>0</v>
      </c>
      <c r="AC1520" s="74">
        <v>0.92</v>
      </c>
      <c r="AD1520" s="72">
        <v>0.968253968253968</v>
      </c>
      <c r="AE1520" s="72">
        <v>1</v>
      </c>
      <c r="AF1520" s="72">
        <v>1</v>
      </c>
      <c r="AG1520" s="72">
        <v>0.902362204724409</v>
      </c>
      <c r="AH1520" s="74">
        <v>0.92</v>
      </c>
      <c r="AI1520" s="72">
        <v>0.966682308775223</v>
      </c>
      <c r="AJ1520" s="72">
        <v>0.966626457579413</v>
      </c>
      <c r="AK1520" s="72">
        <v>0.97995337995338</v>
      </c>
      <c r="AL1520" s="72">
        <v>0.977553479963845</v>
      </c>
      <c r="AM1520" s="71">
        <v>0.99</v>
      </c>
      <c r="AN1520" s="76">
        <v>1</v>
      </c>
      <c r="AO1520" s="76">
        <v>1</v>
      </c>
      <c r="AP1520" s="76">
        <v>1</v>
      </c>
      <c r="AQ1520" s="76">
        <v>1</v>
      </c>
      <c r="AR1520" s="96">
        <v>0.110069253262963</v>
      </c>
      <c r="AS1520" s="80">
        <v>0</v>
      </c>
      <c r="AT1520" s="80">
        <v>0.153846153846154</v>
      </c>
      <c r="AU1520" s="80">
        <v>0.117647058823529</v>
      </c>
      <c r="AV1520" s="80">
        <v>0.0681818181818182</v>
      </c>
      <c r="AW1520" s="36"/>
      <c r="AX1520" s="34"/>
    </row>
    <row r="1521" ht="14.5" spans="1:50">
      <c r="A1521" s="32"/>
      <c r="B1521" s="36"/>
      <c r="C1521" s="91" t="s">
        <v>1473</v>
      </c>
      <c r="D1521" s="69" t="s">
        <v>27</v>
      </c>
      <c r="E1521" s="107" t="s">
        <v>1570</v>
      </c>
      <c r="F1521" s="107" t="s">
        <v>1570</v>
      </c>
      <c r="G1521" s="107" t="s">
        <v>1570</v>
      </c>
      <c r="H1521" s="107" t="s">
        <v>1570</v>
      </c>
      <c r="I1521" s="71">
        <v>0.9</v>
      </c>
      <c r="J1521" s="72">
        <v>0.954545454545455</v>
      </c>
      <c r="K1521" s="72">
        <v>1</v>
      </c>
      <c r="L1521" s="73">
        <v>0.952380952380952</v>
      </c>
      <c r="M1521" s="72">
        <v>0.958115183246073</v>
      </c>
      <c r="N1521" s="74">
        <v>0.9</v>
      </c>
      <c r="O1521" s="72">
        <v>0.942457231726283</v>
      </c>
      <c r="P1521" s="72">
        <v>0.899865891819401</v>
      </c>
      <c r="Q1521" s="72">
        <v>0.951089845826688</v>
      </c>
      <c r="R1521" s="72">
        <v>0.914016817954001</v>
      </c>
      <c r="S1521" s="74">
        <v>0.9</v>
      </c>
      <c r="T1521" s="72">
        <v>0.741835147744946</v>
      </c>
      <c r="U1521" s="72">
        <v>0.683057666517658</v>
      </c>
      <c r="V1521" s="72">
        <v>0.75544922913344</v>
      </c>
      <c r="W1521" s="72">
        <v>0.714595979283845</v>
      </c>
      <c r="X1521" s="74">
        <v>0.92</v>
      </c>
      <c r="Y1521" s="74">
        <v>0</v>
      </c>
      <c r="Z1521" s="74">
        <v>0</v>
      </c>
      <c r="AA1521" s="74">
        <v>0</v>
      </c>
      <c r="AB1521" s="74">
        <v>0</v>
      </c>
      <c r="AC1521" s="74">
        <v>0.92</v>
      </c>
      <c r="AD1521" s="72">
        <v>1</v>
      </c>
      <c r="AE1521" s="72">
        <v>1</v>
      </c>
      <c r="AF1521" s="72">
        <v>0.933333333333333</v>
      </c>
      <c r="AG1521" s="72">
        <v>0.981818181818182</v>
      </c>
      <c r="AH1521" s="74">
        <v>0.92</v>
      </c>
      <c r="AI1521" s="72">
        <v>0.954898911353033</v>
      </c>
      <c r="AJ1521" s="72">
        <v>0.967814036656236</v>
      </c>
      <c r="AK1521" s="72">
        <v>0.961190855927698</v>
      </c>
      <c r="AL1521" s="72">
        <v>0.959959904215626</v>
      </c>
      <c r="AM1521" s="71">
        <v>0.99</v>
      </c>
      <c r="AN1521" s="76">
        <v>1</v>
      </c>
      <c r="AO1521" s="76">
        <v>0</v>
      </c>
      <c r="AP1521" s="76">
        <v>0</v>
      </c>
      <c r="AQ1521" s="76">
        <v>1</v>
      </c>
      <c r="AR1521" s="96">
        <v>0.110069253262963</v>
      </c>
      <c r="AS1521" s="80">
        <v>0.0952380952380952</v>
      </c>
      <c r="AT1521" s="80">
        <v>0.125</v>
      </c>
      <c r="AU1521" s="80">
        <v>0.137931034482759</v>
      </c>
      <c r="AV1521" s="80">
        <v>0.0816326530612245</v>
      </c>
      <c r="AW1521" s="36"/>
      <c r="AX1521" s="34"/>
    </row>
    <row r="1522" ht="14.5" spans="1:50">
      <c r="A1522" s="32"/>
      <c r="B1522" s="36"/>
      <c r="C1522" s="91" t="s">
        <v>1473</v>
      </c>
      <c r="D1522" s="69" t="s">
        <v>27</v>
      </c>
      <c r="E1522" s="107" t="s">
        <v>1571</v>
      </c>
      <c r="F1522" s="107" t="s">
        <v>1571</v>
      </c>
      <c r="G1522" s="107" t="s">
        <v>1571</v>
      </c>
      <c r="H1522" s="107" t="s">
        <v>1571</v>
      </c>
      <c r="I1522" s="71">
        <v>0.9</v>
      </c>
      <c r="J1522" s="72">
        <v>1</v>
      </c>
      <c r="K1522" s="72">
        <v>1</v>
      </c>
      <c r="L1522" s="73">
        <v>1</v>
      </c>
      <c r="M1522" s="72">
        <v>0.994318181818182</v>
      </c>
      <c r="N1522" s="74">
        <v>0.9</v>
      </c>
      <c r="O1522" s="72">
        <v>0.951462352209085</v>
      </c>
      <c r="P1522" s="72">
        <v>0.969126111983255</v>
      </c>
      <c r="Q1522" s="72">
        <v>0.995110024449878</v>
      </c>
      <c r="R1522" s="72">
        <v>0.968768036939652</v>
      </c>
      <c r="S1522" s="74">
        <v>0.9</v>
      </c>
      <c r="T1522" s="72">
        <v>0.880522713130056</v>
      </c>
      <c r="U1522" s="72">
        <v>0.803767660910518</v>
      </c>
      <c r="V1522" s="72">
        <v>0.922982885085575</v>
      </c>
      <c r="W1522" s="72">
        <v>0.880908099788367</v>
      </c>
      <c r="X1522" s="74">
        <v>0.92</v>
      </c>
      <c r="Y1522" s="74">
        <v>0</v>
      </c>
      <c r="Z1522" s="74">
        <v>0</v>
      </c>
      <c r="AA1522" s="74">
        <v>0</v>
      </c>
      <c r="AB1522" s="74">
        <v>0</v>
      </c>
      <c r="AC1522" s="74">
        <v>0.92</v>
      </c>
      <c r="AD1522" s="72">
        <v>0.976744186046512</v>
      </c>
      <c r="AE1522" s="72">
        <v>0.826086956521739</v>
      </c>
      <c r="AF1522" s="72">
        <v>0.780487804878049</v>
      </c>
      <c r="AG1522" s="72">
        <v>0.867158671586716</v>
      </c>
      <c r="AH1522" s="74">
        <v>0.92</v>
      </c>
      <c r="AI1522" s="72">
        <v>0.95527950310559</v>
      </c>
      <c r="AJ1522" s="72">
        <v>0.973903966597077</v>
      </c>
      <c r="AK1522" s="72">
        <v>0.993284493284493</v>
      </c>
      <c r="AL1522" s="72">
        <v>0.983658036400923</v>
      </c>
      <c r="AM1522" s="71">
        <v>0.99</v>
      </c>
      <c r="AN1522" s="76">
        <v>1</v>
      </c>
      <c r="AO1522" s="76">
        <v>1</v>
      </c>
      <c r="AP1522" s="76">
        <v>1</v>
      </c>
      <c r="AQ1522" s="76">
        <v>1</v>
      </c>
      <c r="AR1522" s="96">
        <v>0.110069253262963</v>
      </c>
      <c r="AS1522" s="80">
        <v>0</v>
      </c>
      <c r="AT1522" s="80">
        <v>0.0588235294117647</v>
      </c>
      <c r="AU1522" s="80">
        <v>0</v>
      </c>
      <c r="AV1522" s="80">
        <v>0.0367647058823529</v>
      </c>
      <c r="AW1522" s="36"/>
      <c r="AX1522" s="34"/>
    </row>
    <row r="1523" ht="14.5" spans="1:50">
      <c r="A1523" s="32"/>
      <c r="B1523" s="36"/>
      <c r="C1523" s="91" t="s">
        <v>1473</v>
      </c>
      <c r="D1523" s="69" t="s">
        <v>27</v>
      </c>
      <c r="E1523" s="107" t="s">
        <v>1572</v>
      </c>
      <c r="F1523" s="107" t="s">
        <v>1572</v>
      </c>
      <c r="G1523" s="107" t="s">
        <v>1572</v>
      </c>
      <c r="H1523" s="107" t="s">
        <v>1572</v>
      </c>
      <c r="I1523" s="71">
        <v>0.9</v>
      </c>
      <c r="J1523" s="72">
        <v>0</v>
      </c>
      <c r="K1523" s="72">
        <v>0</v>
      </c>
      <c r="L1523" s="73">
        <v>0</v>
      </c>
      <c r="M1523" s="72">
        <v>0</v>
      </c>
      <c r="N1523" s="74">
        <v>0.9</v>
      </c>
      <c r="O1523" s="72">
        <v>0</v>
      </c>
      <c r="P1523" s="72">
        <v>0</v>
      </c>
      <c r="Q1523" s="72">
        <v>0</v>
      </c>
      <c r="R1523" s="72">
        <v>0</v>
      </c>
      <c r="S1523" s="74">
        <v>0.9</v>
      </c>
      <c r="T1523" s="72">
        <v>0</v>
      </c>
      <c r="U1523" s="72">
        <v>0</v>
      </c>
      <c r="V1523" s="72">
        <v>0</v>
      </c>
      <c r="W1523" s="72">
        <v>0</v>
      </c>
      <c r="X1523" s="74">
        <v>0.92</v>
      </c>
      <c r="Y1523" s="74">
        <v>0</v>
      </c>
      <c r="Z1523" s="74">
        <v>0</v>
      </c>
      <c r="AA1523" s="74">
        <v>0</v>
      </c>
      <c r="AB1523" s="74">
        <v>0</v>
      </c>
      <c r="AC1523" s="74">
        <v>0.92</v>
      </c>
      <c r="AD1523" s="72">
        <v>1</v>
      </c>
      <c r="AE1523" s="72">
        <v>1</v>
      </c>
      <c r="AF1523" s="72">
        <v>1</v>
      </c>
      <c r="AG1523" s="72">
        <v>0.995926680244399</v>
      </c>
      <c r="AH1523" s="74">
        <v>0.92</v>
      </c>
      <c r="AI1523" s="72">
        <v>0</v>
      </c>
      <c r="AJ1523" s="72">
        <v>0</v>
      </c>
      <c r="AK1523" s="72">
        <v>0</v>
      </c>
      <c r="AL1523" s="72">
        <v>0</v>
      </c>
      <c r="AM1523" s="71">
        <v>0.99</v>
      </c>
      <c r="AN1523" s="76">
        <v>0</v>
      </c>
      <c r="AO1523" s="76">
        <v>0</v>
      </c>
      <c r="AP1523" s="76">
        <v>0</v>
      </c>
      <c r="AQ1523" s="76">
        <v>1</v>
      </c>
      <c r="AR1523" s="96">
        <v>0.110069253262963</v>
      </c>
      <c r="AS1523" s="80">
        <v>0</v>
      </c>
      <c r="AT1523" s="80">
        <v>0</v>
      </c>
      <c r="AU1523" s="80">
        <v>0</v>
      </c>
      <c r="AV1523" s="80">
        <v>0</v>
      </c>
      <c r="AW1523" s="36"/>
      <c r="AX1523" s="34"/>
    </row>
    <row r="1524" ht="14.5" spans="1:50">
      <c r="A1524" s="32"/>
      <c r="B1524" s="36"/>
      <c r="C1524" s="91" t="s">
        <v>1473</v>
      </c>
      <c r="D1524" s="69" t="s">
        <v>27</v>
      </c>
      <c r="E1524" s="107" t="s">
        <v>1573</v>
      </c>
      <c r="F1524" s="107" t="s">
        <v>1573</v>
      </c>
      <c r="G1524" s="107" t="s">
        <v>1573</v>
      </c>
      <c r="H1524" s="107" t="s">
        <v>1573</v>
      </c>
      <c r="I1524" s="71">
        <v>0.9</v>
      </c>
      <c r="J1524" s="72">
        <v>0.976744186046512</v>
      </c>
      <c r="K1524" s="72">
        <v>0.957446808510638</v>
      </c>
      <c r="L1524" s="73">
        <v>1</v>
      </c>
      <c r="M1524" s="72">
        <v>0.992518703241895</v>
      </c>
      <c r="N1524" s="74">
        <v>0.9</v>
      </c>
      <c r="O1524" s="72">
        <v>0.994172494172494</v>
      </c>
      <c r="P1524" s="72">
        <v>0.994390617032126</v>
      </c>
      <c r="Q1524" s="72">
        <v>0.997780020181635</v>
      </c>
      <c r="R1524" s="72">
        <v>0.991686261336916</v>
      </c>
      <c r="S1524" s="74">
        <v>0.9</v>
      </c>
      <c r="T1524" s="72">
        <v>0.919191919191919</v>
      </c>
      <c r="U1524" s="72">
        <v>0.934897161312256</v>
      </c>
      <c r="V1524" s="72">
        <v>0.939253279515641</v>
      </c>
      <c r="W1524" s="72">
        <v>0.939851360429963</v>
      </c>
      <c r="X1524" s="74">
        <v>0.92</v>
      </c>
      <c r="Y1524" s="74">
        <v>0</v>
      </c>
      <c r="Z1524" s="74">
        <v>0</v>
      </c>
      <c r="AA1524" s="74">
        <v>0</v>
      </c>
      <c r="AB1524" s="74">
        <v>0</v>
      </c>
      <c r="AC1524" s="74">
        <v>0.92</v>
      </c>
      <c r="AD1524" s="72">
        <v>0.857142857142857</v>
      </c>
      <c r="AE1524" s="72">
        <v>0.969026548672566</v>
      </c>
      <c r="AF1524" s="72">
        <v>0.984313725490196</v>
      </c>
      <c r="AG1524" s="72">
        <v>0.979859013091641</v>
      </c>
      <c r="AH1524" s="74">
        <v>0.92</v>
      </c>
      <c r="AI1524" s="72">
        <v>0.952602952602953</v>
      </c>
      <c r="AJ1524" s="72">
        <v>0.976032636409995</v>
      </c>
      <c r="AK1524" s="72">
        <v>0.979822437449556</v>
      </c>
      <c r="AL1524" s="72">
        <v>0.978229835831549</v>
      </c>
      <c r="AM1524" s="71">
        <v>0.99</v>
      </c>
      <c r="AN1524" s="76">
        <v>1</v>
      </c>
      <c r="AO1524" s="76">
        <v>1</v>
      </c>
      <c r="AP1524" s="76">
        <v>1</v>
      </c>
      <c r="AQ1524" s="76">
        <v>1</v>
      </c>
      <c r="AR1524" s="96">
        <v>0.110069253262963</v>
      </c>
      <c r="AS1524" s="80">
        <v>0.0588235294117647</v>
      </c>
      <c r="AT1524" s="80">
        <v>0.1</v>
      </c>
      <c r="AU1524" s="80">
        <v>0.0930232558139535</v>
      </c>
      <c r="AV1524" s="80">
        <v>0.0922330097087379</v>
      </c>
      <c r="AW1524" s="36"/>
      <c r="AX1524" s="34"/>
    </row>
    <row r="1525" ht="14.5" spans="1:50">
      <c r="A1525" s="32"/>
      <c r="B1525" s="36"/>
      <c r="C1525" s="91" t="s">
        <v>1473</v>
      </c>
      <c r="D1525" s="69" t="s">
        <v>27</v>
      </c>
      <c r="E1525" s="107" t="s">
        <v>1574</v>
      </c>
      <c r="F1525" s="107" t="s">
        <v>1574</v>
      </c>
      <c r="G1525" s="107" t="s">
        <v>1574</v>
      </c>
      <c r="H1525" s="107" t="s">
        <v>1574</v>
      </c>
      <c r="I1525" s="71">
        <v>0.9</v>
      </c>
      <c r="J1525" s="72">
        <v>1</v>
      </c>
      <c r="K1525" s="72">
        <v>0.944444444444444</v>
      </c>
      <c r="L1525" s="73">
        <v>0.791666666666667</v>
      </c>
      <c r="M1525" s="72">
        <v>0.939698492462312</v>
      </c>
      <c r="N1525" s="74">
        <v>0.9</v>
      </c>
      <c r="O1525" s="72">
        <v>0.956338028169014</v>
      </c>
      <c r="P1525" s="72">
        <v>0.867310012062726</v>
      </c>
      <c r="Q1525" s="72">
        <v>0.949480642115203</v>
      </c>
      <c r="R1525" s="72">
        <v>0.858053505998093</v>
      </c>
      <c r="S1525" s="74">
        <v>0.9</v>
      </c>
      <c r="T1525" s="72">
        <v>0.783098591549296</v>
      </c>
      <c r="U1525" s="72">
        <v>0.787293928427825</v>
      </c>
      <c r="V1525" s="72">
        <v>0.873937677053824</v>
      </c>
      <c r="W1525" s="72">
        <v>0.765396777593736</v>
      </c>
      <c r="X1525" s="74">
        <v>0.92</v>
      </c>
      <c r="Y1525" s="74">
        <v>0</v>
      </c>
      <c r="Z1525" s="74">
        <v>0</v>
      </c>
      <c r="AA1525" s="74">
        <v>0</v>
      </c>
      <c r="AB1525" s="74">
        <v>0</v>
      </c>
      <c r="AC1525" s="74">
        <v>0.92</v>
      </c>
      <c r="AD1525" s="72">
        <v>1</v>
      </c>
      <c r="AE1525" s="72">
        <v>0.994818652849741</v>
      </c>
      <c r="AF1525" s="72">
        <v>1</v>
      </c>
      <c r="AG1525" s="72">
        <v>0.993506493506494</v>
      </c>
      <c r="AH1525" s="74">
        <v>0.92</v>
      </c>
      <c r="AI1525" s="72">
        <v>0.916431924882629</v>
      </c>
      <c r="AJ1525" s="72">
        <v>0.878568556493768</v>
      </c>
      <c r="AK1525" s="72">
        <v>0.924929178470255</v>
      </c>
      <c r="AL1525" s="72">
        <v>0.873061285950911</v>
      </c>
      <c r="AM1525" s="71">
        <v>0.99</v>
      </c>
      <c r="AN1525" s="76">
        <v>1</v>
      </c>
      <c r="AO1525" s="76">
        <v>1</v>
      </c>
      <c r="AP1525" s="76">
        <v>1</v>
      </c>
      <c r="AQ1525" s="76">
        <v>1</v>
      </c>
      <c r="AR1525" s="96">
        <v>0.110069253262963</v>
      </c>
      <c r="AS1525" s="80">
        <v>0.0689655172413793</v>
      </c>
      <c r="AT1525" s="80">
        <v>0.0666666666666667</v>
      </c>
      <c r="AU1525" s="80">
        <v>0.0833333333333333</v>
      </c>
      <c r="AV1525" s="80">
        <v>0.064</v>
      </c>
      <c r="AW1525" s="36"/>
      <c r="AX1525" s="34"/>
    </row>
    <row r="1526" ht="14.5" spans="1:50">
      <c r="A1526" s="32"/>
      <c r="B1526" s="36"/>
      <c r="C1526" s="91" t="s">
        <v>1473</v>
      </c>
      <c r="D1526" s="69" t="s">
        <v>27</v>
      </c>
      <c r="E1526" s="107" t="s">
        <v>1575</v>
      </c>
      <c r="F1526" s="107" t="s">
        <v>1575</v>
      </c>
      <c r="G1526" s="107" t="s">
        <v>1575</v>
      </c>
      <c r="H1526" s="107" t="s">
        <v>1575</v>
      </c>
      <c r="I1526" s="71">
        <v>0.9</v>
      </c>
      <c r="J1526" s="72">
        <v>1</v>
      </c>
      <c r="K1526" s="72">
        <v>1</v>
      </c>
      <c r="L1526" s="73">
        <v>0.975</v>
      </c>
      <c r="M1526" s="72">
        <v>0.988571428571429</v>
      </c>
      <c r="N1526" s="74">
        <v>0.9</v>
      </c>
      <c r="O1526" s="72">
        <v>0.986189889025894</v>
      </c>
      <c r="P1526" s="72">
        <v>0.989965792474344</v>
      </c>
      <c r="Q1526" s="72">
        <v>0.988741339491917</v>
      </c>
      <c r="R1526" s="72">
        <v>0.975885622632117</v>
      </c>
      <c r="S1526" s="74">
        <v>0.9</v>
      </c>
      <c r="T1526" s="72">
        <v>0.944266337854501</v>
      </c>
      <c r="U1526" s="72">
        <v>0.963968072976055</v>
      </c>
      <c r="V1526" s="72">
        <v>0.956986143187067</v>
      </c>
      <c r="W1526" s="72">
        <v>0.950969276292138</v>
      </c>
      <c r="X1526" s="74">
        <v>0.92</v>
      </c>
      <c r="Y1526" s="74">
        <v>0</v>
      </c>
      <c r="Z1526" s="74">
        <v>0</v>
      </c>
      <c r="AA1526" s="74">
        <v>0</v>
      </c>
      <c r="AB1526" s="74">
        <v>0</v>
      </c>
      <c r="AC1526" s="74">
        <v>0.92</v>
      </c>
      <c r="AD1526" s="72">
        <v>0.994082840236686</v>
      </c>
      <c r="AE1526" s="72">
        <v>0.987261146496815</v>
      </c>
      <c r="AF1526" s="72">
        <v>1</v>
      </c>
      <c r="AG1526" s="72">
        <v>0.969631236442516</v>
      </c>
      <c r="AH1526" s="74">
        <v>0.92</v>
      </c>
      <c r="AI1526" s="72">
        <v>0.969420468557337</v>
      </c>
      <c r="AJ1526" s="72">
        <v>0.989968080255358</v>
      </c>
      <c r="AK1526" s="72">
        <v>0.988741339491917</v>
      </c>
      <c r="AL1526" s="72">
        <v>0.98528923791616</v>
      </c>
      <c r="AM1526" s="71">
        <v>0.99</v>
      </c>
      <c r="AN1526" s="76">
        <v>1</v>
      </c>
      <c r="AO1526" s="76">
        <v>1</v>
      </c>
      <c r="AP1526" s="76">
        <v>1</v>
      </c>
      <c r="AQ1526" s="76">
        <v>1</v>
      </c>
      <c r="AR1526" s="96">
        <v>0.110069253262963</v>
      </c>
      <c r="AS1526" s="80">
        <v>0.210526315789474</v>
      </c>
      <c r="AT1526" s="80">
        <v>0</v>
      </c>
      <c r="AU1526" s="80">
        <v>0</v>
      </c>
      <c r="AV1526" s="80">
        <v>0.0729166666666667</v>
      </c>
      <c r="AW1526" s="36"/>
      <c r="AX1526" s="34"/>
    </row>
    <row r="1527" ht="14.5" spans="1:50">
      <c r="A1527" s="32"/>
      <c r="B1527" s="36"/>
      <c r="C1527" s="91" t="s">
        <v>1473</v>
      </c>
      <c r="D1527" s="69" t="s">
        <v>27</v>
      </c>
      <c r="E1527" s="107" t="s">
        <v>1576</v>
      </c>
      <c r="F1527" s="107" t="s">
        <v>1576</v>
      </c>
      <c r="G1527" s="107" t="s">
        <v>1576</v>
      </c>
      <c r="H1527" s="107" t="s">
        <v>1576</v>
      </c>
      <c r="I1527" s="71">
        <v>0.9</v>
      </c>
      <c r="J1527" s="72">
        <v>0.891891891891892</v>
      </c>
      <c r="K1527" s="72">
        <v>0.971428571428571</v>
      </c>
      <c r="L1527" s="73">
        <v>0.902439024390244</v>
      </c>
      <c r="M1527" s="72">
        <v>0.950819672131147</v>
      </c>
      <c r="N1527" s="74">
        <v>0.9</v>
      </c>
      <c r="O1527" s="72">
        <v>0.879116298457691</v>
      </c>
      <c r="P1527" s="72">
        <v>0.949609652235628</v>
      </c>
      <c r="Q1527" s="72">
        <v>0.946258784621745</v>
      </c>
      <c r="R1527" s="72">
        <v>0.931586194837271</v>
      </c>
      <c r="S1527" s="74">
        <v>0.9</v>
      </c>
      <c r="T1527" s="72">
        <v>0.814922884535223</v>
      </c>
      <c r="U1527" s="72">
        <v>0.881121362668559</v>
      </c>
      <c r="V1527" s="72">
        <v>0.899958660603555</v>
      </c>
      <c r="W1527" s="72">
        <v>0.878232169788638</v>
      </c>
      <c r="X1527" s="74">
        <v>0.92</v>
      </c>
      <c r="Y1527" s="74">
        <v>0</v>
      </c>
      <c r="Z1527" s="74">
        <v>0</v>
      </c>
      <c r="AA1527" s="74">
        <v>0</v>
      </c>
      <c r="AB1527" s="74">
        <v>0</v>
      </c>
      <c r="AC1527" s="74">
        <v>0.92</v>
      </c>
      <c r="AD1527" s="72">
        <v>0.977077363896848</v>
      </c>
      <c r="AE1527" s="72">
        <v>0.977011494252874</v>
      </c>
      <c r="AF1527" s="72">
        <v>1</v>
      </c>
      <c r="AG1527" s="72">
        <v>0.986101211689237</v>
      </c>
      <c r="AH1527" s="74">
        <v>0.92</v>
      </c>
      <c r="AI1527" s="72">
        <v>0.929345560650271</v>
      </c>
      <c r="AJ1527" s="72">
        <v>0.939318665720369</v>
      </c>
      <c r="AK1527" s="72">
        <v>0.959909072122339</v>
      </c>
      <c r="AL1527" s="72">
        <v>0.959455324357405</v>
      </c>
      <c r="AM1527" s="71">
        <v>0.99</v>
      </c>
      <c r="AN1527" s="76">
        <v>1</v>
      </c>
      <c r="AO1527" s="76">
        <v>1</v>
      </c>
      <c r="AP1527" s="76">
        <v>1</v>
      </c>
      <c r="AQ1527" s="76">
        <v>1</v>
      </c>
      <c r="AR1527" s="96">
        <v>0.110069253262963</v>
      </c>
      <c r="AS1527" s="80">
        <v>0.142857142857143</v>
      </c>
      <c r="AT1527" s="80">
        <v>0.108108108108108</v>
      </c>
      <c r="AU1527" s="80">
        <v>0.0606060606060606</v>
      </c>
      <c r="AV1527" s="80">
        <v>0.088135593220339</v>
      </c>
      <c r="AW1527" s="36"/>
      <c r="AX1527" s="34"/>
    </row>
    <row r="1528" ht="14.5" spans="1:50">
      <c r="A1528" s="32"/>
      <c r="B1528" s="36"/>
      <c r="C1528" s="91" t="s">
        <v>1473</v>
      </c>
      <c r="D1528" s="69" t="s">
        <v>27</v>
      </c>
      <c r="E1528" s="107" t="s">
        <v>1577</v>
      </c>
      <c r="F1528" s="107" t="s">
        <v>1577</v>
      </c>
      <c r="G1528" s="107" t="s">
        <v>1577</v>
      </c>
      <c r="H1528" s="107" t="s">
        <v>1577</v>
      </c>
      <c r="I1528" s="71">
        <v>0.9</v>
      </c>
      <c r="J1528" s="72">
        <v>0.947368421052632</v>
      </c>
      <c r="K1528" s="72">
        <v>0.947368421052632</v>
      </c>
      <c r="L1528" s="73">
        <v>0.95</v>
      </c>
      <c r="M1528" s="72">
        <v>0.952941176470588</v>
      </c>
      <c r="N1528" s="74">
        <v>0.9</v>
      </c>
      <c r="O1528" s="72">
        <v>0.954095409540954</v>
      </c>
      <c r="P1528" s="72">
        <v>0.993258426966292</v>
      </c>
      <c r="Q1528" s="72">
        <v>0.999077065066913</v>
      </c>
      <c r="R1528" s="72">
        <v>0.98303408022951</v>
      </c>
      <c r="S1528" s="74">
        <v>0.9</v>
      </c>
      <c r="T1528" s="72">
        <v>0.882538253825383</v>
      </c>
      <c r="U1528" s="72">
        <v>0.946441947565543</v>
      </c>
      <c r="V1528" s="72">
        <v>0.951545916012921</v>
      </c>
      <c r="W1528" s="72">
        <v>0.923035069495969</v>
      </c>
      <c r="X1528" s="74">
        <v>0.92</v>
      </c>
      <c r="Y1528" s="74">
        <v>0</v>
      </c>
      <c r="Z1528" s="74">
        <v>0</v>
      </c>
      <c r="AA1528" s="74">
        <v>0</v>
      </c>
      <c r="AB1528" s="74">
        <v>0</v>
      </c>
      <c r="AC1528" s="74">
        <v>0.92</v>
      </c>
      <c r="AD1528" s="72">
        <v>0.907894736842105</v>
      </c>
      <c r="AE1528" s="72">
        <v>0.978723404255319</v>
      </c>
      <c r="AF1528" s="72">
        <v>0.990740740740741</v>
      </c>
      <c r="AG1528" s="72">
        <v>0.988610478359909</v>
      </c>
      <c r="AH1528" s="74">
        <v>0.92</v>
      </c>
      <c r="AI1528" s="72">
        <v>0.964896489648965</v>
      </c>
      <c r="AJ1528" s="72">
        <v>0.982022471910112</v>
      </c>
      <c r="AK1528" s="72">
        <v>0.98846331333641</v>
      </c>
      <c r="AL1528" s="72">
        <v>0.978137211257852</v>
      </c>
      <c r="AM1528" s="71">
        <v>0.99</v>
      </c>
      <c r="AN1528" s="76">
        <v>1</v>
      </c>
      <c r="AO1528" s="76">
        <v>1</v>
      </c>
      <c r="AP1528" s="76">
        <v>1</v>
      </c>
      <c r="AQ1528" s="76">
        <v>1</v>
      </c>
      <c r="AR1528" s="96">
        <v>0.110069253262963</v>
      </c>
      <c r="AS1528" s="80">
        <v>0.08</v>
      </c>
      <c r="AT1528" s="80">
        <v>0.166666666666667</v>
      </c>
      <c r="AU1528" s="80">
        <v>0.0416666666666667</v>
      </c>
      <c r="AV1528" s="80">
        <v>0.144508670520231</v>
      </c>
      <c r="AW1528" s="36"/>
      <c r="AX1528" s="34"/>
    </row>
    <row r="1529" ht="14.5" spans="1:50">
      <c r="A1529" s="32"/>
      <c r="B1529" s="36"/>
      <c r="C1529" s="91" t="s">
        <v>1473</v>
      </c>
      <c r="D1529" s="69" t="s">
        <v>27</v>
      </c>
      <c r="E1529" s="107" t="s">
        <v>1578</v>
      </c>
      <c r="F1529" s="107" t="s">
        <v>1578</v>
      </c>
      <c r="G1529" s="107" t="s">
        <v>1578</v>
      </c>
      <c r="H1529" s="107" t="s">
        <v>1578</v>
      </c>
      <c r="I1529" s="71">
        <v>0.9</v>
      </c>
      <c r="J1529" s="72">
        <v>0.9</v>
      </c>
      <c r="K1529" s="72">
        <v>0.9</v>
      </c>
      <c r="L1529" s="73">
        <v>0.91304347826087</v>
      </c>
      <c r="M1529" s="72">
        <v>0.904040404040404</v>
      </c>
      <c r="N1529" s="74">
        <v>0.9</v>
      </c>
      <c r="O1529" s="72">
        <v>0.930512249443207</v>
      </c>
      <c r="P1529" s="72">
        <v>0.964031971580817</v>
      </c>
      <c r="Q1529" s="72">
        <v>0.932310946589106</v>
      </c>
      <c r="R1529" s="72">
        <v>0.934211880984248</v>
      </c>
      <c r="S1529" s="74">
        <v>0.9</v>
      </c>
      <c r="T1529" s="72">
        <v>0.889532293986637</v>
      </c>
      <c r="U1529" s="72">
        <v>0.932948490230906</v>
      </c>
      <c r="V1529" s="72">
        <v>0.922792173453199</v>
      </c>
      <c r="W1529" s="72">
        <v>0.925409245341295</v>
      </c>
      <c r="X1529" s="74">
        <v>0.92</v>
      </c>
      <c r="Y1529" s="74">
        <v>0</v>
      </c>
      <c r="Z1529" s="74">
        <v>0</v>
      </c>
      <c r="AA1529" s="74">
        <v>0</v>
      </c>
      <c r="AB1529" s="74">
        <v>0</v>
      </c>
      <c r="AC1529" s="74">
        <v>0.92</v>
      </c>
      <c r="AD1529" s="72">
        <v>0.978571428571429</v>
      </c>
      <c r="AE1529" s="72">
        <v>1</v>
      </c>
      <c r="AF1529" s="72">
        <v>0.997050147492625</v>
      </c>
      <c r="AG1529" s="72">
        <v>0.982896237172178</v>
      </c>
      <c r="AH1529" s="74">
        <v>0.92</v>
      </c>
      <c r="AI1529" s="72">
        <v>0.933184855233853</v>
      </c>
      <c r="AJ1529" s="72">
        <v>0.959147424511545</v>
      </c>
      <c r="AK1529" s="72">
        <v>0.969857218402961</v>
      </c>
      <c r="AL1529" s="72">
        <v>0.96417172861114</v>
      </c>
      <c r="AM1529" s="71">
        <v>0.99</v>
      </c>
      <c r="AN1529" s="76">
        <v>0</v>
      </c>
      <c r="AO1529" s="76">
        <v>1</v>
      </c>
      <c r="AP1529" s="76">
        <v>1</v>
      </c>
      <c r="AQ1529" s="76">
        <v>1</v>
      </c>
      <c r="AR1529" s="96">
        <v>0.110069253262963</v>
      </c>
      <c r="AS1529" s="80">
        <v>0.1875</v>
      </c>
      <c r="AT1529" s="80">
        <v>0.125</v>
      </c>
      <c r="AU1529" s="80">
        <v>0.2</v>
      </c>
      <c r="AV1529" s="80">
        <v>0.149700598802395</v>
      </c>
      <c r="AW1529" s="36"/>
      <c r="AX1529" s="34"/>
    </row>
    <row r="1530" ht="14.5" spans="1:50">
      <c r="A1530" s="32"/>
      <c r="B1530" s="36"/>
      <c r="C1530" s="91" t="s">
        <v>1473</v>
      </c>
      <c r="D1530" s="69" t="s">
        <v>27</v>
      </c>
      <c r="E1530" s="107" t="s">
        <v>1579</v>
      </c>
      <c r="F1530" s="107" t="s">
        <v>1579</v>
      </c>
      <c r="G1530" s="107" t="s">
        <v>1579</v>
      </c>
      <c r="H1530" s="107" t="s">
        <v>1579</v>
      </c>
      <c r="I1530" s="71">
        <v>0.9</v>
      </c>
      <c r="J1530" s="72">
        <v>1</v>
      </c>
      <c r="K1530" s="72">
        <v>1</v>
      </c>
      <c r="L1530" s="73">
        <v>0.961538461538462</v>
      </c>
      <c r="M1530" s="72">
        <v>0.958715596330275</v>
      </c>
      <c r="N1530" s="74">
        <v>0.9</v>
      </c>
      <c r="O1530" s="72">
        <v>0.965280950205573</v>
      </c>
      <c r="P1530" s="72">
        <v>0.985719952399841</v>
      </c>
      <c r="Q1530" s="72">
        <v>0.992102665350444</v>
      </c>
      <c r="R1530" s="72">
        <v>0.977320006088589</v>
      </c>
      <c r="S1530" s="74">
        <v>0.9</v>
      </c>
      <c r="T1530" s="72">
        <v>0.902695294655094</v>
      </c>
      <c r="U1530" s="72">
        <v>0.930979769932566</v>
      </c>
      <c r="V1530" s="72">
        <v>0.918558736426456</v>
      </c>
      <c r="W1530" s="72">
        <v>0.920543913947943</v>
      </c>
      <c r="X1530" s="74">
        <v>0.92</v>
      </c>
      <c r="Y1530" s="74">
        <v>0</v>
      </c>
      <c r="Z1530" s="74">
        <v>0</v>
      </c>
      <c r="AA1530" s="74">
        <v>0</v>
      </c>
      <c r="AB1530" s="74">
        <v>0</v>
      </c>
      <c r="AC1530" s="74">
        <v>0.92</v>
      </c>
      <c r="AD1530" s="72">
        <v>0.727272727272727</v>
      </c>
      <c r="AE1530" s="72">
        <v>0.423076923076923</v>
      </c>
      <c r="AF1530" s="72">
        <v>0.891891891891892</v>
      </c>
      <c r="AG1530" s="72">
        <v>0.768987341772152</v>
      </c>
      <c r="AH1530" s="74">
        <v>0.92</v>
      </c>
      <c r="AI1530" s="72">
        <v>0.959798994974874</v>
      </c>
      <c r="AJ1530" s="72">
        <v>0.982149940499802</v>
      </c>
      <c r="AK1530" s="72">
        <v>0.976307996051333</v>
      </c>
      <c r="AL1530" s="72">
        <v>0.97315947029276</v>
      </c>
      <c r="AM1530" s="71">
        <v>0.99</v>
      </c>
      <c r="AN1530" s="76">
        <v>1</v>
      </c>
      <c r="AO1530" s="76">
        <v>1</v>
      </c>
      <c r="AP1530" s="76">
        <v>1</v>
      </c>
      <c r="AQ1530" s="76">
        <v>1</v>
      </c>
      <c r="AR1530" s="96">
        <v>0.110069253262963</v>
      </c>
      <c r="AS1530" s="80">
        <v>0.0588235294117647</v>
      </c>
      <c r="AT1530" s="80">
        <v>0.0909090909090909</v>
      </c>
      <c r="AU1530" s="80">
        <v>0.0625</v>
      </c>
      <c r="AV1530" s="80">
        <v>0.0813008130081301</v>
      </c>
      <c r="AW1530" s="36"/>
      <c r="AX1530" s="34"/>
    </row>
    <row r="1531" ht="14.5" spans="1:50">
      <c r="A1531" s="32"/>
      <c r="B1531" s="36"/>
      <c r="C1531" s="91" t="s">
        <v>1473</v>
      </c>
      <c r="D1531" s="69" t="s">
        <v>27</v>
      </c>
      <c r="E1531" s="107" t="s">
        <v>1580</v>
      </c>
      <c r="F1531" s="107" t="s">
        <v>1580</v>
      </c>
      <c r="G1531" s="107" t="s">
        <v>1580</v>
      </c>
      <c r="H1531" s="107" t="s">
        <v>1580</v>
      </c>
      <c r="I1531" s="71">
        <v>0.9</v>
      </c>
      <c r="J1531" s="72">
        <v>1</v>
      </c>
      <c r="K1531" s="72">
        <v>0.96875</v>
      </c>
      <c r="L1531" s="73">
        <v>1</v>
      </c>
      <c r="M1531" s="72">
        <v>0.989830508474576</v>
      </c>
      <c r="N1531" s="74">
        <v>0.9</v>
      </c>
      <c r="O1531" s="72">
        <v>0.973533303925893</v>
      </c>
      <c r="P1531" s="72">
        <v>0.986577181208054</v>
      </c>
      <c r="Q1531" s="72">
        <v>0.978161965423112</v>
      </c>
      <c r="R1531" s="72">
        <v>0.965192168237853</v>
      </c>
      <c r="S1531" s="74">
        <v>0.9</v>
      </c>
      <c r="T1531" s="72">
        <v>0.883105425672695</v>
      </c>
      <c r="U1531" s="72">
        <v>0.941966048164232</v>
      </c>
      <c r="V1531" s="72">
        <v>0.910373066424022</v>
      </c>
      <c r="W1531" s="72">
        <v>0.917283055354121</v>
      </c>
      <c r="X1531" s="74">
        <v>0.92</v>
      </c>
      <c r="Y1531" s="74">
        <v>0</v>
      </c>
      <c r="Z1531" s="74">
        <v>0</v>
      </c>
      <c r="AA1531" s="74">
        <v>0</v>
      </c>
      <c r="AB1531" s="74">
        <v>0</v>
      </c>
      <c r="AC1531" s="74">
        <v>0.92</v>
      </c>
      <c r="AD1531" s="72">
        <v>0.923469387755102</v>
      </c>
      <c r="AE1531" s="72">
        <v>0.889250814332248</v>
      </c>
      <c r="AF1531" s="72">
        <v>0.937269372693727</v>
      </c>
      <c r="AG1531" s="72">
        <v>0.954418232706917</v>
      </c>
      <c r="AH1531" s="74">
        <v>0.92</v>
      </c>
      <c r="AI1531" s="72">
        <v>0.951918835465373</v>
      </c>
      <c r="AJ1531" s="72">
        <v>0.966837741808133</v>
      </c>
      <c r="AK1531" s="72">
        <v>0.97179253867152</v>
      </c>
      <c r="AL1531" s="72">
        <v>0.95861735557167</v>
      </c>
      <c r="AM1531" s="71">
        <v>0.99</v>
      </c>
      <c r="AN1531" s="76">
        <v>1</v>
      </c>
      <c r="AO1531" s="76">
        <v>1</v>
      </c>
      <c r="AP1531" s="76">
        <v>0</v>
      </c>
      <c r="AQ1531" s="76">
        <v>1</v>
      </c>
      <c r="AR1531" s="96">
        <v>0.110069253262963</v>
      </c>
      <c r="AS1531" s="80">
        <v>0.1</v>
      </c>
      <c r="AT1531" s="80">
        <v>0.0666666666666667</v>
      </c>
      <c r="AU1531" s="80">
        <v>0.0384615384615385</v>
      </c>
      <c r="AV1531" s="80">
        <v>0.0681818181818182</v>
      </c>
      <c r="AW1531" s="36"/>
      <c r="AX1531" s="34"/>
    </row>
    <row r="1532" ht="14.5" spans="1:50">
      <c r="A1532" s="32"/>
      <c r="B1532" s="36"/>
      <c r="C1532" s="91" t="s">
        <v>1473</v>
      </c>
      <c r="D1532" s="69" t="s">
        <v>27</v>
      </c>
      <c r="E1532" s="107" t="s">
        <v>1581</v>
      </c>
      <c r="F1532" s="107" t="s">
        <v>1581</v>
      </c>
      <c r="G1532" s="107" t="s">
        <v>1581</v>
      </c>
      <c r="H1532" s="107" t="s">
        <v>1581</v>
      </c>
      <c r="I1532" s="71">
        <v>0.9</v>
      </c>
      <c r="J1532" s="72">
        <v>0</v>
      </c>
      <c r="K1532" s="72">
        <v>0</v>
      </c>
      <c r="L1532" s="73">
        <v>0</v>
      </c>
      <c r="M1532" s="72">
        <v>0</v>
      </c>
      <c r="N1532" s="74">
        <v>0.9</v>
      </c>
      <c r="O1532" s="72">
        <v>0</v>
      </c>
      <c r="P1532" s="72">
        <v>0</v>
      </c>
      <c r="Q1532" s="72">
        <v>0</v>
      </c>
      <c r="R1532" s="72">
        <v>0</v>
      </c>
      <c r="S1532" s="74">
        <v>0.9</v>
      </c>
      <c r="T1532" s="72">
        <v>0</v>
      </c>
      <c r="U1532" s="72">
        <v>0</v>
      </c>
      <c r="V1532" s="72">
        <v>0</v>
      </c>
      <c r="W1532" s="72">
        <v>0</v>
      </c>
      <c r="X1532" s="74">
        <v>0.92</v>
      </c>
      <c r="Y1532" s="74">
        <v>0</v>
      </c>
      <c r="Z1532" s="74">
        <v>0</v>
      </c>
      <c r="AA1532" s="74">
        <v>0</v>
      </c>
      <c r="AB1532" s="74">
        <v>0</v>
      </c>
      <c r="AC1532" s="74">
        <v>0.92</v>
      </c>
      <c r="AD1532" s="72">
        <v>0.992592592592593</v>
      </c>
      <c r="AE1532" s="72">
        <v>0.991666666666667</v>
      </c>
      <c r="AF1532" s="72">
        <v>0.993589743589744</v>
      </c>
      <c r="AG1532" s="72">
        <v>0.985395849346656</v>
      </c>
      <c r="AH1532" s="74">
        <v>0.92</v>
      </c>
      <c r="AI1532" s="72">
        <v>0</v>
      </c>
      <c r="AJ1532" s="72">
        <v>0</v>
      </c>
      <c r="AK1532" s="72">
        <v>0</v>
      </c>
      <c r="AL1532" s="72">
        <v>0</v>
      </c>
      <c r="AM1532" s="71">
        <v>0.99</v>
      </c>
      <c r="AN1532" s="76">
        <v>0</v>
      </c>
      <c r="AO1532" s="76">
        <v>0</v>
      </c>
      <c r="AP1532" s="76">
        <v>0</v>
      </c>
      <c r="AQ1532" s="76">
        <v>1</v>
      </c>
      <c r="AR1532" s="96">
        <v>0.110069253262963</v>
      </c>
      <c r="AS1532" s="80">
        <v>0</v>
      </c>
      <c r="AT1532" s="80">
        <v>0</v>
      </c>
      <c r="AU1532" s="80">
        <v>0</v>
      </c>
      <c r="AV1532" s="80">
        <v>0</v>
      </c>
      <c r="AW1532" s="36"/>
      <c r="AX1532" s="34"/>
    </row>
    <row r="1533" ht="14.5" spans="1:50">
      <c r="A1533" s="32"/>
      <c r="B1533" s="36"/>
      <c r="C1533" s="91" t="s">
        <v>1473</v>
      </c>
      <c r="D1533" s="69" t="s">
        <v>27</v>
      </c>
      <c r="E1533" s="107" t="s">
        <v>1582</v>
      </c>
      <c r="F1533" s="107" t="s">
        <v>1582</v>
      </c>
      <c r="G1533" s="107" t="s">
        <v>1582</v>
      </c>
      <c r="H1533" s="107" t="s">
        <v>1582</v>
      </c>
      <c r="I1533" s="71">
        <v>0.9</v>
      </c>
      <c r="J1533" s="72">
        <v>0.927272727272727</v>
      </c>
      <c r="K1533" s="72">
        <v>0.919354838709677</v>
      </c>
      <c r="L1533" s="73">
        <v>0.96875</v>
      </c>
      <c r="M1533" s="72">
        <v>0.954225352112676</v>
      </c>
      <c r="N1533" s="74">
        <v>0.9</v>
      </c>
      <c r="O1533" s="72">
        <v>0.946418419556566</v>
      </c>
      <c r="P1533" s="72">
        <v>0.971222155328116</v>
      </c>
      <c r="Q1533" s="72">
        <v>0.982833217027216</v>
      </c>
      <c r="R1533" s="72">
        <v>0.964297167290219</v>
      </c>
      <c r="S1533" s="74">
        <v>0.9</v>
      </c>
      <c r="T1533" s="72">
        <v>0.858015918135304</v>
      </c>
      <c r="U1533" s="72">
        <v>0.911137868753763</v>
      </c>
      <c r="V1533" s="72">
        <v>0.920167480809491</v>
      </c>
      <c r="W1533" s="72">
        <v>0.905642513552722</v>
      </c>
      <c r="X1533" s="74">
        <v>0.92</v>
      </c>
      <c r="Y1533" s="74">
        <v>0</v>
      </c>
      <c r="Z1533" s="74">
        <v>0</v>
      </c>
      <c r="AA1533" s="74">
        <v>0</v>
      </c>
      <c r="AB1533" s="74">
        <v>0</v>
      </c>
      <c r="AC1533" s="74">
        <v>0.92</v>
      </c>
      <c r="AD1533" s="72">
        <v>0.879464285714286</v>
      </c>
      <c r="AE1533" s="72">
        <v>1</v>
      </c>
      <c r="AF1533" s="72">
        <v>0.990476190476191</v>
      </c>
      <c r="AG1533" s="72">
        <v>0.977777777777778</v>
      </c>
      <c r="AH1533" s="74">
        <v>0.92</v>
      </c>
      <c r="AI1533" s="72">
        <v>0.906765207504264</v>
      </c>
      <c r="AJ1533" s="72">
        <v>0.962918372261016</v>
      </c>
      <c r="AK1533" s="72">
        <v>0.970551290997906</v>
      </c>
      <c r="AL1533" s="72">
        <v>0.963687449417442</v>
      </c>
      <c r="AM1533" s="71">
        <v>0.99</v>
      </c>
      <c r="AN1533" s="76">
        <v>1</v>
      </c>
      <c r="AO1533" s="76">
        <v>1</v>
      </c>
      <c r="AP1533" s="76">
        <v>1</v>
      </c>
      <c r="AQ1533" s="76">
        <v>1</v>
      </c>
      <c r="AR1533" s="96">
        <v>0.110069253262963</v>
      </c>
      <c r="AS1533" s="80">
        <v>0.0862068965517241</v>
      </c>
      <c r="AT1533" s="80">
        <v>0.0483870967741935</v>
      </c>
      <c r="AU1533" s="80">
        <v>0.0350877192982456</v>
      </c>
      <c r="AV1533" s="80">
        <v>0.0702054794520548</v>
      </c>
      <c r="AW1533" s="36"/>
      <c r="AX1533" s="34"/>
    </row>
    <row r="1534" ht="14.5" spans="1:50">
      <c r="A1534" s="32"/>
      <c r="B1534" s="36"/>
      <c r="C1534" s="91" t="s">
        <v>1473</v>
      </c>
      <c r="D1534" s="69" t="s">
        <v>27</v>
      </c>
      <c r="E1534" s="107" t="s">
        <v>1583</v>
      </c>
      <c r="F1534" s="107" t="s">
        <v>1583</v>
      </c>
      <c r="G1534" s="107" t="s">
        <v>1583</v>
      </c>
      <c r="H1534" s="107" t="s">
        <v>1583</v>
      </c>
      <c r="I1534" s="71">
        <v>0.9</v>
      </c>
      <c r="J1534" s="72">
        <v>0.866666666666667</v>
      </c>
      <c r="K1534" s="72">
        <v>1</v>
      </c>
      <c r="L1534" s="73">
        <v>1</v>
      </c>
      <c r="M1534" s="72">
        <v>0.964285714285714</v>
      </c>
      <c r="N1534" s="74">
        <v>0.9</v>
      </c>
      <c r="O1534" s="72">
        <v>0.989335520918786</v>
      </c>
      <c r="P1534" s="72">
        <v>0.994810971089696</v>
      </c>
      <c r="Q1534" s="72">
        <v>0.996289424860853</v>
      </c>
      <c r="R1534" s="72">
        <v>0.993788252489266</v>
      </c>
      <c r="S1534" s="74">
        <v>0.9</v>
      </c>
      <c r="T1534" s="72">
        <v>0.930270713699754</v>
      </c>
      <c r="U1534" s="72">
        <v>0.942179392142328</v>
      </c>
      <c r="V1534" s="72">
        <v>0.952690166975881</v>
      </c>
      <c r="W1534" s="72">
        <v>0.943089430894309</v>
      </c>
      <c r="X1534" s="74">
        <v>0.92</v>
      </c>
      <c r="Y1534" s="74">
        <v>0</v>
      </c>
      <c r="Z1534" s="74">
        <v>0</v>
      </c>
      <c r="AA1534" s="74">
        <v>0</v>
      </c>
      <c r="AB1534" s="74">
        <v>0</v>
      </c>
      <c r="AC1534" s="74">
        <v>0.92</v>
      </c>
      <c r="AD1534" s="72">
        <v>1</v>
      </c>
      <c r="AE1534" s="72">
        <v>1</v>
      </c>
      <c r="AF1534" s="72">
        <v>1</v>
      </c>
      <c r="AG1534" s="72">
        <v>1</v>
      </c>
      <c r="AH1534" s="74">
        <v>0.92</v>
      </c>
      <c r="AI1534" s="72">
        <v>0.968006562756358</v>
      </c>
      <c r="AJ1534" s="72">
        <v>0.977761304670126</v>
      </c>
      <c r="AK1534" s="72">
        <v>0.987940630797774</v>
      </c>
      <c r="AL1534" s="72">
        <v>0.983922535854572</v>
      </c>
      <c r="AM1534" s="71">
        <v>0.99</v>
      </c>
      <c r="AN1534" s="76">
        <v>1</v>
      </c>
      <c r="AO1534" s="76">
        <v>1</v>
      </c>
      <c r="AP1534" s="76">
        <v>1</v>
      </c>
      <c r="AQ1534" s="76">
        <v>1</v>
      </c>
      <c r="AR1534" s="96">
        <v>0.110069253262963</v>
      </c>
      <c r="AS1534" s="80">
        <v>0</v>
      </c>
      <c r="AT1534" s="80">
        <v>0</v>
      </c>
      <c r="AU1534" s="80">
        <v>0</v>
      </c>
      <c r="AV1534" s="80">
        <v>0.0239043824701195</v>
      </c>
      <c r="AW1534" s="36"/>
      <c r="AX1534" s="34"/>
    </row>
    <row r="1535" ht="14.5" spans="1:50">
      <c r="A1535" s="32"/>
      <c r="B1535" s="36"/>
      <c r="C1535" s="91" t="s">
        <v>1473</v>
      </c>
      <c r="D1535" s="69" t="s">
        <v>27</v>
      </c>
      <c r="E1535" s="107" t="s">
        <v>1584</v>
      </c>
      <c r="F1535" s="107" t="s">
        <v>1584</v>
      </c>
      <c r="G1535" s="107" t="s">
        <v>1584</v>
      </c>
      <c r="H1535" s="107" t="s">
        <v>1584</v>
      </c>
      <c r="I1535" s="71">
        <v>0.9</v>
      </c>
      <c r="J1535" s="72">
        <v>0.888888888888889</v>
      </c>
      <c r="K1535" s="72">
        <v>0.9</v>
      </c>
      <c r="L1535" s="73">
        <v>1</v>
      </c>
      <c r="M1535" s="72">
        <v>0.931818181818182</v>
      </c>
      <c r="N1535" s="74">
        <v>0.9</v>
      </c>
      <c r="O1535" s="72">
        <v>0.967812329514457</v>
      </c>
      <c r="P1535" s="72">
        <v>0.998481781376518</v>
      </c>
      <c r="Q1535" s="72">
        <v>0.998019801980198</v>
      </c>
      <c r="R1535" s="72">
        <v>0.969518260622424</v>
      </c>
      <c r="S1535" s="74">
        <v>0.9</v>
      </c>
      <c r="T1535" s="72">
        <v>0.725040916530278</v>
      </c>
      <c r="U1535" s="72">
        <v>0.781376518218624</v>
      </c>
      <c r="V1535" s="72">
        <v>0.762376237623762</v>
      </c>
      <c r="W1535" s="72">
        <v>0.77795935768083</v>
      </c>
      <c r="X1535" s="74">
        <v>0.92</v>
      </c>
      <c r="Y1535" s="74">
        <v>0</v>
      </c>
      <c r="Z1535" s="74">
        <v>0</v>
      </c>
      <c r="AA1535" s="74">
        <v>0</v>
      </c>
      <c r="AB1535" s="74">
        <v>0</v>
      </c>
      <c r="AC1535" s="74">
        <v>0.92</v>
      </c>
      <c r="AD1535" s="72">
        <v>1</v>
      </c>
      <c r="AE1535" s="72">
        <v>1</v>
      </c>
      <c r="AF1535" s="72">
        <v>0.986666666666667</v>
      </c>
      <c r="AG1535" s="72">
        <v>0.997509339975093</v>
      </c>
      <c r="AH1535" s="74">
        <v>0.92</v>
      </c>
      <c r="AI1535" s="72">
        <v>0.823786142935079</v>
      </c>
      <c r="AJ1535" s="72">
        <v>0.876012145748988</v>
      </c>
      <c r="AK1535" s="72">
        <v>0.883168316831683</v>
      </c>
      <c r="AL1535" s="72">
        <v>0.887380986215717</v>
      </c>
      <c r="AM1535" s="71">
        <v>0.99</v>
      </c>
      <c r="AN1535" s="76">
        <v>1</v>
      </c>
      <c r="AO1535" s="76">
        <v>1</v>
      </c>
      <c r="AP1535" s="76">
        <v>1</v>
      </c>
      <c r="AQ1535" s="76">
        <v>1</v>
      </c>
      <c r="AR1535" s="96">
        <v>0.110069253262963</v>
      </c>
      <c r="AS1535" s="80">
        <v>0.03125</v>
      </c>
      <c r="AT1535" s="80">
        <v>0</v>
      </c>
      <c r="AU1535" s="80">
        <v>0.0625</v>
      </c>
      <c r="AV1535" s="80">
        <v>0.0625</v>
      </c>
      <c r="AW1535" s="36"/>
      <c r="AX1535" s="34"/>
    </row>
    <row r="1536" ht="14.5" spans="1:50">
      <c r="A1536" s="32"/>
      <c r="B1536" s="36"/>
      <c r="C1536" s="91" t="s">
        <v>1473</v>
      </c>
      <c r="D1536" s="69" t="s">
        <v>27</v>
      </c>
      <c r="E1536" s="107" t="s">
        <v>1585</v>
      </c>
      <c r="F1536" s="107" t="s">
        <v>1585</v>
      </c>
      <c r="G1536" s="107" t="s">
        <v>1585</v>
      </c>
      <c r="H1536" s="107" t="s">
        <v>1585</v>
      </c>
      <c r="I1536" s="71">
        <v>0.9</v>
      </c>
      <c r="J1536" s="72">
        <v>1</v>
      </c>
      <c r="K1536" s="72">
        <v>1</v>
      </c>
      <c r="L1536" s="73">
        <v>1</v>
      </c>
      <c r="M1536" s="72">
        <v>0.996575342465753</v>
      </c>
      <c r="N1536" s="74">
        <v>0.9</v>
      </c>
      <c r="O1536" s="72">
        <v>0.937138130686518</v>
      </c>
      <c r="P1536" s="72">
        <v>0.985245296938399</v>
      </c>
      <c r="Q1536" s="72">
        <v>0.972789115646258</v>
      </c>
      <c r="R1536" s="72">
        <v>0.966289508135403</v>
      </c>
      <c r="S1536" s="74">
        <v>0.9</v>
      </c>
      <c r="T1536" s="72">
        <v>0.915632754342432</v>
      </c>
      <c r="U1536" s="72">
        <v>0.948358539284397</v>
      </c>
      <c r="V1536" s="72">
        <v>0.950680272108844</v>
      </c>
      <c r="W1536" s="72">
        <v>0.935524593229848</v>
      </c>
      <c r="X1536" s="74">
        <v>0.92</v>
      </c>
      <c r="Y1536" s="74">
        <v>0</v>
      </c>
      <c r="Z1536" s="74">
        <v>0</v>
      </c>
      <c r="AA1536" s="74">
        <v>0</v>
      </c>
      <c r="AB1536" s="74">
        <v>0</v>
      </c>
      <c r="AC1536" s="74">
        <v>0.92</v>
      </c>
      <c r="AD1536" s="72">
        <v>1</v>
      </c>
      <c r="AE1536" s="72">
        <v>1</v>
      </c>
      <c r="AF1536" s="72">
        <v>0.973451327433628</v>
      </c>
      <c r="AG1536" s="72">
        <v>0.995530726256983</v>
      </c>
      <c r="AH1536" s="74">
        <v>0.92</v>
      </c>
      <c r="AI1536" s="72">
        <v>0.957816377171216</v>
      </c>
      <c r="AJ1536" s="72">
        <v>0.976392475101439</v>
      </c>
      <c r="AK1536" s="72">
        <v>0.980867346938776</v>
      </c>
      <c r="AL1536" s="72">
        <v>0.974565176734618</v>
      </c>
      <c r="AM1536" s="71">
        <v>0.99</v>
      </c>
      <c r="AN1536" s="76">
        <v>1</v>
      </c>
      <c r="AO1536" s="76">
        <v>1</v>
      </c>
      <c r="AP1536" s="76">
        <v>1</v>
      </c>
      <c r="AQ1536" s="76">
        <v>1</v>
      </c>
      <c r="AR1536" s="96">
        <v>0.110069253262963</v>
      </c>
      <c r="AS1536" s="80">
        <v>0</v>
      </c>
      <c r="AT1536" s="80">
        <v>0.105263157894737</v>
      </c>
      <c r="AU1536" s="80">
        <v>0</v>
      </c>
      <c r="AV1536" s="80">
        <v>0.0588235294117647</v>
      </c>
      <c r="AW1536" s="36"/>
      <c r="AX1536" s="34"/>
    </row>
    <row r="1537" ht="14.5" spans="1:50">
      <c r="A1537" s="32"/>
      <c r="B1537" s="36"/>
      <c r="C1537" s="91" t="s">
        <v>1473</v>
      </c>
      <c r="D1537" s="69" t="s">
        <v>27</v>
      </c>
      <c r="E1537" s="107" t="s">
        <v>1586</v>
      </c>
      <c r="F1537" s="107" t="s">
        <v>1586</v>
      </c>
      <c r="G1537" s="107" t="s">
        <v>1586</v>
      </c>
      <c r="H1537" s="107" t="s">
        <v>1586</v>
      </c>
      <c r="I1537" s="71">
        <v>0.9</v>
      </c>
      <c r="J1537" s="72">
        <v>0.970588235294118</v>
      </c>
      <c r="K1537" s="72">
        <v>0.948717948717949</v>
      </c>
      <c r="L1537" s="73">
        <v>1</v>
      </c>
      <c r="M1537" s="72">
        <v>0.960843373493976</v>
      </c>
      <c r="N1537" s="74">
        <v>0.9</v>
      </c>
      <c r="O1537" s="72">
        <v>0.977079395085066</v>
      </c>
      <c r="P1537" s="72">
        <v>0.984957488554611</v>
      </c>
      <c r="Q1537" s="72">
        <v>0.996265670845559</v>
      </c>
      <c r="R1537" s="72">
        <v>0.985735313796334</v>
      </c>
      <c r="S1537" s="74">
        <v>0.9</v>
      </c>
      <c r="T1537" s="72">
        <v>0.939981096408318</v>
      </c>
      <c r="U1537" s="72">
        <v>0.928493568781339</v>
      </c>
      <c r="V1537" s="72">
        <v>0.963456921845826</v>
      </c>
      <c r="W1537" s="72">
        <v>0.94805299076676</v>
      </c>
      <c r="X1537" s="74">
        <v>0.92</v>
      </c>
      <c r="Y1537" s="74">
        <v>0</v>
      </c>
      <c r="Z1537" s="74">
        <v>0</v>
      </c>
      <c r="AA1537" s="74">
        <v>0</v>
      </c>
      <c r="AB1537" s="74">
        <v>0</v>
      </c>
      <c r="AC1537" s="74">
        <v>0.92</v>
      </c>
      <c r="AD1537" s="72">
        <v>0.948275862068966</v>
      </c>
      <c r="AE1537" s="72">
        <v>0.983935742971888</v>
      </c>
      <c r="AF1537" s="72">
        <v>0.955801104972376</v>
      </c>
      <c r="AG1537" s="72">
        <v>0.973180076628352</v>
      </c>
      <c r="AH1537" s="74">
        <v>0.92</v>
      </c>
      <c r="AI1537" s="72">
        <v>0.963610586011342</v>
      </c>
      <c r="AJ1537" s="72">
        <v>0.983870967741935</v>
      </c>
      <c r="AK1537" s="72">
        <v>0.988797012536676</v>
      </c>
      <c r="AL1537" s="72">
        <v>0.984986753017368</v>
      </c>
      <c r="AM1537" s="71">
        <v>0.99</v>
      </c>
      <c r="AN1537" s="76">
        <v>1</v>
      </c>
      <c r="AO1537" s="76">
        <v>1</v>
      </c>
      <c r="AP1537" s="76">
        <v>1</v>
      </c>
      <c r="AQ1537" s="76">
        <v>1</v>
      </c>
      <c r="AR1537" s="96">
        <v>0.110069253262963</v>
      </c>
      <c r="AS1537" s="80">
        <v>0</v>
      </c>
      <c r="AT1537" s="80">
        <v>0.0681818181818182</v>
      </c>
      <c r="AU1537" s="80">
        <v>0</v>
      </c>
      <c r="AV1537" s="80">
        <v>0.0682492581602374</v>
      </c>
      <c r="AW1537" s="36"/>
      <c r="AX1537" s="34"/>
    </row>
    <row r="1538" ht="14.5" spans="1:50">
      <c r="A1538" s="32"/>
      <c r="B1538" s="36"/>
      <c r="C1538" s="91" t="s">
        <v>1473</v>
      </c>
      <c r="D1538" s="69" t="s">
        <v>27</v>
      </c>
      <c r="E1538" s="107" t="s">
        <v>1587</v>
      </c>
      <c r="F1538" s="107" t="s">
        <v>1587</v>
      </c>
      <c r="G1538" s="107" t="s">
        <v>1587</v>
      </c>
      <c r="H1538" s="107" t="s">
        <v>1587</v>
      </c>
      <c r="I1538" s="71">
        <v>0.9</v>
      </c>
      <c r="J1538" s="72">
        <v>1</v>
      </c>
      <c r="K1538" s="72">
        <v>0.96875</v>
      </c>
      <c r="L1538" s="73">
        <v>0.916666666666667</v>
      </c>
      <c r="M1538" s="72">
        <v>0.93968253968254</v>
      </c>
      <c r="N1538" s="74">
        <v>0.9</v>
      </c>
      <c r="O1538" s="72">
        <v>0.667371202113606</v>
      </c>
      <c r="P1538" s="72">
        <v>0.94151376146789</v>
      </c>
      <c r="Q1538" s="72">
        <v>0.896379228203907</v>
      </c>
      <c r="R1538" s="72">
        <v>0.8882763346415</v>
      </c>
      <c r="S1538" s="74">
        <v>0.9</v>
      </c>
      <c r="T1538" s="72">
        <v>0.180184940554822</v>
      </c>
      <c r="U1538" s="72">
        <v>0.250573394495413</v>
      </c>
      <c r="V1538" s="72">
        <v>0.23535016674607</v>
      </c>
      <c r="W1538" s="72">
        <v>0.324269606927054</v>
      </c>
      <c r="X1538" s="74">
        <v>0.92</v>
      </c>
      <c r="Y1538" s="74">
        <v>0</v>
      </c>
      <c r="Z1538" s="74">
        <v>0</v>
      </c>
      <c r="AA1538" s="74">
        <v>0</v>
      </c>
      <c r="AB1538" s="74">
        <v>0</v>
      </c>
      <c r="AC1538" s="74">
        <v>0.92</v>
      </c>
      <c r="AD1538" s="72">
        <v>0.957264957264957</v>
      </c>
      <c r="AE1538" s="72">
        <v>0.891666666666667</v>
      </c>
      <c r="AF1538" s="72">
        <v>1</v>
      </c>
      <c r="AG1538" s="72">
        <v>0.966033966033966</v>
      </c>
      <c r="AH1538" s="74">
        <v>0.92</v>
      </c>
      <c r="AI1538" s="72">
        <v>0.818229854689564</v>
      </c>
      <c r="AJ1538" s="72">
        <v>0.795298165137615</v>
      </c>
      <c r="AK1538" s="72">
        <v>0.875416865173892</v>
      </c>
      <c r="AL1538" s="72">
        <v>0.857534417242883</v>
      </c>
      <c r="AM1538" s="71">
        <v>0.99</v>
      </c>
      <c r="AN1538" s="76">
        <v>1</v>
      </c>
      <c r="AO1538" s="76">
        <v>1</v>
      </c>
      <c r="AP1538" s="76">
        <v>1</v>
      </c>
      <c r="AQ1538" s="76">
        <v>1</v>
      </c>
      <c r="AR1538" s="96">
        <v>0.110069253262963</v>
      </c>
      <c r="AS1538" s="80">
        <v>0.0833333333333333</v>
      </c>
      <c r="AT1538" s="80">
        <v>0.0789473684210526</v>
      </c>
      <c r="AU1538" s="80">
        <v>0.131578947368421</v>
      </c>
      <c r="AV1538" s="80">
        <v>0.108433734939759</v>
      </c>
      <c r="AW1538" s="36"/>
      <c r="AX1538" s="34"/>
    </row>
    <row r="1539" ht="14.5" spans="1:50">
      <c r="A1539" s="32"/>
      <c r="B1539" s="36"/>
      <c r="C1539" s="91" t="s">
        <v>1473</v>
      </c>
      <c r="D1539" s="69" t="s">
        <v>27</v>
      </c>
      <c r="E1539" s="107" t="s">
        <v>1588</v>
      </c>
      <c r="F1539" s="107" t="s">
        <v>1588</v>
      </c>
      <c r="G1539" s="107" t="s">
        <v>1588</v>
      </c>
      <c r="H1539" s="107" t="s">
        <v>1588</v>
      </c>
      <c r="I1539" s="71">
        <v>0.9</v>
      </c>
      <c r="J1539" s="72">
        <v>1</v>
      </c>
      <c r="K1539" s="72">
        <v>1</v>
      </c>
      <c r="L1539" s="73">
        <v>0.954545454545455</v>
      </c>
      <c r="M1539" s="72">
        <v>0.983516483516483</v>
      </c>
      <c r="N1539" s="74">
        <v>0.9</v>
      </c>
      <c r="O1539" s="72">
        <v>0.916761041902605</v>
      </c>
      <c r="P1539" s="72">
        <v>0.959549071618037</v>
      </c>
      <c r="Q1539" s="72">
        <v>0.952852428099953</v>
      </c>
      <c r="R1539" s="72">
        <v>0.937735322828057</v>
      </c>
      <c r="S1539" s="74">
        <v>0.9</v>
      </c>
      <c r="T1539" s="72">
        <v>0.484711211778029</v>
      </c>
      <c r="U1539" s="72">
        <v>0.772546419098143</v>
      </c>
      <c r="V1539" s="72">
        <v>0.644978783592645</v>
      </c>
      <c r="W1539" s="72">
        <v>0.683098591549296</v>
      </c>
      <c r="X1539" s="74">
        <v>0.92</v>
      </c>
      <c r="Y1539" s="74">
        <v>0</v>
      </c>
      <c r="Z1539" s="74">
        <v>0</v>
      </c>
      <c r="AA1539" s="74">
        <v>0</v>
      </c>
      <c r="AB1539" s="74">
        <v>0</v>
      </c>
      <c r="AC1539" s="74">
        <v>0.92</v>
      </c>
      <c r="AD1539" s="72">
        <v>0.511111111111111</v>
      </c>
      <c r="AE1539" s="72">
        <v>1</v>
      </c>
      <c r="AF1539" s="72">
        <v>1</v>
      </c>
      <c r="AG1539" s="72">
        <v>0.915750915750916</v>
      </c>
      <c r="AH1539" s="74">
        <v>0.92</v>
      </c>
      <c r="AI1539" s="72">
        <v>0.931483578708947</v>
      </c>
      <c r="AJ1539" s="72">
        <v>0.942307692307692</v>
      </c>
      <c r="AK1539" s="72">
        <v>0.951438000942951</v>
      </c>
      <c r="AL1539" s="72">
        <v>0.935225212662111</v>
      </c>
      <c r="AM1539" s="71">
        <v>0.99</v>
      </c>
      <c r="AN1539" s="76">
        <v>1</v>
      </c>
      <c r="AO1539" s="76">
        <v>1</v>
      </c>
      <c r="AP1539" s="76">
        <v>1</v>
      </c>
      <c r="AQ1539" s="76">
        <v>1</v>
      </c>
      <c r="AR1539" s="96">
        <v>0.110069253262963</v>
      </c>
      <c r="AS1539" s="80">
        <v>0</v>
      </c>
      <c r="AT1539" s="80">
        <v>0</v>
      </c>
      <c r="AU1539" s="80">
        <v>0</v>
      </c>
      <c r="AV1539" s="80">
        <v>0.07</v>
      </c>
      <c r="AW1539" s="36"/>
      <c r="AX1539" s="34"/>
    </row>
    <row r="1540" ht="14.5" spans="1:50">
      <c r="A1540" s="32"/>
      <c r="B1540" s="36"/>
      <c r="C1540" s="91" t="s">
        <v>1473</v>
      </c>
      <c r="D1540" s="69" t="s">
        <v>27</v>
      </c>
      <c r="E1540" s="107" t="s">
        <v>1589</v>
      </c>
      <c r="F1540" s="107" t="s">
        <v>1589</v>
      </c>
      <c r="G1540" s="107" t="s">
        <v>1589</v>
      </c>
      <c r="H1540" s="107" t="s">
        <v>1589</v>
      </c>
      <c r="I1540" s="71">
        <v>0.9</v>
      </c>
      <c r="J1540" s="72">
        <v>0.928571428571429</v>
      </c>
      <c r="K1540" s="72">
        <v>0.852941176470588</v>
      </c>
      <c r="L1540" s="73">
        <v>0.823529411764706</v>
      </c>
      <c r="M1540" s="72">
        <v>0.831715210355987</v>
      </c>
      <c r="N1540" s="74">
        <v>0.9</v>
      </c>
      <c r="O1540" s="72">
        <v>0.942857142857143</v>
      </c>
      <c r="P1540" s="72">
        <v>0.864092664092664</v>
      </c>
      <c r="Q1540" s="72">
        <v>0.851681127982646</v>
      </c>
      <c r="R1540" s="72">
        <v>0.852324428742089</v>
      </c>
      <c r="S1540" s="74">
        <v>0.9</v>
      </c>
      <c r="T1540" s="72">
        <v>0.832758620689655</v>
      </c>
      <c r="U1540" s="72">
        <v>0.760617760617761</v>
      </c>
      <c r="V1540" s="72">
        <v>0.786062906724512</v>
      </c>
      <c r="W1540" s="72">
        <v>0.758991434308517</v>
      </c>
      <c r="X1540" s="74">
        <v>0.92</v>
      </c>
      <c r="Y1540" s="74">
        <v>1</v>
      </c>
      <c r="Z1540" s="74">
        <v>0</v>
      </c>
      <c r="AA1540" s="74">
        <v>0.142857142857143</v>
      </c>
      <c r="AB1540" s="74">
        <v>0.166666666666667</v>
      </c>
      <c r="AC1540" s="74">
        <v>0.92</v>
      </c>
      <c r="AD1540" s="72">
        <v>0.571428571428571</v>
      </c>
      <c r="AE1540" s="72">
        <v>0.7</v>
      </c>
      <c r="AF1540" s="72">
        <v>0.625</v>
      </c>
      <c r="AG1540" s="72">
        <v>0.694516971279373</v>
      </c>
      <c r="AH1540" s="74">
        <v>0.92</v>
      </c>
      <c r="AI1540" s="72">
        <v>0.895643613093773</v>
      </c>
      <c r="AJ1540" s="72">
        <v>0.902603664416586</v>
      </c>
      <c r="AK1540" s="72">
        <v>0.846278755074425</v>
      </c>
      <c r="AL1540" s="72">
        <v>0.864597882119912</v>
      </c>
      <c r="AM1540" s="71">
        <v>0.99</v>
      </c>
      <c r="AN1540" s="76">
        <v>1</v>
      </c>
      <c r="AO1540" s="76">
        <v>0</v>
      </c>
      <c r="AP1540" s="76">
        <v>1</v>
      </c>
      <c r="AQ1540" s="76">
        <v>1</v>
      </c>
      <c r="AR1540" s="96">
        <v>0.110069253262963</v>
      </c>
      <c r="AS1540" s="80">
        <v>0.142857142857143</v>
      </c>
      <c r="AT1540" s="80">
        <v>0</v>
      </c>
      <c r="AU1540" s="80">
        <v>0</v>
      </c>
      <c r="AV1540" s="80">
        <v>0.124401913875598</v>
      </c>
      <c r="AW1540" s="36"/>
      <c r="AX1540" s="34"/>
    </row>
    <row r="1541" ht="14.5" spans="1:50">
      <c r="A1541" s="32"/>
      <c r="B1541" s="36"/>
      <c r="C1541" s="91" t="s">
        <v>1473</v>
      </c>
      <c r="D1541" s="69" t="s">
        <v>27</v>
      </c>
      <c r="E1541" s="107" t="s">
        <v>1590</v>
      </c>
      <c r="F1541" s="107" t="s">
        <v>1590</v>
      </c>
      <c r="G1541" s="107" t="s">
        <v>1590</v>
      </c>
      <c r="H1541" s="107" t="s">
        <v>1590</v>
      </c>
      <c r="I1541" s="71">
        <v>0.9</v>
      </c>
      <c r="J1541" s="72">
        <v>0</v>
      </c>
      <c r="K1541" s="72">
        <v>0</v>
      </c>
      <c r="L1541" s="73">
        <v>0</v>
      </c>
      <c r="M1541" s="72">
        <v>0</v>
      </c>
      <c r="N1541" s="74">
        <v>0.9</v>
      </c>
      <c r="O1541" s="72">
        <v>0</v>
      </c>
      <c r="P1541" s="72">
        <v>0</v>
      </c>
      <c r="Q1541" s="72">
        <v>0</v>
      </c>
      <c r="R1541" s="72">
        <v>0</v>
      </c>
      <c r="S1541" s="74">
        <v>0.9</v>
      </c>
      <c r="T1541" s="72">
        <v>0</v>
      </c>
      <c r="U1541" s="72">
        <v>0</v>
      </c>
      <c r="V1541" s="72">
        <v>0</v>
      </c>
      <c r="W1541" s="72">
        <v>0.222222222222222</v>
      </c>
      <c r="X1541" s="74">
        <v>0.92</v>
      </c>
      <c r="Y1541" s="74">
        <v>1</v>
      </c>
      <c r="Z1541" s="74">
        <v>0</v>
      </c>
      <c r="AA1541" s="74">
        <v>0</v>
      </c>
      <c r="AB1541" s="74">
        <v>1</v>
      </c>
      <c r="AC1541" s="74">
        <v>0.92</v>
      </c>
      <c r="AD1541" s="72">
        <v>0.993684210526316</v>
      </c>
      <c r="AE1541" s="72">
        <v>0.971307120085016</v>
      </c>
      <c r="AF1541" s="72">
        <v>0.735294117647059</v>
      </c>
      <c r="AG1541" s="72">
        <v>0.958024244617333</v>
      </c>
      <c r="AH1541" s="74">
        <v>0.92</v>
      </c>
      <c r="AI1541" s="72">
        <v>1</v>
      </c>
      <c r="AJ1541" s="72">
        <v>0</v>
      </c>
      <c r="AK1541" s="72">
        <v>0</v>
      </c>
      <c r="AL1541" s="72">
        <v>0.466666666666667</v>
      </c>
      <c r="AM1541" s="71">
        <v>0.99</v>
      </c>
      <c r="AN1541" s="76">
        <v>1</v>
      </c>
      <c r="AO1541" s="76">
        <v>1</v>
      </c>
      <c r="AP1541" s="76">
        <v>1</v>
      </c>
      <c r="AQ1541" s="76">
        <v>1</v>
      </c>
      <c r="AR1541" s="96">
        <v>0.110069253262963</v>
      </c>
      <c r="AS1541" s="80">
        <v>0</v>
      </c>
      <c r="AT1541" s="80">
        <v>0</v>
      </c>
      <c r="AU1541" s="80">
        <v>0</v>
      </c>
      <c r="AV1541" s="80">
        <v>0</v>
      </c>
      <c r="AW1541" s="36"/>
      <c r="AX1541" s="34"/>
    </row>
    <row r="1542" ht="14.5" spans="1:50">
      <c r="A1542" s="32"/>
      <c r="B1542" s="36"/>
      <c r="C1542" s="91" t="s">
        <v>1473</v>
      </c>
      <c r="D1542" s="69" t="s">
        <v>27</v>
      </c>
      <c r="E1542" s="107" t="s">
        <v>1591</v>
      </c>
      <c r="F1542" s="107" t="s">
        <v>1591</v>
      </c>
      <c r="G1542" s="107" t="s">
        <v>1591</v>
      </c>
      <c r="H1542" s="107" t="s">
        <v>1591</v>
      </c>
      <c r="I1542" s="71">
        <v>0.9</v>
      </c>
      <c r="J1542" s="72">
        <v>0</v>
      </c>
      <c r="K1542" s="72">
        <v>0</v>
      </c>
      <c r="L1542" s="73">
        <v>0</v>
      </c>
      <c r="M1542" s="72">
        <v>0</v>
      </c>
      <c r="N1542" s="74">
        <v>0.9</v>
      </c>
      <c r="O1542" s="72">
        <v>0</v>
      </c>
      <c r="P1542" s="72">
        <v>0</v>
      </c>
      <c r="Q1542" s="72">
        <v>0</v>
      </c>
      <c r="R1542" s="72">
        <v>0</v>
      </c>
      <c r="S1542" s="74">
        <v>0.9</v>
      </c>
      <c r="T1542" s="72">
        <v>0</v>
      </c>
      <c r="U1542" s="72">
        <v>0</v>
      </c>
      <c r="V1542" s="72">
        <v>0</v>
      </c>
      <c r="W1542" s="72">
        <v>1</v>
      </c>
      <c r="X1542" s="74">
        <v>0.92</v>
      </c>
      <c r="Y1542" s="74">
        <v>0</v>
      </c>
      <c r="Z1542" s="74">
        <v>0</v>
      </c>
      <c r="AA1542" s="74">
        <v>0</v>
      </c>
      <c r="AB1542" s="74">
        <v>0</v>
      </c>
      <c r="AC1542" s="74">
        <v>0.92</v>
      </c>
      <c r="AD1542" s="72">
        <v>0.98041958041958</v>
      </c>
      <c r="AE1542" s="72">
        <v>0.988888888888889</v>
      </c>
      <c r="AF1542" s="72">
        <v>0.990491283676704</v>
      </c>
      <c r="AG1542" s="72">
        <v>0.983241365215614</v>
      </c>
      <c r="AH1542" s="74">
        <v>0.92</v>
      </c>
      <c r="AI1542" s="72">
        <v>0</v>
      </c>
      <c r="AJ1542" s="72">
        <v>0</v>
      </c>
      <c r="AK1542" s="72">
        <v>0</v>
      </c>
      <c r="AL1542" s="72">
        <v>1</v>
      </c>
      <c r="AM1542" s="71">
        <v>0.99</v>
      </c>
      <c r="AN1542" s="76">
        <v>1</v>
      </c>
      <c r="AO1542" s="76">
        <v>1</v>
      </c>
      <c r="AP1542" s="76">
        <v>1</v>
      </c>
      <c r="AQ1542" s="76">
        <v>1</v>
      </c>
      <c r="AR1542" s="96">
        <v>0.110069253262963</v>
      </c>
      <c r="AS1542" s="80">
        <v>0</v>
      </c>
      <c r="AT1542" s="80">
        <v>0</v>
      </c>
      <c r="AU1542" s="80">
        <v>0</v>
      </c>
      <c r="AV1542" s="80">
        <v>0</v>
      </c>
      <c r="AW1542" s="36"/>
      <c r="AX1542" s="34"/>
    </row>
    <row r="1543" ht="14.5" spans="1:50">
      <c r="A1543" s="32"/>
      <c r="B1543" s="36"/>
      <c r="C1543" s="91" t="s">
        <v>1473</v>
      </c>
      <c r="D1543" s="69" t="s">
        <v>27</v>
      </c>
      <c r="E1543" s="107" t="s">
        <v>1592</v>
      </c>
      <c r="F1543" s="107" t="s">
        <v>1592</v>
      </c>
      <c r="G1543" s="107" t="s">
        <v>1592</v>
      </c>
      <c r="H1543" s="107" t="s">
        <v>1592</v>
      </c>
      <c r="I1543" s="71">
        <v>0.9</v>
      </c>
      <c r="J1543" s="72">
        <v>0</v>
      </c>
      <c r="K1543" s="72">
        <v>0</v>
      </c>
      <c r="L1543" s="73">
        <v>0</v>
      </c>
      <c r="M1543" s="72">
        <v>0</v>
      </c>
      <c r="N1543" s="74">
        <v>0.9</v>
      </c>
      <c r="O1543" s="72">
        <v>0</v>
      </c>
      <c r="P1543" s="72">
        <v>0</v>
      </c>
      <c r="Q1543" s="72">
        <v>0</v>
      </c>
      <c r="R1543" s="72">
        <v>0</v>
      </c>
      <c r="S1543" s="74">
        <v>0.9</v>
      </c>
      <c r="T1543" s="72">
        <v>0</v>
      </c>
      <c r="U1543" s="72">
        <v>0</v>
      </c>
      <c r="V1543" s="72">
        <v>0</v>
      </c>
      <c r="W1543" s="72">
        <v>0</v>
      </c>
      <c r="X1543" s="74">
        <v>0.92</v>
      </c>
      <c r="Y1543" s="74">
        <v>0</v>
      </c>
      <c r="Z1543" s="74">
        <v>0</v>
      </c>
      <c r="AA1543" s="74">
        <v>0</v>
      </c>
      <c r="AB1543" s="74">
        <v>0</v>
      </c>
      <c r="AC1543" s="74">
        <v>0.92</v>
      </c>
      <c r="AD1543" s="72">
        <v>0.989583333333333</v>
      </c>
      <c r="AE1543" s="72">
        <v>1</v>
      </c>
      <c r="AF1543" s="72">
        <v>0.977578475336323</v>
      </c>
      <c r="AG1543" s="72">
        <v>0.97544128933231</v>
      </c>
      <c r="AH1543" s="74">
        <v>0.92</v>
      </c>
      <c r="AI1543" s="72">
        <v>0</v>
      </c>
      <c r="AJ1543" s="72">
        <v>0</v>
      </c>
      <c r="AK1543" s="72">
        <v>0</v>
      </c>
      <c r="AL1543" s="72">
        <v>0</v>
      </c>
      <c r="AM1543" s="71">
        <v>0.99</v>
      </c>
      <c r="AN1543" s="76">
        <v>0</v>
      </c>
      <c r="AO1543" s="76">
        <v>1</v>
      </c>
      <c r="AP1543" s="76">
        <v>1</v>
      </c>
      <c r="AQ1543" s="76">
        <v>1</v>
      </c>
      <c r="AR1543" s="96">
        <v>0.110069253262963</v>
      </c>
      <c r="AS1543" s="80">
        <v>0</v>
      </c>
      <c r="AT1543" s="80">
        <v>0</v>
      </c>
      <c r="AU1543" s="80">
        <v>0</v>
      </c>
      <c r="AV1543" s="80">
        <v>0</v>
      </c>
      <c r="AW1543" s="36"/>
      <c r="AX1543" s="34"/>
    </row>
    <row r="1544" ht="14.5" spans="1:50">
      <c r="A1544" s="32"/>
      <c r="B1544" s="36"/>
      <c r="C1544" s="91" t="s">
        <v>1473</v>
      </c>
      <c r="D1544" s="69" t="s">
        <v>27</v>
      </c>
      <c r="E1544" s="107" t="s">
        <v>1593</v>
      </c>
      <c r="F1544" s="107" t="s">
        <v>1593</v>
      </c>
      <c r="G1544" s="107" t="s">
        <v>1593</v>
      </c>
      <c r="H1544" s="107" t="s">
        <v>1593</v>
      </c>
      <c r="I1544" s="71">
        <v>0.9</v>
      </c>
      <c r="J1544" s="72">
        <v>0.909090909090909</v>
      </c>
      <c r="K1544" s="72">
        <v>0.935483870967742</v>
      </c>
      <c r="L1544" s="73">
        <v>0.870967741935484</v>
      </c>
      <c r="M1544" s="72">
        <v>0.924398625429553</v>
      </c>
      <c r="N1544" s="74">
        <v>0.9</v>
      </c>
      <c r="O1544" s="72">
        <v>0.938114154296467</v>
      </c>
      <c r="P1544" s="72">
        <v>0.976318997039875</v>
      </c>
      <c r="Q1544" s="72">
        <v>0.964049195837275</v>
      </c>
      <c r="R1544" s="72">
        <v>0.949928334782302</v>
      </c>
      <c r="S1544" s="74">
        <v>0.9</v>
      </c>
      <c r="T1544" s="72">
        <v>0.794271377796362</v>
      </c>
      <c r="U1544" s="72">
        <v>0.850774856346857</v>
      </c>
      <c r="V1544" s="72">
        <v>0.887417218543046</v>
      </c>
      <c r="W1544" s="72">
        <v>0.862825724288635</v>
      </c>
      <c r="X1544" s="74">
        <v>0.92</v>
      </c>
      <c r="Y1544" s="74">
        <v>0</v>
      </c>
      <c r="Z1544" s="74">
        <v>0</v>
      </c>
      <c r="AA1544" s="74">
        <v>0</v>
      </c>
      <c r="AB1544" s="74">
        <v>0.5</v>
      </c>
      <c r="AC1544" s="74">
        <v>0.92</v>
      </c>
      <c r="AD1544" s="72">
        <v>0.979166666666667</v>
      </c>
      <c r="AE1544" s="72">
        <v>0.933333333333333</v>
      </c>
      <c r="AF1544" s="72">
        <v>0.633333333333333</v>
      </c>
      <c r="AG1544" s="72">
        <v>0.863636363636364</v>
      </c>
      <c r="AH1544" s="74">
        <v>0.92</v>
      </c>
      <c r="AI1544" s="72">
        <v>0.874555718168514</v>
      </c>
      <c r="AJ1544" s="72">
        <v>0.905101863137733</v>
      </c>
      <c r="AK1544" s="72">
        <v>0.932355723746452</v>
      </c>
      <c r="AL1544" s="72">
        <v>0.920304496969127</v>
      </c>
      <c r="AM1544" s="71">
        <v>0.99</v>
      </c>
      <c r="AN1544" s="76">
        <v>0</v>
      </c>
      <c r="AO1544" s="76">
        <v>0</v>
      </c>
      <c r="AP1544" s="76">
        <v>1</v>
      </c>
      <c r="AQ1544" s="76">
        <v>1</v>
      </c>
      <c r="AR1544" s="96">
        <v>0.110069253262963</v>
      </c>
      <c r="AS1544" s="80">
        <v>0.175</v>
      </c>
      <c r="AT1544" s="80">
        <v>0.0681818181818182</v>
      </c>
      <c r="AU1544" s="80">
        <v>0.111111111111111</v>
      </c>
      <c r="AV1544" s="80">
        <v>0.0764872521246459</v>
      </c>
      <c r="AW1544" s="36"/>
      <c r="AX1544" s="34"/>
    </row>
    <row r="1545" ht="14.5" spans="1:50">
      <c r="A1545" s="32"/>
      <c r="B1545" s="36"/>
      <c r="C1545" s="91" t="s">
        <v>1473</v>
      </c>
      <c r="D1545" s="69" t="s">
        <v>27</v>
      </c>
      <c r="E1545" s="107" t="s">
        <v>1594</v>
      </c>
      <c r="F1545" s="107" t="s">
        <v>1594</v>
      </c>
      <c r="G1545" s="107" t="s">
        <v>1594</v>
      </c>
      <c r="H1545" s="107" t="s">
        <v>1594</v>
      </c>
      <c r="I1545" s="71">
        <v>0.9</v>
      </c>
      <c r="J1545" s="72">
        <v>0.785714285714286</v>
      </c>
      <c r="K1545" s="72">
        <v>0.833333333333333</v>
      </c>
      <c r="L1545" s="73">
        <v>0.903225806451613</v>
      </c>
      <c r="M1545" s="72">
        <v>0.879699248120301</v>
      </c>
      <c r="N1545" s="74">
        <v>0.9</v>
      </c>
      <c r="O1545" s="72">
        <v>0.918203309692671</v>
      </c>
      <c r="P1545" s="72">
        <v>0.944006012777151</v>
      </c>
      <c r="Q1545" s="72">
        <v>0.880287310454908</v>
      </c>
      <c r="R1545" s="72">
        <v>0.903442723871762</v>
      </c>
      <c r="S1545" s="74">
        <v>0.9</v>
      </c>
      <c r="T1545" s="72">
        <v>0.904491725768321</v>
      </c>
      <c r="U1545" s="72">
        <v>0.944757609921082</v>
      </c>
      <c r="V1545" s="72">
        <v>0.891061452513967</v>
      </c>
      <c r="W1545" s="72">
        <v>0.900506700762419</v>
      </c>
      <c r="X1545" s="74">
        <v>0.92</v>
      </c>
      <c r="Y1545" s="74">
        <v>0.943865740740741</v>
      </c>
      <c r="Z1545" s="74">
        <v>0.945083682008368</v>
      </c>
      <c r="AA1545" s="74">
        <v>0.963363081258807</v>
      </c>
      <c r="AB1545" s="74">
        <v>0.92483135239319</v>
      </c>
      <c r="AC1545" s="74">
        <v>0.92</v>
      </c>
      <c r="AD1545" s="72">
        <v>0.96</v>
      </c>
      <c r="AE1545" s="72">
        <v>0.955555555555556</v>
      </c>
      <c r="AF1545" s="72">
        <v>0.9375</v>
      </c>
      <c r="AG1545" s="72">
        <v>0.927069645203679</v>
      </c>
      <c r="AH1545" s="74">
        <v>0.92</v>
      </c>
      <c r="AI1545" s="72">
        <v>0.949258391881343</v>
      </c>
      <c r="AJ1545" s="72">
        <v>0.962169254318828</v>
      </c>
      <c r="AK1545" s="72">
        <v>0.971742881794651</v>
      </c>
      <c r="AL1545" s="72">
        <v>0.954150197628459</v>
      </c>
      <c r="AM1545" s="71">
        <v>0.99</v>
      </c>
      <c r="AN1545" s="76">
        <v>1</v>
      </c>
      <c r="AO1545" s="76">
        <v>1</v>
      </c>
      <c r="AP1545" s="76">
        <v>1</v>
      </c>
      <c r="AQ1545" s="76">
        <v>1</v>
      </c>
      <c r="AR1545" s="96">
        <v>0.110069253262963</v>
      </c>
      <c r="AS1545" s="80">
        <v>0</v>
      </c>
      <c r="AT1545" s="80">
        <v>0.0526315789473684</v>
      </c>
      <c r="AU1545" s="80">
        <v>0.0869565217391304</v>
      </c>
      <c r="AV1545" s="80">
        <v>0.0852272727272727</v>
      </c>
      <c r="AW1545" s="36"/>
      <c r="AX1545" s="34"/>
    </row>
    <row r="1546" ht="14.5" spans="1:50">
      <c r="A1546" s="32"/>
      <c r="B1546" s="36"/>
      <c r="C1546" s="91" t="s">
        <v>1473</v>
      </c>
      <c r="D1546" s="69" t="s">
        <v>27</v>
      </c>
      <c r="E1546" s="107" t="s">
        <v>1595</v>
      </c>
      <c r="F1546" s="107" t="s">
        <v>1595</v>
      </c>
      <c r="G1546" s="107" t="s">
        <v>1595</v>
      </c>
      <c r="H1546" s="107" t="s">
        <v>1595</v>
      </c>
      <c r="I1546" s="71">
        <v>0.9</v>
      </c>
      <c r="J1546" s="72">
        <v>1</v>
      </c>
      <c r="K1546" s="72">
        <v>1</v>
      </c>
      <c r="L1546" s="73">
        <v>1</v>
      </c>
      <c r="M1546" s="72">
        <v>1</v>
      </c>
      <c r="N1546" s="74">
        <v>0.9</v>
      </c>
      <c r="O1546" s="72">
        <v>0.99897066392177</v>
      </c>
      <c r="P1546" s="72">
        <v>0.996499416569428</v>
      </c>
      <c r="Q1546" s="72">
        <v>0.994479495268139</v>
      </c>
      <c r="R1546" s="72">
        <v>0.987382745408905</v>
      </c>
      <c r="S1546" s="74">
        <v>0.9</v>
      </c>
      <c r="T1546" s="72">
        <v>0.970149253731343</v>
      </c>
      <c r="U1546" s="72">
        <v>0.977829638273045</v>
      </c>
      <c r="V1546" s="72">
        <v>0.951892744479495</v>
      </c>
      <c r="W1546" s="72">
        <v>0.965847536002114</v>
      </c>
      <c r="X1546" s="74">
        <v>0.92</v>
      </c>
      <c r="Y1546" s="74">
        <v>0</v>
      </c>
      <c r="Z1546" s="74">
        <v>0</v>
      </c>
      <c r="AA1546" s="74">
        <v>0</v>
      </c>
      <c r="AB1546" s="74">
        <v>0</v>
      </c>
      <c r="AC1546" s="74">
        <v>0.92</v>
      </c>
      <c r="AD1546" s="72">
        <v>1</v>
      </c>
      <c r="AE1546" s="72">
        <v>1</v>
      </c>
      <c r="AF1546" s="72">
        <v>1</v>
      </c>
      <c r="AG1546" s="72">
        <v>0.994423791821561</v>
      </c>
      <c r="AH1546" s="74">
        <v>0.92</v>
      </c>
      <c r="AI1546" s="72">
        <v>0.979413278435409</v>
      </c>
      <c r="AJ1546" s="72">
        <v>0.992415402567094</v>
      </c>
      <c r="AK1546" s="72">
        <v>0.988958990536278</v>
      </c>
      <c r="AL1546" s="72">
        <v>0.984674329501916</v>
      </c>
      <c r="AM1546" s="71">
        <v>0.99</v>
      </c>
      <c r="AN1546" s="76">
        <v>1</v>
      </c>
      <c r="AO1546" s="76">
        <v>1</v>
      </c>
      <c r="AP1546" s="76">
        <v>1</v>
      </c>
      <c r="AQ1546" s="76">
        <v>1</v>
      </c>
      <c r="AR1546" s="96">
        <v>0.110069253262963</v>
      </c>
      <c r="AS1546" s="80">
        <v>0</v>
      </c>
      <c r="AT1546" s="80">
        <v>0.1</v>
      </c>
      <c r="AU1546" s="80">
        <v>0.2</v>
      </c>
      <c r="AV1546" s="80">
        <v>0.075</v>
      </c>
      <c r="AW1546" s="36"/>
      <c r="AX1546" s="34"/>
    </row>
    <row r="1547" ht="14.5" spans="1:50">
      <c r="A1547" s="32"/>
      <c r="B1547" s="36"/>
      <c r="C1547" s="91" t="s">
        <v>1473</v>
      </c>
      <c r="D1547" s="69" t="s">
        <v>27</v>
      </c>
      <c r="E1547" s="107" t="s">
        <v>1596</v>
      </c>
      <c r="F1547" s="107" t="s">
        <v>1596</v>
      </c>
      <c r="G1547" s="107" t="s">
        <v>1596</v>
      </c>
      <c r="H1547" s="107" t="s">
        <v>1596</v>
      </c>
      <c r="I1547" s="71">
        <v>0.9</v>
      </c>
      <c r="J1547" s="72">
        <v>0.956521739130435</v>
      </c>
      <c r="K1547" s="72">
        <v>0.92</v>
      </c>
      <c r="L1547" s="73">
        <v>1</v>
      </c>
      <c r="M1547" s="72">
        <v>0.926940639269406</v>
      </c>
      <c r="N1547" s="74">
        <v>0.9</v>
      </c>
      <c r="O1547" s="72">
        <v>0.955437665782493</v>
      </c>
      <c r="P1547" s="72">
        <v>0.997184090109116</v>
      </c>
      <c r="Q1547" s="72">
        <v>0.996603260869565</v>
      </c>
      <c r="R1547" s="72">
        <v>0.990401396160558</v>
      </c>
      <c r="S1547" s="74">
        <v>0.9</v>
      </c>
      <c r="T1547" s="72">
        <v>0.794694960212202</v>
      </c>
      <c r="U1547" s="72">
        <v>0.850404787046815</v>
      </c>
      <c r="V1547" s="72">
        <v>0.858695652173913</v>
      </c>
      <c r="W1547" s="72">
        <v>0.850631352017247</v>
      </c>
      <c r="X1547" s="74">
        <v>0.92</v>
      </c>
      <c r="Y1547" s="74">
        <v>0</v>
      </c>
      <c r="Z1547" s="74">
        <v>0</v>
      </c>
      <c r="AA1547" s="74">
        <v>0</v>
      </c>
      <c r="AB1547" s="74">
        <v>0</v>
      </c>
      <c r="AC1547" s="74">
        <v>0.92</v>
      </c>
      <c r="AD1547" s="72">
        <v>0.8</v>
      </c>
      <c r="AE1547" s="72">
        <v>0.947368421052632</v>
      </c>
      <c r="AF1547" s="72">
        <v>1</v>
      </c>
      <c r="AG1547" s="72">
        <v>0.931034482758621</v>
      </c>
      <c r="AH1547" s="74">
        <v>0.92</v>
      </c>
      <c r="AI1547" s="72">
        <v>0.870557029177719</v>
      </c>
      <c r="AJ1547" s="72">
        <v>0.921506511791623</v>
      </c>
      <c r="AK1547" s="72">
        <v>0.955163043478261</v>
      </c>
      <c r="AL1547" s="72">
        <v>0.940765835129863</v>
      </c>
      <c r="AM1547" s="71">
        <v>0.99</v>
      </c>
      <c r="AN1547" s="76">
        <v>1</v>
      </c>
      <c r="AO1547" s="76">
        <v>1</v>
      </c>
      <c r="AP1547" s="76">
        <v>1</v>
      </c>
      <c r="AQ1547" s="76">
        <v>1</v>
      </c>
      <c r="AR1547" s="96">
        <v>0.110069253262963</v>
      </c>
      <c r="AS1547" s="80">
        <v>0.0555555555555556</v>
      </c>
      <c r="AT1547" s="80">
        <v>0.333333333333333</v>
      </c>
      <c r="AU1547" s="80">
        <v>0</v>
      </c>
      <c r="AV1547" s="80">
        <v>0.0864197530864197</v>
      </c>
      <c r="AW1547" s="36"/>
      <c r="AX1547" s="34"/>
    </row>
    <row r="1548" ht="14.5" spans="1:50">
      <c r="A1548" s="32"/>
      <c r="B1548" s="36"/>
      <c r="C1548" s="91" t="s">
        <v>1473</v>
      </c>
      <c r="D1548" s="69" t="s">
        <v>27</v>
      </c>
      <c r="E1548" s="107" t="s">
        <v>1597</v>
      </c>
      <c r="F1548" s="107" t="s">
        <v>1597</v>
      </c>
      <c r="G1548" s="107" t="s">
        <v>1597</v>
      </c>
      <c r="H1548" s="107" t="s">
        <v>1597</v>
      </c>
      <c r="I1548" s="71">
        <v>0.9</v>
      </c>
      <c r="J1548" s="72">
        <v>0.96551724137931</v>
      </c>
      <c r="K1548" s="72">
        <v>1</v>
      </c>
      <c r="L1548" s="73">
        <v>1</v>
      </c>
      <c r="M1548" s="72">
        <v>0.988235294117647</v>
      </c>
      <c r="N1548" s="74">
        <v>0.9</v>
      </c>
      <c r="O1548" s="72">
        <v>0.948089700996678</v>
      </c>
      <c r="P1548" s="72">
        <v>0.9533527696793</v>
      </c>
      <c r="Q1548" s="72">
        <v>0.94989010989011</v>
      </c>
      <c r="R1548" s="72">
        <v>0.94482047604106</v>
      </c>
      <c r="S1548" s="74">
        <v>0.9</v>
      </c>
      <c r="T1548" s="72">
        <v>0.907392026578073</v>
      </c>
      <c r="U1548" s="72">
        <v>0.908163265306122</v>
      </c>
      <c r="V1548" s="72">
        <v>0.925714285714286</v>
      </c>
      <c r="W1548" s="72">
        <v>0.935452059706845</v>
      </c>
      <c r="X1548" s="74">
        <v>0.92</v>
      </c>
      <c r="Y1548" s="74">
        <v>0</v>
      </c>
      <c r="Z1548" s="74">
        <v>0</v>
      </c>
      <c r="AA1548" s="74">
        <v>0</v>
      </c>
      <c r="AB1548" s="74">
        <v>0</v>
      </c>
      <c r="AC1548" s="74">
        <v>0.92</v>
      </c>
      <c r="AD1548" s="72">
        <v>0.985074626865672</v>
      </c>
      <c r="AE1548" s="72">
        <v>1</v>
      </c>
      <c r="AF1548" s="72">
        <v>0.987341772151899</v>
      </c>
      <c r="AG1548" s="72">
        <v>0.983098591549296</v>
      </c>
      <c r="AH1548" s="74">
        <v>0.92</v>
      </c>
      <c r="AI1548" s="72">
        <v>0.965946843853821</v>
      </c>
      <c r="AJ1548" s="72">
        <v>0.967201166180758</v>
      </c>
      <c r="AK1548" s="72">
        <v>0.970989010989011</v>
      </c>
      <c r="AL1548" s="72">
        <v>0.977273746021785</v>
      </c>
      <c r="AM1548" s="71">
        <v>0.99</v>
      </c>
      <c r="AN1548" s="76">
        <v>1</v>
      </c>
      <c r="AO1548" s="76">
        <v>1</v>
      </c>
      <c r="AP1548" s="76">
        <v>1</v>
      </c>
      <c r="AQ1548" s="76">
        <v>1</v>
      </c>
      <c r="AR1548" s="96">
        <v>0.110069253262963</v>
      </c>
      <c r="AS1548" s="80">
        <v>0.130434782608696</v>
      </c>
      <c r="AT1548" s="80">
        <v>0.153846153846154</v>
      </c>
      <c r="AU1548" s="80">
        <v>0.0588235294117647</v>
      </c>
      <c r="AV1548" s="80">
        <v>0.0774647887323944</v>
      </c>
      <c r="AW1548" s="36"/>
      <c r="AX1548" s="34"/>
    </row>
    <row r="1549" ht="14.5" spans="1:50">
      <c r="A1549" s="32"/>
      <c r="B1549" s="36"/>
      <c r="C1549" s="91" t="s">
        <v>1473</v>
      </c>
      <c r="D1549" s="69" t="s">
        <v>27</v>
      </c>
      <c r="E1549" s="107" t="s">
        <v>1598</v>
      </c>
      <c r="F1549" s="107" t="s">
        <v>1598</v>
      </c>
      <c r="G1549" s="107" t="s">
        <v>1598</v>
      </c>
      <c r="H1549" s="107" t="s">
        <v>1598</v>
      </c>
      <c r="I1549" s="71">
        <v>0.9</v>
      </c>
      <c r="J1549" s="72">
        <v>1</v>
      </c>
      <c r="K1549" s="72">
        <v>1</v>
      </c>
      <c r="L1549" s="73">
        <v>1</v>
      </c>
      <c r="M1549" s="72">
        <v>1</v>
      </c>
      <c r="N1549" s="74">
        <v>0.9</v>
      </c>
      <c r="O1549" s="72">
        <v>0.965136548518303</v>
      </c>
      <c r="P1549" s="72">
        <v>0.954861111111111</v>
      </c>
      <c r="Q1549" s="72">
        <v>0.913693901035673</v>
      </c>
      <c r="R1549" s="72">
        <v>0.926411440488604</v>
      </c>
      <c r="S1549" s="74">
        <v>0.9</v>
      </c>
      <c r="T1549" s="72">
        <v>0.377687391051714</v>
      </c>
      <c r="U1549" s="72">
        <v>0.645138888888889</v>
      </c>
      <c r="V1549" s="72">
        <v>0.55638665132336</v>
      </c>
      <c r="W1549" s="72">
        <v>0.624608967674661</v>
      </c>
      <c r="X1549" s="74">
        <v>0.92</v>
      </c>
      <c r="Y1549" s="74">
        <v>0</v>
      </c>
      <c r="Z1549" s="74">
        <v>0</v>
      </c>
      <c r="AA1549" s="74">
        <v>0</v>
      </c>
      <c r="AB1549" s="74">
        <v>0</v>
      </c>
      <c r="AC1549" s="74">
        <v>0.92</v>
      </c>
      <c r="AD1549" s="72">
        <v>0.827586206896552</v>
      </c>
      <c r="AE1549" s="72">
        <v>1</v>
      </c>
      <c r="AF1549" s="72">
        <v>1</v>
      </c>
      <c r="AG1549" s="72">
        <v>0.976958525345622</v>
      </c>
      <c r="AH1549" s="74">
        <v>0.92</v>
      </c>
      <c r="AI1549" s="72">
        <v>0.925624636839047</v>
      </c>
      <c r="AJ1549" s="72">
        <v>0.957638888888889</v>
      </c>
      <c r="AK1549" s="72">
        <v>0.915995397008055</v>
      </c>
      <c r="AL1549" s="72">
        <v>0.923804558319678</v>
      </c>
      <c r="AM1549" s="71">
        <v>0.99</v>
      </c>
      <c r="AN1549" s="76">
        <v>1</v>
      </c>
      <c r="AO1549" s="76">
        <v>1</v>
      </c>
      <c r="AP1549" s="76">
        <v>1</v>
      </c>
      <c r="AQ1549" s="76">
        <v>1</v>
      </c>
      <c r="AR1549" s="96">
        <v>0.110069253262963</v>
      </c>
      <c r="AS1549" s="80">
        <v>0.125</v>
      </c>
      <c r="AT1549" s="80">
        <v>0.125</v>
      </c>
      <c r="AU1549" s="80">
        <v>0</v>
      </c>
      <c r="AV1549" s="80">
        <v>0.078125</v>
      </c>
      <c r="AW1549" s="36"/>
      <c r="AX1549" s="34"/>
    </row>
    <row r="1550" ht="14.5" spans="1:50">
      <c r="A1550" s="32"/>
      <c r="B1550" s="36"/>
      <c r="C1550" s="91" t="s">
        <v>1473</v>
      </c>
      <c r="D1550" s="69" t="s">
        <v>27</v>
      </c>
      <c r="E1550" s="107" t="s">
        <v>1599</v>
      </c>
      <c r="F1550" s="107" t="s">
        <v>1599</v>
      </c>
      <c r="G1550" s="107" t="s">
        <v>1599</v>
      </c>
      <c r="H1550" s="107" t="s">
        <v>1599</v>
      </c>
      <c r="I1550" s="71">
        <v>0.9</v>
      </c>
      <c r="J1550" s="72">
        <v>0.884615384615385</v>
      </c>
      <c r="K1550" s="72">
        <v>0.857142857142857</v>
      </c>
      <c r="L1550" s="73">
        <v>0.92</v>
      </c>
      <c r="M1550" s="72">
        <v>0.886554621848739</v>
      </c>
      <c r="N1550" s="74">
        <v>0.9</v>
      </c>
      <c r="O1550" s="72">
        <v>0.659286186384666</v>
      </c>
      <c r="P1550" s="72">
        <v>0.854238588415804</v>
      </c>
      <c r="Q1550" s="72">
        <v>0.821549966009517</v>
      </c>
      <c r="R1550" s="72">
        <v>0.837434876530137</v>
      </c>
      <c r="S1550" s="74">
        <v>0.9</v>
      </c>
      <c r="T1550" s="72">
        <v>0.433906146728354</v>
      </c>
      <c r="U1550" s="72">
        <v>0.514384349827388</v>
      </c>
      <c r="V1550" s="72">
        <v>0.502039428959891</v>
      </c>
      <c r="W1550" s="72">
        <v>0.504214494472447</v>
      </c>
      <c r="X1550" s="74">
        <v>0.92</v>
      </c>
      <c r="Y1550" s="74">
        <v>0</v>
      </c>
      <c r="Z1550" s="74">
        <v>0</v>
      </c>
      <c r="AA1550" s="74">
        <v>0</v>
      </c>
      <c r="AB1550" s="74">
        <v>0</v>
      </c>
      <c r="AC1550" s="74">
        <v>0.92</v>
      </c>
      <c r="AD1550" s="72">
        <v>0.993827160493827</v>
      </c>
      <c r="AE1550" s="72">
        <v>1</v>
      </c>
      <c r="AF1550" s="72">
        <v>0.992307692307692</v>
      </c>
      <c r="AG1550" s="72">
        <v>0.990572878897752</v>
      </c>
      <c r="AH1550" s="74">
        <v>0.92</v>
      </c>
      <c r="AI1550" s="72">
        <v>0.823859881031064</v>
      </c>
      <c r="AJ1550" s="72">
        <v>0.902570003835827</v>
      </c>
      <c r="AK1550" s="72">
        <v>0.863358259687288</v>
      </c>
      <c r="AL1550" s="72">
        <v>0.860011012749375</v>
      </c>
      <c r="AM1550" s="71">
        <v>0.99</v>
      </c>
      <c r="AN1550" s="76">
        <v>1</v>
      </c>
      <c r="AO1550" s="76">
        <v>1</v>
      </c>
      <c r="AP1550" s="76">
        <v>1</v>
      </c>
      <c r="AQ1550" s="76">
        <v>1</v>
      </c>
      <c r="AR1550" s="96">
        <v>0.110069253262963</v>
      </c>
      <c r="AS1550" s="80">
        <v>0.09</v>
      </c>
      <c r="AT1550" s="80">
        <v>0.018018018018018</v>
      </c>
      <c r="AU1550" s="80">
        <v>0.138888888888889</v>
      </c>
      <c r="AV1550" s="80">
        <v>0.0555555555555556</v>
      </c>
      <c r="AW1550" s="36"/>
      <c r="AX1550" s="34"/>
    </row>
    <row r="1551" ht="14.5" spans="1:50">
      <c r="A1551" s="32"/>
      <c r="B1551" s="36"/>
      <c r="C1551" s="91" t="s">
        <v>1473</v>
      </c>
      <c r="D1551" s="69" t="s">
        <v>27</v>
      </c>
      <c r="E1551" s="107" t="s">
        <v>1600</v>
      </c>
      <c r="F1551" s="107" t="s">
        <v>1600</v>
      </c>
      <c r="G1551" s="107" t="s">
        <v>1600</v>
      </c>
      <c r="H1551" s="107" t="s">
        <v>1600</v>
      </c>
      <c r="I1551" s="71">
        <v>0.9</v>
      </c>
      <c r="J1551" s="72">
        <v>1</v>
      </c>
      <c r="K1551" s="72">
        <v>1</v>
      </c>
      <c r="L1551" s="73">
        <v>0.95</v>
      </c>
      <c r="M1551" s="72">
        <v>0.930232558139535</v>
      </c>
      <c r="N1551" s="74">
        <v>0.9</v>
      </c>
      <c r="O1551" s="72">
        <v>0</v>
      </c>
      <c r="P1551" s="72">
        <v>0</v>
      </c>
      <c r="Q1551" s="72">
        <v>0</v>
      </c>
      <c r="R1551" s="72">
        <v>0</v>
      </c>
      <c r="S1551" s="74">
        <v>0.9</v>
      </c>
      <c r="T1551" s="72">
        <v>0</v>
      </c>
      <c r="U1551" s="72">
        <v>0</v>
      </c>
      <c r="V1551" s="72">
        <v>0</v>
      </c>
      <c r="W1551" s="72">
        <v>0</v>
      </c>
      <c r="X1551" s="74">
        <v>0.92</v>
      </c>
      <c r="Y1551" s="74">
        <v>0</v>
      </c>
      <c r="Z1551" s="74">
        <v>0</v>
      </c>
      <c r="AA1551" s="74">
        <v>0</v>
      </c>
      <c r="AB1551" s="74">
        <v>0</v>
      </c>
      <c r="AC1551" s="74">
        <v>0.92</v>
      </c>
      <c r="AD1551" s="72">
        <v>0.722222222222222</v>
      </c>
      <c r="AE1551" s="72">
        <v>0.904761904761905</v>
      </c>
      <c r="AF1551" s="72">
        <v>0.758620689655172</v>
      </c>
      <c r="AG1551" s="72">
        <v>0.808080808080808</v>
      </c>
      <c r="AH1551" s="74">
        <v>0.92</v>
      </c>
      <c r="AI1551" s="72">
        <v>0.945709946848899</v>
      </c>
      <c r="AJ1551" s="72">
        <v>0.963389121338912</v>
      </c>
      <c r="AK1551" s="72">
        <v>0.978953049109552</v>
      </c>
      <c r="AL1551" s="72">
        <v>0.973246713386874</v>
      </c>
      <c r="AM1551" s="71">
        <v>0.99</v>
      </c>
      <c r="AN1551" s="76">
        <v>1</v>
      </c>
      <c r="AO1551" s="76">
        <v>1</v>
      </c>
      <c r="AP1551" s="76">
        <v>1</v>
      </c>
      <c r="AQ1551" s="76">
        <v>1</v>
      </c>
      <c r="AR1551" s="96">
        <v>0.110069253262963</v>
      </c>
      <c r="AS1551" s="80">
        <v>0.125</v>
      </c>
      <c r="AT1551" s="80">
        <v>0</v>
      </c>
      <c r="AU1551" s="80">
        <v>0.0666666666666667</v>
      </c>
      <c r="AV1551" s="80">
        <v>0.0734463276836158</v>
      </c>
      <c r="AW1551" s="36"/>
      <c r="AX1551" s="34"/>
    </row>
    <row r="1552" ht="14.5" spans="1:50">
      <c r="A1552" s="32"/>
      <c r="B1552" s="36"/>
      <c r="C1552" s="91" t="s">
        <v>1473</v>
      </c>
      <c r="D1552" s="69" t="s">
        <v>27</v>
      </c>
      <c r="E1552" s="107" t="s">
        <v>1601</v>
      </c>
      <c r="F1552" s="107" t="s">
        <v>1601</v>
      </c>
      <c r="G1552" s="107" t="s">
        <v>1601</v>
      </c>
      <c r="H1552" s="107" t="s">
        <v>1601</v>
      </c>
      <c r="I1552" s="71">
        <v>0.9</v>
      </c>
      <c r="J1552" s="72">
        <v>1</v>
      </c>
      <c r="K1552" s="72">
        <v>0.972222222222222</v>
      </c>
      <c r="L1552" s="73">
        <v>1</v>
      </c>
      <c r="M1552" s="72">
        <v>0.959119496855346</v>
      </c>
      <c r="N1552" s="74">
        <v>0.9</v>
      </c>
      <c r="O1552" s="72">
        <v>0.988543371522095</v>
      </c>
      <c r="P1552" s="72">
        <v>0.988711194731891</v>
      </c>
      <c r="Q1552" s="72">
        <v>0.982701812191104</v>
      </c>
      <c r="R1552" s="72">
        <v>0.971425225436234</v>
      </c>
      <c r="S1552" s="74">
        <v>0.9</v>
      </c>
      <c r="T1552" s="72">
        <v>0.864975450081833</v>
      </c>
      <c r="U1552" s="72">
        <v>0.887817497648166</v>
      </c>
      <c r="V1552" s="72">
        <v>0.900054914881933</v>
      </c>
      <c r="W1552" s="72">
        <v>0.873111605574423</v>
      </c>
      <c r="X1552" s="74">
        <v>0.92</v>
      </c>
      <c r="Y1552" s="74">
        <v>0</v>
      </c>
      <c r="Z1552" s="74">
        <v>0</v>
      </c>
      <c r="AA1552" s="74">
        <v>0</v>
      </c>
      <c r="AB1552" s="74">
        <v>0</v>
      </c>
      <c r="AC1552" s="74">
        <v>0.92</v>
      </c>
      <c r="AD1552" s="72">
        <v>0.898876404494382</v>
      </c>
      <c r="AE1552" s="72">
        <v>0.989010989010989</v>
      </c>
      <c r="AF1552" s="72">
        <v>1</v>
      </c>
      <c r="AG1552" s="72">
        <v>0.987012987012987</v>
      </c>
      <c r="AH1552" s="74">
        <v>0.92</v>
      </c>
      <c r="AI1552" s="72">
        <v>0.921440261865794</v>
      </c>
      <c r="AJ1552" s="72">
        <v>0.962605832549388</v>
      </c>
      <c r="AK1552" s="72">
        <v>0.974190005491488</v>
      </c>
      <c r="AL1552" s="72">
        <v>0.963316450507949</v>
      </c>
      <c r="AM1552" s="71">
        <v>0.99</v>
      </c>
      <c r="AN1552" s="76">
        <v>1</v>
      </c>
      <c r="AO1552" s="76">
        <v>1</v>
      </c>
      <c r="AP1552" s="76">
        <v>1</v>
      </c>
      <c r="AQ1552" s="76">
        <v>1</v>
      </c>
      <c r="AR1552" s="96">
        <v>0.110069253262963</v>
      </c>
      <c r="AS1552" s="80">
        <v>0.0824742268041237</v>
      </c>
      <c r="AT1552" s="80">
        <v>0.00793650793650794</v>
      </c>
      <c r="AU1552" s="80">
        <v>0.0892857142857143</v>
      </c>
      <c r="AV1552" s="80">
        <v>0.0505747126436782</v>
      </c>
      <c r="AW1552" s="36"/>
      <c r="AX1552" s="34"/>
    </row>
    <row r="1553" ht="14.5" spans="1:50">
      <c r="A1553" s="32"/>
      <c r="B1553" s="36"/>
      <c r="C1553" s="91" t="s">
        <v>1473</v>
      </c>
      <c r="D1553" s="69" t="s">
        <v>27</v>
      </c>
      <c r="E1553" s="107" t="s">
        <v>1602</v>
      </c>
      <c r="F1553" s="107" t="s">
        <v>1602</v>
      </c>
      <c r="G1553" s="107" t="s">
        <v>1602</v>
      </c>
      <c r="H1553" s="107" t="s">
        <v>1602</v>
      </c>
      <c r="I1553" s="71">
        <v>0.9</v>
      </c>
      <c r="J1553" s="72">
        <v>0</v>
      </c>
      <c r="K1553" s="72">
        <v>0</v>
      </c>
      <c r="L1553" s="73">
        <v>0</v>
      </c>
      <c r="M1553" s="72">
        <v>0</v>
      </c>
      <c r="N1553" s="74">
        <v>0.9</v>
      </c>
      <c r="O1553" s="72">
        <v>0</v>
      </c>
      <c r="P1553" s="72">
        <v>0</v>
      </c>
      <c r="Q1553" s="72">
        <v>0</v>
      </c>
      <c r="R1553" s="72">
        <v>0</v>
      </c>
      <c r="S1553" s="74">
        <v>0.9</v>
      </c>
      <c r="T1553" s="72">
        <v>0</v>
      </c>
      <c r="U1553" s="72">
        <v>0</v>
      </c>
      <c r="V1553" s="72">
        <v>0</v>
      </c>
      <c r="W1553" s="72">
        <v>0</v>
      </c>
      <c r="X1553" s="74">
        <v>0.92</v>
      </c>
      <c r="Y1553" s="74">
        <v>0</v>
      </c>
      <c r="Z1553" s="74">
        <v>0</v>
      </c>
      <c r="AA1553" s="74">
        <v>0</v>
      </c>
      <c r="AB1553" s="74">
        <v>0</v>
      </c>
      <c r="AC1553" s="74">
        <v>0.92</v>
      </c>
      <c r="AD1553" s="72">
        <v>0</v>
      </c>
      <c r="AE1553" s="72">
        <v>0</v>
      </c>
      <c r="AF1553" s="72">
        <v>0</v>
      </c>
      <c r="AG1553" s="72">
        <v>0</v>
      </c>
      <c r="AH1553" s="74">
        <v>0.92</v>
      </c>
      <c r="AI1553" s="72">
        <v>0</v>
      </c>
      <c r="AJ1553" s="72">
        <v>0</v>
      </c>
      <c r="AK1553" s="72">
        <v>0</v>
      </c>
      <c r="AL1553" s="72">
        <v>0</v>
      </c>
      <c r="AM1553" s="71">
        <v>0.99</v>
      </c>
      <c r="AN1553" s="76">
        <v>0</v>
      </c>
      <c r="AO1553" s="76">
        <v>0</v>
      </c>
      <c r="AP1553" s="76">
        <v>0</v>
      </c>
      <c r="AQ1553" s="76">
        <v>0</v>
      </c>
      <c r="AR1553" s="96">
        <v>0.110069253262963</v>
      </c>
      <c r="AS1553" s="80">
        <v>0</v>
      </c>
      <c r="AT1553" s="80">
        <v>0</v>
      </c>
      <c r="AU1553" s="80">
        <v>0</v>
      </c>
      <c r="AV1553" s="80">
        <v>0</v>
      </c>
      <c r="AW1553" s="36"/>
      <c r="AX1553" s="34"/>
    </row>
    <row r="1554" ht="14.5" spans="1:50">
      <c r="A1554" s="32"/>
      <c r="B1554" s="36"/>
      <c r="C1554" s="91" t="s">
        <v>1473</v>
      </c>
      <c r="D1554" s="69" t="s">
        <v>27</v>
      </c>
      <c r="E1554" s="107" t="s">
        <v>1603</v>
      </c>
      <c r="F1554" s="107" t="s">
        <v>1603</v>
      </c>
      <c r="G1554" s="107" t="s">
        <v>1603</v>
      </c>
      <c r="H1554" s="107" t="s">
        <v>1603</v>
      </c>
      <c r="I1554" s="71">
        <v>0.9</v>
      </c>
      <c r="J1554" s="72">
        <v>0.95</v>
      </c>
      <c r="K1554" s="72">
        <v>0.823529411764706</v>
      </c>
      <c r="L1554" s="73">
        <v>1</v>
      </c>
      <c r="M1554" s="72">
        <v>0.969325153374233</v>
      </c>
      <c r="N1554" s="74">
        <v>0.9</v>
      </c>
      <c r="O1554" s="72">
        <v>0.957264957264957</v>
      </c>
      <c r="P1554" s="72">
        <v>0.959110473457676</v>
      </c>
      <c r="Q1554" s="72">
        <v>0.961797752808989</v>
      </c>
      <c r="R1554" s="72">
        <v>0.968221293020264</v>
      </c>
      <c r="S1554" s="74">
        <v>0.9</v>
      </c>
      <c r="T1554" s="72">
        <v>0.420152946468736</v>
      </c>
      <c r="U1554" s="72">
        <v>0.536585365853659</v>
      </c>
      <c r="V1554" s="72">
        <v>0.452584269662921</v>
      </c>
      <c r="W1554" s="72">
        <v>0.508073335477646</v>
      </c>
      <c r="X1554" s="74">
        <v>0.92</v>
      </c>
      <c r="Y1554" s="74">
        <v>0</v>
      </c>
      <c r="Z1554" s="74">
        <v>0</v>
      </c>
      <c r="AA1554" s="74">
        <v>0</v>
      </c>
      <c r="AB1554" s="74">
        <v>0</v>
      </c>
      <c r="AC1554" s="74">
        <v>0.92</v>
      </c>
      <c r="AD1554" s="72">
        <v>1</v>
      </c>
      <c r="AE1554" s="72">
        <v>1</v>
      </c>
      <c r="AF1554" s="72">
        <v>1</v>
      </c>
      <c r="AG1554" s="72">
        <v>0.981366459627329</v>
      </c>
      <c r="AH1554" s="74">
        <v>0.92</v>
      </c>
      <c r="AI1554" s="72">
        <v>0.8582995951417</v>
      </c>
      <c r="AJ1554" s="72">
        <v>0.888091822094692</v>
      </c>
      <c r="AK1554" s="72">
        <v>0.905660377358491</v>
      </c>
      <c r="AL1554" s="72">
        <v>0.901518075389168</v>
      </c>
      <c r="AM1554" s="71">
        <v>0.99</v>
      </c>
      <c r="AN1554" s="76">
        <v>1</v>
      </c>
      <c r="AO1554" s="76">
        <v>1</v>
      </c>
      <c r="AP1554" s="76">
        <v>1</v>
      </c>
      <c r="AQ1554" s="76">
        <v>1</v>
      </c>
      <c r="AR1554" s="96">
        <v>0.110069253262963</v>
      </c>
      <c r="AS1554" s="80">
        <v>0.0769230769230769</v>
      </c>
      <c r="AT1554" s="80">
        <v>0</v>
      </c>
      <c r="AU1554" s="80">
        <v>0.166666666666667</v>
      </c>
      <c r="AV1554" s="80">
        <v>0.0631578947368421</v>
      </c>
      <c r="AW1554" s="36"/>
      <c r="AX1554" s="34"/>
    </row>
    <row r="1555" ht="14.5" spans="1:50">
      <c r="A1555" s="32"/>
      <c r="B1555" s="36"/>
      <c r="C1555" s="91" t="s">
        <v>1473</v>
      </c>
      <c r="D1555" s="69" t="s">
        <v>27</v>
      </c>
      <c r="E1555" s="107" t="s">
        <v>1604</v>
      </c>
      <c r="F1555" s="107" t="s">
        <v>1604</v>
      </c>
      <c r="G1555" s="107" t="s">
        <v>1604</v>
      </c>
      <c r="H1555" s="107" t="s">
        <v>1604</v>
      </c>
      <c r="I1555" s="71">
        <v>0.9</v>
      </c>
      <c r="J1555" s="72">
        <v>1</v>
      </c>
      <c r="K1555" s="72">
        <v>0.944444444444444</v>
      </c>
      <c r="L1555" s="73">
        <v>0.944444444444444</v>
      </c>
      <c r="M1555" s="72">
        <v>0.951807228915663</v>
      </c>
      <c r="N1555" s="74">
        <v>0.9</v>
      </c>
      <c r="O1555" s="72">
        <v>0</v>
      </c>
      <c r="P1555" s="72">
        <v>0</v>
      </c>
      <c r="Q1555" s="72">
        <v>0</v>
      </c>
      <c r="R1555" s="72">
        <v>0</v>
      </c>
      <c r="S1555" s="74">
        <v>0.9</v>
      </c>
      <c r="T1555" s="72">
        <v>0</v>
      </c>
      <c r="U1555" s="72">
        <v>0</v>
      </c>
      <c r="V1555" s="72">
        <v>0</v>
      </c>
      <c r="W1555" s="72">
        <v>1</v>
      </c>
      <c r="X1555" s="74">
        <v>0.92</v>
      </c>
      <c r="Y1555" s="74">
        <v>0</v>
      </c>
      <c r="Z1555" s="74">
        <v>0</v>
      </c>
      <c r="AA1555" s="74">
        <v>0</v>
      </c>
      <c r="AB1555" s="74">
        <v>0</v>
      </c>
      <c r="AC1555" s="74">
        <v>0.92</v>
      </c>
      <c r="AD1555" s="72">
        <v>0</v>
      </c>
      <c r="AE1555" s="72">
        <v>1</v>
      </c>
      <c r="AF1555" s="72">
        <v>0</v>
      </c>
      <c r="AG1555" s="72">
        <v>0.352941176470588</v>
      </c>
      <c r="AH1555" s="74">
        <v>0.92</v>
      </c>
      <c r="AI1555" s="72">
        <v>0.776273372018053</v>
      </c>
      <c r="AJ1555" s="72">
        <v>0.727443609022556</v>
      </c>
      <c r="AK1555" s="72">
        <v>0.850766155896069</v>
      </c>
      <c r="AL1555" s="72">
        <v>0.843104062722737</v>
      </c>
      <c r="AM1555" s="71">
        <v>0.99</v>
      </c>
      <c r="AN1555" s="76">
        <v>0</v>
      </c>
      <c r="AO1555" s="76">
        <v>0</v>
      </c>
      <c r="AP1555" s="76">
        <v>0</v>
      </c>
      <c r="AQ1555" s="76">
        <v>1</v>
      </c>
      <c r="AR1555" s="96">
        <v>0.110069253262963</v>
      </c>
      <c r="AS1555" s="80">
        <v>0.285714285714286</v>
      </c>
      <c r="AT1555" s="80">
        <v>0.148148148148148</v>
      </c>
      <c r="AU1555" s="80">
        <v>0.111111111111111</v>
      </c>
      <c r="AV1555" s="80">
        <v>0.181818181818182</v>
      </c>
      <c r="AW1555" s="36"/>
      <c r="AX1555" s="34"/>
    </row>
    <row r="1556" ht="14.5" spans="1:50">
      <c r="A1556" s="32"/>
      <c r="B1556" s="36"/>
      <c r="C1556" s="91" t="s">
        <v>1473</v>
      </c>
      <c r="D1556" s="69" t="s">
        <v>27</v>
      </c>
      <c r="E1556" s="107" t="s">
        <v>1605</v>
      </c>
      <c r="F1556" s="107" t="s">
        <v>1605</v>
      </c>
      <c r="G1556" s="107" t="s">
        <v>1605</v>
      </c>
      <c r="H1556" s="107" t="s">
        <v>1605</v>
      </c>
      <c r="I1556" s="71">
        <v>0.9</v>
      </c>
      <c r="J1556" s="72">
        <v>0.911764705882353</v>
      </c>
      <c r="K1556" s="72">
        <v>0.882352941176471</v>
      </c>
      <c r="L1556" s="73">
        <v>0.868421052631579</v>
      </c>
      <c r="M1556" s="72">
        <v>0.919614147909968</v>
      </c>
      <c r="N1556" s="74">
        <v>0.9</v>
      </c>
      <c r="O1556" s="72">
        <v>0.995554035567715</v>
      </c>
      <c r="P1556" s="72">
        <v>0.994726433750824</v>
      </c>
      <c r="Q1556" s="72">
        <v>0.991706678306416</v>
      </c>
      <c r="R1556" s="72">
        <v>0.987754842403231</v>
      </c>
      <c r="S1556" s="74">
        <v>0.9</v>
      </c>
      <c r="T1556" s="72">
        <v>0.89500683994528</v>
      </c>
      <c r="U1556" s="72">
        <v>0.913205888815645</v>
      </c>
      <c r="V1556" s="72">
        <v>0.918812745525971</v>
      </c>
      <c r="W1556" s="72">
        <v>0.888235107025858</v>
      </c>
      <c r="X1556" s="74">
        <v>0.92</v>
      </c>
      <c r="Y1556" s="74">
        <v>0</v>
      </c>
      <c r="Z1556" s="74">
        <v>0</v>
      </c>
      <c r="AA1556" s="74">
        <v>0</v>
      </c>
      <c r="AB1556" s="74">
        <v>0</v>
      </c>
      <c r="AC1556" s="74">
        <v>0.92</v>
      </c>
      <c r="AD1556" s="72">
        <v>1</v>
      </c>
      <c r="AE1556" s="72">
        <v>0.9</v>
      </c>
      <c r="AF1556" s="72">
        <v>0.476190476190476</v>
      </c>
      <c r="AG1556" s="72">
        <v>0.763005780346821</v>
      </c>
      <c r="AH1556" s="74">
        <v>0.92</v>
      </c>
      <c r="AI1556" s="72">
        <v>0.95008547008547</v>
      </c>
      <c r="AJ1556" s="72">
        <v>0.972759226713533</v>
      </c>
      <c r="AK1556" s="72">
        <v>0.978175469227412</v>
      </c>
      <c r="AL1556" s="72">
        <v>0.969502305612975</v>
      </c>
      <c r="AM1556" s="71">
        <v>0.99</v>
      </c>
      <c r="AN1556" s="76">
        <v>1</v>
      </c>
      <c r="AO1556" s="76">
        <v>1</v>
      </c>
      <c r="AP1556" s="76">
        <v>0</v>
      </c>
      <c r="AQ1556" s="76">
        <v>1</v>
      </c>
      <c r="AR1556" s="96">
        <v>0.110069253262963</v>
      </c>
      <c r="AS1556" s="80">
        <v>0.125</v>
      </c>
      <c r="AT1556" s="80">
        <v>0</v>
      </c>
      <c r="AU1556" s="80">
        <v>0.545454545454545</v>
      </c>
      <c r="AV1556" s="80">
        <v>0.149425287356322</v>
      </c>
      <c r="AW1556" s="36"/>
      <c r="AX1556" s="34"/>
    </row>
    <row r="1557" ht="14.5" spans="1:50">
      <c r="A1557" s="32"/>
      <c r="B1557" s="36"/>
      <c r="C1557" s="91" t="s">
        <v>1473</v>
      </c>
      <c r="D1557" s="69" t="s">
        <v>27</v>
      </c>
      <c r="E1557" s="107" t="s">
        <v>1606</v>
      </c>
      <c r="F1557" s="107" t="s">
        <v>1606</v>
      </c>
      <c r="G1557" s="107" t="s">
        <v>1606</v>
      </c>
      <c r="H1557" s="107" t="s">
        <v>1606</v>
      </c>
      <c r="I1557" s="71">
        <v>0.9</v>
      </c>
      <c r="J1557" s="72">
        <v>0.875</v>
      </c>
      <c r="K1557" s="72">
        <v>0.875</v>
      </c>
      <c r="L1557" s="73">
        <v>0.857142857142857</v>
      </c>
      <c r="M1557" s="72">
        <v>0.867219917012448</v>
      </c>
      <c r="N1557" s="74">
        <v>0.9</v>
      </c>
      <c r="O1557" s="72">
        <v>0.958382180539273</v>
      </c>
      <c r="P1557" s="72">
        <v>0.9575986565911</v>
      </c>
      <c r="Q1557" s="72">
        <v>0.978486646884273</v>
      </c>
      <c r="R1557" s="72">
        <v>0.975758642953572</v>
      </c>
      <c r="S1557" s="74">
        <v>0.9</v>
      </c>
      <c r="T1557" s="72">
        <v>0.893317702227433</v>
      </c>
      <c r="U1557" s="72">
        <v>0.904701931150294</v>
      </c>
      <c r="V1557" s="72">
        <v>0.913204747774481</v>
      </c>
      <c r="W1557" s="72">
        <v>0.920467218406997</v>
      </c>
      <c r="X1557" s="74">
        <v>0.92</v>
      </c>
      <c r="Y1557" s="74">
        <v>0</v>
      </c>
      <c r="Z1557" s="74">
        <v>0</v>
      </c>
      <c r="AA1557" s="74">
        <v>0</v>
      </c>
      <c r="AB1557" s="74">
        <v>0</v>
      </c>
      <c r="AC1557" s="74">
        <v>0.92</v>
      </c>
      <c r="AD1557" s="72">
        <v>0.466666666666667</v>
      </c>
      <c r="AE1557" s="72">
        <v>0.571428571428571</v>
      </c>
      <c r="AF1557" s="72">
        <v>1</v>
      </c>
      <c r="AG1557" s="72">
        <v>0.622641509433962</v>
      </c>
      <c r="AH1557" s="74">
        <v>0.92</v>
      </c>
      <c r="AI1557" s="72">
        <v>0.946658851113716</v>
      </c>
      <c r="AJ1557" s="72">
        <v>0.948362720403023</v>
      </c>
      <c r="AK1557" s="72">
        <v>0.969584569732938</v>
      </c>
      <c r="AL1557" s="72">
        <v>0.967955865954575</v>
      </c>
      <c r="AM1557" s="71">
        <v>0.99</v>
      </c>
      <c r="AN1557" s="76">
        <v>1</v>
      </c>
      <c r="AO1557" s="76">
        <v>1</v>
      </c>
      <c r="AP1557" s="76">
        <v>1</v>
      </c>
      <c r="AQ1557" s="76">
        <v>1</v>
      </c>
      <c r="AR1557" s="96">
        <v>0.110069253262963</v>
      </c>
      <c r="AS1557" s="80">
        <v>0</v>
      </c>
      <c r="AT1557" s="80">
        <v>0.416666666666667</v>
      </c>
      <c r="AU1557" s="80">
        <v>0.142857142857143</v>
      </c>
      <c r="AV1557" s="80">
        <v>0.192771084337349</v>
      </c>
      <c r="AW1557" s="36"/>
      <c r="AX1557" s="34"/>
    </row>
    <row r="1558" ht="14.5" spans="1:50">
      <c r="A1558" s="32"/>
      <c r="B1558" s="36"/>
      <c r="C1558" s="91" t="s">
        <v>1473</v>
      </c>
      <c r="D1558" s="69" t="s">
        <v>27</v>
      </c>
      <c r="E1558" s="107" t="s">
        <v>1607</v>
      </c>
      <c r="F1558" s="107" t="s">
        <v>1607</v>
      </c>
      <c r="G1558" s="107" t="s">
        <v>1607</v>
      </c>
      <c r="H1558" s="107" t="s">
        <v>1607</v>
      </c>
      <c r="I1558" s="71">
        <v>0.9</v>
      </c>
      <c r="J1558" s="72">
        <v>1</v>
      </c>
      <c r="K1558" s="72">
        <v>0.916666666666667</v>
      </c>
      <c r="L1558" s="73">
        <v>1</v>
      </c>
      <c r="M1558" s="72">
        <v>0.992307692307692</v>
      </c>
      <c r="N1558" s="74">
        <v>0.9</v>
      </c>
      <c r="O1558" s="72">
        <v>0.944140862173649</v>
      </c>
      <c r="P1558" s="72">
        <v>0.978339350180505</v>
      </c>
      <c r="Q1558" s="72">
        <v>0.849420849420849</v>
      </c>
      <c r="R1558" s="72">
        <v>0.872462488967343</v>
      </c>
      <c r="S1558" s="74">
        <v>0.9</v>
      </c>
      <c r="T1558" s="72">
        <v>0.411050394656952</v>
      </c>
      <c r="U1558" s="72">
        <v>0.446209386281588</v>
      </c>
      <c r="V1558" s="72">
        <v>0.372311086596801</v>
      </c>
      <c r="W1558" s="72">
        <v>0.421373933509856</v>
      </c>
      <c r="X1558" s="74">
        <v>0.92</v>
      </c>
      <c r="Y1558" s="74">
        <v>0</v>
      </c>
      <c r="Z1558" s="74">
        <v>0</v>
      </c>
      <c r="AA1558" s="74">
        <v>0</v>
      </c>
      <c r="AB1558" s="74">
        <v>0</v>
      </c>
      <c r="AC1558" s="74">
        <v>0.92</v>
      </c>
      <c r="AD1558" s="72">
        <v>1</v>
      </c>
      <c r="AE1558" s="72">
        <v>1</v>
      </c>
      <c r="AF1558" s="72">
        <v>1</v>
      </c>
      <c r="AG1558" s="72">
        <v>0.999143835616438</v>
      </c>
      <c r="AH1558" s="74">
        <v>0.92</v>
      </c>
      <c r="AI1558" s="72">
        <v>0.885853066180935</v>
      </c>
      <c r="AJ1558" s="72">
        <v>0.91841155234657</v>
      </c>
      <c r="AK1558" s="72">
        <v>0.880860452289024</v>
      </c>
      <c r="AL1558" s="72">
        <v>0.864151220947337</v>
      </c>
      <c r="AM1558" s="71">
        <v>0.99</v>
      </c>
      <c r="AN1558" s="76">
        <v>0</v>
      </c>
      <c r="AO1558" s="76">
        <v>0</v>
      </c>
      <c r="AP1558" s="76">
        <v>1</v>
      </c>
      <c r="AQ1558" s="76">
        <v>1</v>
      </c>
      <c r="AR1558" s="96">
        <v>0.110069253262963</v>
      </c>
      <c r="AS1558" s="80">
        <v>0</v>
      </c>
      <c r="AT1558" s="80">
        <v>0</v>
      </c>
      <c r="AU1558" s="80">
        <v>0.1875</v>
      </c>
      <c r="AV1558" s="80">
        <v>0.0458715596330275</v>
      </c>
      <c r="AW1558" s="36"/>
      <c r="AX1558" s="34"/>
    </row>
    <row r="1559" ht="14.5" spans="1:50">
      <c r="A1559" s="32"/>
      <c r="B1559" s="36"/>
      <c r="C1559" s="91" t="s">
        <v>1473</v>
      </c>
      <c r="D1559" s="69" t="s">
        <v>27</v>
      </c>
      <c r="E1559" s="107" t="s">
        <v>1608</v>
      </c>
      <c r="F1559" s="107" t="s">
        <v>1608</v>
      </c>
      <c r="G1559" s="107" t="s">
        <v>1608</v>
      </c>
      <c r="H1559" s="107" t="s">
        <v>1608</v>
      </c>
      <c r="I1559" s="71">
        <v>0.9</v>
      </c>
      <c r="J1559" s="72">
        <v>0.636363636363636</v>
      </c>
      <c r="K1559" s="72">
        <v>1</v>
      </c>
      <c r="L1559" s="73">
        <v>0.5</v>
      </c>
      <c r="M1559" s="72">
        <v>0.69</v>
      </c>
      <c r="N1559" s="74">
        <v>0.9</v>
      </c>
      <c r="O1559" s="72">
        <v>1</v>
      </c>
      <c r="P1559" s="72">
        <v>0</v>
      </c>
      <c r="Q1559" s="72">
        <v>0</v>
      </c>
      <c r="R1559" s="72">
        <v>0.285714285714286</v>
      </c>
      <c r="S1559" s="74">
        <v>0.9</v>
      </c>
      <c r="T1559" s="72">
        <v>1</v>
      </c>
      <c r="U1559" s="72">
        <v>1</v>
      </c>
      <c r="V1559" s="72">
        <v>0</v>
      </c>
      <c r="W1559" s="72">
        <v>0.428571428571429</v>
      </c>
      <c r="X1559" s="74">
        <v>0.92</v>
      </c>
      <c r="Y1559" s="74">
        <v>0</v>
      </c>
      <c r="Z1559" s="74">
        <v>0</v>
      </c>
      <c r="AA1559" s="74">
        <v>0</v>
      </c>
      <c r="AB1559" s="74">
        <v>0</v>
      </c>
      <c r="AC1559" s="74">
        <v>0.92</v>
      </c>
      <c r="AD1559" s="72">
        <v>0.2</v>
      </c>
      <c r="AE1559" s="72">
        <v>0.777777777777778</v>
      </c>
      <c r="AF1559" s="72">
        <v>0.833333333333333</v>
      </c>
      <c r="AG1559" s="72">
        <v>0.838235294117647</v>
      </c>
      <c r="AH1559" s="74">
        <v>0.92</v>
      </c>
      <c r="AI1559" s="72">
        <v>0.803386641580433</v>
      </c>
      <c r="AJ1559" s="72">
        <v>0.787433155080214</v>
      </c>
      <c r="AK1559" s="72">
        <v>0.865006553079948</v>
      </c>
      <c r="AL1559" s="72">
        <v>0.697251258226868</v>
      </c>
      <c r="AM1559" s="71">
        <v>0.99</v>
      </c>
      <c r="AN1559" s="76">
        <v>0</v>
      </c>
      <c r="AO1559" s="76">
        <v>0</v>
      </c>
      <c r="AP1559" s="76">
        <v>1</v>
      </c>
      <c r="AQ1559" s="76">
        <v>1</v>
      </c>
      <c r="AR1559" s="96">
        <v>0.110069253262963</v>
      </c>
      <c r="AS1559" s="80">
        <v>0.214285714285714</v>
      </c>
      <c r="AT1559" s="80">
        <v>0.214285714285714</v>
      </c>
      <c r="AU1559" s="80">
        <v>0.181818181818182</v>
      </c>
      <c r="AV1559" s="80">
        <v>0.206185567010309</v>
      </c>
      <c r="AW1559" s="36"/>
      <c r="AX1559" s="34"/>
    </row>
    <row r="1560" ht="14.5" spans="1:50">
      <c r="A1560" s="32"/>
      <c r="B1560" s="36"/>
      <c r="C1560" s="91" t="s">
        <v>1473</v>
      </c>
      <c r="D1560" s="69" t="s">
        <v>27</v>
      </c>
      <c r="E1560" s="107" t="s">
        <v>1609</v>
      </c>
      <c r="F1560" s="107" t="s">
        <v>1609</v>
      </c>
      <c r="G1560" s="107" t="s">
        <v>1609</v>
      </c>
      <c r="H1560" s="107" t="s">
        <v>1609</v>
      </c>
      <c r="I1560" s="71">
        <v>0.9</v>
      </c>
      <c r="J1560" s="72">
        <v>0.842105263157895</v>
      </c>
      <c r="K1560" s="72">
        <v>0.833333333333333</v>
      </c>
      <c r="L1560" s="73">
        <v>0.944444444444444</v>
      </c>
      <c r="M1560" s="72">
        <v>0.910714285714286</v>
      </c>
      <c r="N1560" s="74">
        <v>0.9</v>
      </c>
      <c r="O1560" s="72">
        <v>0</v>
      </c>
      <c r="P1560" s="72">
        <v>0</v>
      </c>
      <c r="Q1560" s="72">
        <v>0</v>
      </c>
      <c r="R1560" s="72">
        <v>0</v>
      </c>
      <c r="S1560" s="74">
        <v>0.9</v>
      </c>
      <c r="T1560" s="72">
        <v>0</v>
      </c>
      <c r="U1560" s="72">
        <v>0</v>
      </c>
      <c r="V1560" s="72">
        <v>0</v>
      </c>
      <c r="W1560" s="72">
        <v>0</v>
      </c>
      <c r="X1560" s="74">
        <v>0.92</v>
      </c>
      <c r="Y1560" s="74">
        <v>0</v>
      </c>
      <c r="Z1560" s="74">
        <v>0</v>
      </c>
      <c r="AA1560" s="74">
        <v>0</v>
      </c>
      <c r="AB1560" s="74">
        <v>0</v>
      </c>
      <c r="AC1560" s="74">
        <v>0.92</v>
      </c>
      <c r="AD1560" s="72">
        <v>0</v>
      </c>
      <c r="AE1560" s="72">
        <v>0</v>
      </c>
      <c r="AF1560" s="72">
        <v>0</v>
      </c>
      <c r="AG1560" s="72">
        <v>0.106382978723404</v>
      </c>
      <c r="AH1560" s="74">
        <v>0.92</v>
      </c>
      <c r="AI1560" s="72">
        <v>0.689034369885434</v>
      </c>
      <c r="AJ1560" s="72">
        <v>0.710948905109489</v>
      </c>
      <c r="AK1560" s="72">
        <v>0.70042194092827</v>
      </c>
      <c r="AL1560" s="72">
        <v>0.739646187602852</v>
      </c>
      <c r="AM1560" s="71">
        <v>0.99</v>
      </c>
      <c r="AN1560" s="76">
        <v>0</v>
      </c>
      <c r="AO1560" s="76">
        <v>0</v>
      </c>
      <c r="AP1560" s="76">
        <v>0</v>
      </c>
      <c r="AQ1560" s="76">
        <v>0</v>
      </c>
      <c r="AR1560" s="96">
        <v>0.110069253262963</v>
      </c>
      <c r="AS1560" s="80">
        <v>0.0909090909090909</v>
      </c>
      <c r="AT1560" s="80">
        <v>0.0487804878048781</v>
      </c>
      <c r="AU1560" s="80">
        <v>0.103448275862069</v>
      </c>
      <c r="AV1560" s="80">
        <v>0.075187969924812</v>
      </c>
      <c r="AW1560" s="36"/>
      <c r="AX1560" s="34"/>
    </row>
    <row r="1561" ht="14.5" spans="1:50">
      <c r="A1561" s="32"/>
      <c r="B1561" s="36"/>
      <c r="C1561" s="91" t="s">
        <v>1473</v>
      </c>
      <c r="D1561" s="69" t="s">
        <v>27</v>
      </c>
      <c r="E1561" s="107" t="s">
        <v>1610</v>
      </c>
      <c r="F1561" s="107" t="s">
        <v>1610</v>
      </c>
      <c r="G1561" s="107" t="s">
        <v>1610</v>
      </c>
      <c r="H1561" s="107" t="s">
        <v>1610</v>
      </c>
      <c r="I1561" s="71">
        <v>0.9</v>
      </c>
      <c r="J1561" s="72">
        <v>1</v>
      </c>
      <c r="K1561" s="72">
        <v>1</v>
      </c>
      <c r="L1561" s="73">
        <v>0.923076923076923</v>
      </c>
      <c r="M1561" s="72">
        <v>0.99</v>
      </c>
      <c r="N1561" s="74">
        <v>0.9</v>
      </c>
      <c r="O1561" s="72">
        <v>1</v>
      </c>
      <c r="P1561" s="72">
        <v>0</v>
      </c>
      <c r="Q1561" s="72">
        <v>0</v>
      </c>
      <c r="R1561" s="72">
        <v>0.5</v>
      </c>
      <c r="S1561" s="74">
        <v>0.9</v>
      </c>
      <c r="T1561" s="72">
        <v>0</v>
      </c>
      <c r="U1561" s="72">
        <v>0</v>
      </c>
      <c r="V1561" s="72">
        <v>0</v>
      </c>
      <c r="W1561" s="72">
        <v>0</v>
      </c>
      <c r="X1561" s="74">
        <v>0.92</v>
      </c>
      <c r="Y1561" s="74">
        <v>0</v>
      </c>
      <c r="Z1561" s="74">
        <v>0</v>
      </c>
      <c r="AA1561" s="74">
        <v>0</v>
      </c>
      <c r="AB1561" s="74">
        <v>0</v>
      </c>
      <c r="AC1561" s="74">
        <v>0.92</v>
      </c>
      <c r="AD1561" s="72">
        <v>0</v>
      </c>
      <c r="AE1561" s="72">
        <v>0</v>
      </c>
      <c r="AF1561" s="72">
        <v>0</v>
      </c>
      <c r="AG1561" s="72">
        <v>0.0625</v>
      </c>
      <c r="AH1561" s="74">
        <v>0.92</v>
      </c>
      <c r="AI1561" s="72">
        <v>0.828358208955224</v>
      </c>
      <c r="AJ1561" s="72">
        <v>0.965931863727455</v>
      </c>
      <c r="AK1561" s="72">
        <v>0.946737683089214</v>
      </c>
      <c r="AL1561" s="72">
        <v>0.871018073072422</v>
      </c>
      <c r="AM1561" s="71">
        <v>0.99</v>
      </c>
      <c r="AN1561" s="76">
        <v>0</v>
      </c>
      <c r="AO1561" s="76">
        <v>0</v>
      </c>
      <c r="AP1561" s="76">
        <v>0</v>
      </c>
      <c r="AQ1561" s="76">
        <v>0</v>
      </c>
      <c r="AR1561" s="96">
        <v>0.110069253262963</v>
      </c>
      <c r="AS1561" s="80">
        <v>0</v>
      </c>
      <c r="AT1561" s="80">
        <v>0.133333333333333</v>
      </c>
      <c r="AU1561" s="80">
        <v>0</v>
      </c>
      <c r="AV1561" s="80">
        <v>0.0618556701030928</v>
      </c>
      <c r="AW1561" s="36"/>
      <c r="AX1561" s="34"/>
    </row>
    <row r="1562" ht="14.5" spans="1:50">
      <c r="A1562" s="32"/>
      <c r="B1562" s="36"/>
      <c r="C1562" s="91" t="s">
        <v>1473</v>
      </c>
      <c r="D1562" s="69" t="s">
        <v>27</v>
      </c>
      <c r="E1562" s="107" t="s">
        <v>1611</v>
      </c>
      <c r="F1562" s="107" t="s">
        <v>1611</v>
      </c>
      <c r="G1562" s="107" t="s">
        <v>1611</v>
      </c>
      <c r="H1562" s="107" t="s">
        <v>1611</v>
      </c>
      <c r="I1562" s="71">
        <v>0.9</v>
      </c>
      <c r="J1562" s="72">
        <v>0.833333333333333</v>
      </c>
      <c r="K1562" s="72">
        <v>0.916666666666667</v>
      </c>
      <c r="L1562" s="73">
        <v>0.833333333333333</v>
      </c>
      <c r="M1562" s="72">
        <v>0.823529411764706</v>
      </c>
      <c r="N1562" s="74">
        <v>0.9</v>
      </c>
      <c r="O1562" s="72">
        <v>0</v>
      </c>
      <c r="P1562" s="72">
        <v>0</v>
      </c>
      <c r="Q1562" s="72">
        <v>0</v>
      </c>
      <c r="R1562" s="72">
        <v>0.333333333333333</v>
      </c>
      <c r="S1562" s="74">
        <v>0.9</v>
      </c>
      <c r="T1562" s="72">
        <v>0</v>
      </c>
      <c r="U1562" s="72">
        <v>0</v>
      </c>
      <c r="V1562" s="72">
        <v>0</v>
      </c>
      <c r="W1562" s="72">
        <v>0.333333333333333</v>
      </c>
      <c r="X1562" s="74">
        <v>0.92</v>
      </c>
      <c r="Y1562" s="74">
        <v>0</v>
      </c>
      <c r="Z1562" s="74">
        <v>0</v>
      </c>
      <c r="AA1562" s="74">
        <v>0</v>
      </c>
      <c r="AB1562" s="74">
        <v>0</v>
      </c>
      <c r="AC1562" s="74">
        <v>0.92</v>
      </c>
      <c r="AD1562" s="72">
        <v>0</v>
      </c>
      <c r="AE1562" s="72">
        <v>0</v>
      </c>
      <c r="AF1562" s="72">
        <v>1</v>
      </c>
      <c r="AG1562" s="72">
        <v>0.454545454545455</v>
      </c>
      <c r="AH1562" s="74">
        <v>0.92</v>
      </c>
      <c r="AI1562" s="72">
        <v>0.978461538461538</v>
      </c>
      <c r="AJ1562" s="72">
        <v>0.99456029011786</v>
      </c>
      <c r="AK1562" s="72">
        <v>0.992497320471597</v>
      </c>
      <c r="AL1562" s="72">
        <v>0.995235826584088</v>
      </c>
      <c r="AM1562" s="71">
        <v>0.99</v>
      </c>
      <c r="AN1562" s="76">
        <v>1</v>
      </c>
      <c r="AO1562" s="76">
        <v>0</v>
      </c>
      <c r="AP1562" s="76">
        <v>0</v>
      </c>
      <c r="AQ1562" s="76">
        <v>1</v>
      </c>
      <c r="AR1562" s="96">
        <v>0.110069253262963</v>
      </c>
      <c r="AS1562" s="80">
        <v>0</v>
      </c>
      <c r="AT1562" s="80">
        <v>0</v>
      </c>
      <c r="AU1562" s="80">
        <v>0.181818181818182</v>
      </c>
      <c r="AV1562" s="80">
        <v>0.102941176470588</v>
      </c>
      <c r="AW1562" s="36"/>
      <c r="AX1562" s="34"/>
    </row>
    <row r="1563" ht="14.5" spans="1:50">
      <c r="A1563" s="32"/>
      <c r="B1563" s="36"/>
      <c r="C1563" s="91" t="s">
        <v>1473</v>
      </c>
      <c r="D1563" s="69" t="s">
        <v>27</v>
      </c>
      <c r="E1563" s="107" t="s">
        <v>1612</v>
      </c>
      <c r="F1563" s="107" t="s">
        <v>1612</v>
      </c>
      <c r="G1563" s="107" t="s">
        <v>1612</v>
      </c>
      <c r="H1563" s="107" t="s">
        <v>1612</v>
      </c>
      <c r="I1563" s="71">
        <v>0.9</v>
      </c>
      <c r="J1563" s="72">
        <v>0.857142857142857</v>
      </c>
      <c r="K1563" s="72">
        <v>0.8125</v>
      </c>
      <c r="L1563" s="73">
        <v>0.769230769230769</v>
      </c>
      <c r="M1563" s="72">
        <v>0.83206106870229</v>
      </c>
      <c r="N1563" s="74">
        <v>0.9</v>
      </c>
      <c r="O1563" s="72">
        <v>0</v>
      </c>
      <c r="P1563" s="72">
        <v>0</v>
      </c>
      <c r="Q1563" s="72">
        <v>0</v>
      </c>
      <c r="R1563" s="72">
        <v>0</v>
      </c>
      <c r="S1563" s="74">
        <v>0.9</v>
      </c>
      <c r="T1563" s="72">
        <v>0</v>
      </c>
      <c r="U1563" s="72">
        <v>0</v>
      </c>
      <c r="V1563" s="72">
        <v>0</v>
      </c>
      <c r="W1563" s="72">
        <v>0.333333333333333</v>
      </c>
      <c r="X1563" s="74">
        <v>0.92</v>
      </c>
      <c r="Y1563" s="74">
        <v>0</v>
      </c>
      <c r="Z1563" s="74">
        <v>0</v>
      </c>
      <c r="AA1563" s="74">
        <v>0</v>
      </c>
      <c r="AB1563" s="74">
        <v>0</v>
      </c>
      <c r="AC1563" s="74">
        <v>0.92</v>
      </c>
      <c r="AD1563" s="72">
        <v>0</v>
      </c>
      <c r="AE1563" s="72">
        <v>0.846153846153846</v>
      </c>
      <c r="AF1563" s="72">
        <v>1</v>
      </c>
      <c r="AG1563" s="72">
        <v>0.927385892116183</v>
      </c>
      <c r="AH1563" s="74">
        <v>0.92</v>
      </c>
      <c r="AI1563" s="72">
        <v>0.645031591039632</v>
      </c>
      <c r="AJ1563" s="72">
        <v>0.742205323193916</v>
      </c>
      <c r="AK1563" s="72">
        <v>0.683481701285856</v>
      </c>
      <c r="AL1563" s="72">
        <v>0.712359915543284</v>
      </c>
      <c r="AM1563" s="71">
        <v>0.99</v>
      </c>
      <c r="AN1563" s="76">
        <v>1</v>
      </c>
      <c r="AO1563" s="76">
        <v>1</v>
      </c>
      <c r="AP1563" s="76">
        <v>1</v>
      </c>
      <c r="AQ1563" s="76">
        <v>1</v>
      </c>
      <c r="AR1563" s="96">
        <v>0.110069253262963</v>
      </c>
      <c r="AS1563" s="80">
        <v>0.111111111111111</v>
      </c>
      <c r="AT1563" s="80">
        <v>0</v>
      </c>
      <c r="AU1563" s="80">
        <v>0.428571428571429</v>
      </c>
      <c r="AV1563" s="80">
        <v>0.111111111111111</v>
      </c>
      <c r="AW1563" s="36"/>
      <c r="AX1563" s="34"/>
    </row>
    <row r="1564" ht="14.5" spans="1:50">
      <c r="A1564" s="32"/>
      <c r="B1564" s="36"/>
      <c r="C1564" s="91" t="s">
        <v>1473</v>
      </c>
      <c r="D1564" s="69" t="s">
        <v>27</v>
      </c>
      <c r="E1564" s="107" t="s">
        <v>1613</v>
      </c>
      <c r="F1564" s="107" t="s">
        <v>1613</v>
      </c>
      <c r="G1564" s="107" t="s">
        <v>1613</v>
      </c>
      <c r="H1564" s="107" t="s">
        <v>1613</v>
      </c>
      <c r="I1564" s="71">
        <v>0.9</v>
      </c>
      <c r="J1564" s="72">
        <v>0.961538461538462</v>
      </c>
      <c r="K1564" s="72">
        <v>0.875</v>
      </c>
      <c r="L1564" s="73">
        <v>0.928571428571429</v>
      </c>
      <c r="M1564" s="72">
        <v>0.946902654867257</v>
      </c>
      <c r="N1564" s="74">
        <v>0.9</v>
      </c>
      <c r="O1564" s="72">
        <v>0.975848188614146</v>
      </c>
      <c r="P1564" s="72">
        <v>0.995569875151027</v>
      </c>
      <c r="Q1564" s="72">
        <v>0.99549887471868</v>
      </c>
      <c r="R1564" s="72">
        <v>0.994041984520296</v>
      </c>
      <c r="S1564" s="74">
        <v>0.9</v>
      </c>
      <c r="T1564" s="72">
        <v>0.935020126509488</v>
      </c>
      <c r="U1564" s="72">
        <v>0.962545308095046</v>
      </c>
      <c r="V1564" s="72">
        <v>0.959489872468117</v>
      </c>
      <c r="W1564" s="72">
        <v>0.950164263043599</v>
      </c>
      <c r="X1564" s="74">
        <v>0.92</v>
      </c>
      <c r="Y1564" s="74">
        <v>0</v>
      </c>
      <c r="Z1564" s="74">
        <v>0</v>
      </c>
      <c r="AA1564" s="74">
        <v>0</v>
      </c>
      <c r="AB1564" s="74">
        <v>1</v>
      </c>
      <c r="AC1564" s="74">
        <v>0.92</v>
      </c>
      <c r="AD1564" s="72">
        <v>0.818181818181818</v>
      </c>
      <c r="AE1564" s="72">
        <v>0.88</v>
      </c>
      <c r="AF1564" s="72">
        <v>0.875</v>
      </c>
      <c r="AG1564" s="72">
        <v>0.881443298969072</v>
      </c>
      <c r="AH1564" s="74">
        <v>0.92</v>
      </c>
      <c r="AI1564" s="72">
        <v>0.9551466359977</v>
      </c>
      <c r="AJ1564" s="72">
        <v>0.985501409585179</v>
      </c>
      <c r="AK1564" s="72">
        <v>0.990997749437359</v>
      </c>
      <c r="AL1564" s="72">
        <v>0.979732739420935</v>
      </c>
      <c r="AM1564" s="71">
        <v>0.99</v>
      </c>
      <c r="AN1564" s="76">
        <v>1</v>
      </c>
      <c r="AO1564" s="76">
        <v>1</v>
      </c>
      <c r="AP1564" s="76">
        <v>1</v>
      </c>
      <c r="AQ1564" s="76">
        <v>1</v>
      </c>
      <c r="AR1564" s="96">
        <v>0.110069253262963</v>
      </c>
      <c r="AS1564" s="80">
        <v>0</v>
      </c>
      <c r="AT1564" s="80">
        <v>0</v>
      </c>
      <c r="AU1564" s="80">
        <v>0</v>
      </c>
      <c r="AV1564" s="80">
        <v>0.0704225352112676</v>
      </c>
      <c r="AW1564" s="36"/>
      <c r="AX1564" s="34"/>
    </row>
    <row r="1565" ht="14.5" spans="1:50">
      <c r="A1565" s="32"/>
      <c r="B1565" s="36"/>
      <c r="C1565" s="91" t="s">
        <v>1473</v>
      </c>
      <c r="D1565" s="69" t="s">
        <v>27</v>
      </c>
      <c r="E1565" s="107" t="s">
        <v>1614</v>
      </c>
      <c r="F1565" s="107" t="s">
        <v>1614</v>
      </c>
      <c r="G1565" s="107" t="s">
        <v>1614</v>
      </c>
      <c r="H1565" s="107" t="s">
        <v>1614</v>
      </c>
      <c r="I1565" s="71">
        <v>0.9</v>
      </c>
      <c r="J1565" s="72">
        <v>1</v>
      </c>
      <c r="K1565" s="72">
        <v>1</v>
      </c>
      <c r="L1565" s="73">
        <v>1</v>
      </c>
      <c r="M1565" s="72">
        <v>0.98125</v>
      </c>
      <c r="N1565" s="74">
        <v>0.9</v>
      </c>
      <c r="O1565" s="72">
        <v>0.998899284534948</v>
      </c>
      <c r="P1565" s="72">
        <v>0.995772946859903</v>
      </c>
      <c r="Q1565" s="72">
        <v>0.997540983606557</v>
      </c>
      <c r="R1565" s="72">
        <v>0.991337491337491</v>
      </c>
      <c r="S1565" s="74">
        <v>0.9</v>
      </c>
      <c r="T1565" s="72">
        <v>0.927903137039075</v>
      </c>
      <c r="U1565" s="72">
        <v>0.93719806763285</v>
      </c>
      <c r="V1565" s="72">
        <v>0.948360655737705</v>
      </c>
      <c r="W1565" s="72">
        <v>0.9</v>
      </c>
      <c r="X1565" s="74">
        <v>0.92</v>
      </c>
      <c r="Y1565" s="74">
        <v>0</v>
      </c>
      <c r="Z1565" s="74">
        <v>0</v>
      </c>
      <c r="AA1565" s="74">
        <v>0</v>
      </c>
      <c r="AB1565" s="74">
        <v>0</v>
      </c>
      <c r="AC1565" s="74">
        <v>0.92</v>
      </c>
      <c r="AD1565" s="72">
        <v>0.981132075471698</v>
      </c>
      <c r="AE1565" s="72">
        <v>0.884615384615385</v>
      </c>
      <c r="AF1565" s="72">
        <v>0.962962962962963</v>
      </c>
      <c r="AG1565" s="72">
        <v>0.932367149758454</v>
      </c>
      <c r="AH1565" s="74">
        <v>0.92</v>
      </c>
      <c r="AI1565" s="72">
        <v>0.952669235002752</v>
      </c>
      <c r="AJ1565" s="72">
        <v>0.984903381642512</v>
      </c>
      <c r="AK1565" s="72">
        <v>0.966393442622951</v>
      </c>
      <c r="AL1565" s="72">
        <v>0.967706167706168</v>
      </c>
      <c r="AM1565" s="71">
        <v>0.99</v>
      </c>
      <c r="AN1565" s="76">
        <v>1</v>
      </c>
      <c r="AO1565" s="76">
        <v>1</v>
      </c>
      <c r="AP1565" s="76">
        <v>1</v>
      </c>
      <c r="AQ1565" s="76">
        <v>1</v>
      </c>
      <c r="AR1565" s="96">
        <v>0.110069253262963</v>
      </c>
      <c r="AS1565" s="80">
        <v>0</v>
      </c>
      <c r="AT1565" s="80">
        <v>0</v>
      </c>
      <c r="AU1565" s="80">
        <v>0</v>
      </c>
      <c r="AV1565" s="80">
        <v>0.0155038759689922</v>
      </c>
      <c r="AW1565" s="36"/>
      <c r="AX1565" s="34"/>
    </row>
    <row r="1566" ht="14.5" spans="1:50">
      <c r="A1566" s="32"/>
      <c r="B1566" s="36"/>
      <c r="C1566" s="91" t="s">
        <v>1473</v>
      </c>
      <c r="D1566" s="69" t="s">
        <v>27</v>
      </c>
      <c r="E1566" s="107" t="s">
        <v>1615</v>
      </c>
      <c r="F1566" s="107" t="s">
        <v>1615</v>
      </c>
      <c r="G1566" s="107" t="s">
        <v>1615</v>
      </c>
      <c r="H1566" s="107" t="s">
        <v>1615</v>
      </c>
      <c r="I1566" s="71">
        <v>0.9</v>
      </c>
      <c r="J1566" s="72">
        <v>0.875</v>
      </c>
      <c r="K1566" s="72">
        <v>0.888888888888889</v>
      </c>
      <c r="L1566" s="73">
        <v>1</v>
      </c>
      <c r="M1566" s="72">
        <v>0.848101265822785</v>
      </c>
      <c r="N1566" s="74">
        <v>0.9</v>
      </c>
      <c r="O1566" s="72">
        <v>0</v>
      </c>
      <c r="P1566" s="72">
        <v>0</v>
      </c>
      <c r="Q1566" s="72">
        <v>0</v>
      </c>
      <c r="R1566" s="72">
        <v>0</v>
      </c>
      <c r="S1566" s="74">
        <v>0.9</v>
      </c>
      <c r="T1566" s="72">
        <v>0</v>
      </c>
      <c r="U1566" s="72">
        <v>0</v>
      </c>
      <c r="V1566" s="72">
        <v>0</v>
      </c>
      <c r="W1566" s="72">
        <v>0</v>
      </c>
      <c r="X1566" s="74">
        <v>0.92</v>
      </c>
      <c r="Y1566" s="74">
        <v>0</v>
      </c>
      <c r="Z1566" s="74">
        <v>0</v>
      </c>
      <c r="AA1566" s="74">
        <v>0</v>
      </c>
      <c r="AB1566" s="74">
        <v>0</v>
      </c>
      <c r="AC1566" s="74">
        <v>0.92</v>
      </c>
      <c r="AD1566" s="72">
        <v>0</v>
      </c>
      <c r="AE1566" s="72">
        <v>0</v>
      </c>
      <c r="AF1566" s="72">
        <v>0</v>
      </c>
      <c r="AG1566" s="72">
        <v>0.15</v>
      </c>
      <c r="AH1566" s="74">
        <v>0.92</v>
      </c>
      <c r="AI1566" s="72">
        <v>0.894141829393628</v>
      </c>
      <c r="AJ1566" s="72">
        <v>0.963534361851332</v>
      </c>
      <c r="AK1566" s="72">
        <v>0.972057578323455</v>
      </c>
      <c r="AL1566" s="72">
        <v>0.956151455863736</v>
      </c>
      <c r="AM1566" s="71">
        <v>0.99</v>
      </c>
      <c r="AN1566" s="76">
        <v>0</v>
      </c>
      <c r="AO1566" s="76">
        <v>0</v>
      </c>
      <c r="AP1566" s="76">
        <v>0</v>
      </c>
      <c r="AQ1566" s="76">
        <v>1</v>
      </c>
      <c r="AR1566" s="96">
        <v>0.110069253262963</v>
      </c>
      <c r="AS1566" s="80">
        <v>0</v>
      </c>
      <c r="AT1566" s="80">
        <v>0</v>
      </c>
      <c r="AU1566" s="80">
        <v>0.222222222222222</v>
      </c>
      <c r="AV1566" s="80">
        <v>0.0714285714285714</v>
      </c>
      <c r="AW1566" s="36"/>
      <c r="AX1566" s="34"/>
    </row>
    <row r="1567" ht="14.5" spans="1:50">
      <c r="A1567" s="32"/>
      <c r="B1567" s="36"/>
      <c r="C1567" s="91" t="s">
        <v>1473</v>
      </c>
      <c r="D1567" s="69" t="s">
        <v>27</v>
      </c>
      <c r="E1567" s="107" t="s">
        <v>1616</v>
      </c>
      <c r="F1567" s="107" t="s">
        <v>1616</v>
      </c>
      <c r="G1567" s="107" t="s">
        <v>1616</v>
      </c>
      <c r="H1567" s="107" t="s">
        <v>1616</v>
      </c>
      <c r="I1567" s="71">
        <v>0.9</v>
      </c>
      <c r="J1567" s="72">
        <v>0.947368421052632</v>
      </c>
      <c r="K1567" s="72">
        <v>0.947368421052632</v>
      </c>
      <c r="L1567" s="73">
        <v>1</v>
      </c>
      <c r="M1567" s="72">
        <v>0.946745562130177</v>
      </c>
      <c r="N1567" s="74">
        <v>0.9</v>
      </c>
      <c r="O1567" s="72">
        <v>0</v>
      </c>
      <c r="P1567" s="72">
        <v>0</v>
      </c>
      <c r="Q1567" s="72">
        <v>0</v>
      </c>
      <c r="R1567" s="72">
        <v>0</v>
      </c>
      <c r="S1567" s="74">
        <v>0.9</v>
      </c>
      <c r="T1567" s="72">
        <v>0</v>
      </c>
      <c r="U1567" s="72">
        <v>0</v>
      </c>
      <c r="V1567" s="72">
        <v>0</v>
      </c>
      <c r="W1567" s="72">
        <v>0</v>
      </c>
      <c r="X1567" s="74">
        <v>0.92</v>
      </c>
      <c r="Y1567" s="74">
        <v>0</v>
      </c>
      <c r="Z1567" s="74">
        <v>0</v>
      </c>
      <c r="AA1567" s="74">
        <v>0</v>
      </c>
      <c r="AB1567" s="74">
        <v>0</v>
      </c>
      <c r="AC1567" s="74">
        <v>0.92</v>
      </c>
      <c r="AD1567" s="72">
        <v>0</v>
      </c>
      <c r="AE1567" s="72">
        <v>0</v>
      </c>
      <c r="AF1567" s="72">
        <v>0.933333333333333</v>
      </c>
      <c r="AG1567" s="72">
        <v>0.412698412698413</v>
      </c>
      <c r="AH1567" s="74">
        <v>0.92</v>
      </c>
      <c r="AI1567" s="72">
        <v>0.859591836734694</v>
      </c>
      <c r="AJ1567" s="72">
        <v>0.851075877689694</v>
      </c>
      <c r="AK1567" s="72">
        <v>0.864530225782957</v>
      </c>
      <c r="AL1567" s="72">
        <v>0.878912685337726</v>
      </c>
      <c r="AM1567" s="71">
        <v>0.99</v>
      </c>
      <c r="AN1567" s="76">
        <v>1</v>
      </c>
      <c r="AO1567" s="76">
        <v>1</v>
      </c>
      <c r="AP1567" s="76">
        <v>1</v>
      </c>
      <c r="AQ1567" s="76">
        <v>1</v>
      </c>
      <c r="AR1567" s="96">
        <v>0.110069253262963</v>
      </c>
      <c r="AS1567" s="80">
        <v>0</v>
      </c>
      <c r="AT1567" s="80">
        <v>0.1</v>
      </c>
      <c r="AU1567" s="80">
        <v>0.133333333333333</v>
      </c>
      <c r="AV1567" s="80">
        <v>0.1</v>
      </c>
      <c r="AW1567" s="36"/>
      <c r="AX1567" s="34"/>
    </row>
    <row r="1568" ht="14.5" spans="1:50">
      <c r="A1568" s="32"/>
      <c r="B1568" s="36"/>
      <c r="C1568" s="91" t="s">
        <v>1473</v>
      </c>
      <c r="D1568" s="69" t="s">
        <v>27</v>
      </c>
      <c r="E1568" s="107" t="s">
        <v>1617</v>
      </c>
      <c r="F1568" s="107" t="s">
        <v>1617</v>
      </c>
      <c r="G1568" s="107" t="s">
        <v>1617</v>
      </c>
      <c r="H1568" s="107" t="s">
        <v>1617</v>
      </c>
      <c r="I1568" s="71">
        <v>0.9</v>
      </c>
      <c r="J1568" s="72">
        <v>0.956521739130435</v>
      </c>
      <c r="K1568" s="72">
        <v>1</v>
      </c>
      <c r="L1568" s="73">
        <v>0.96</v>
      </c>
      <c r="M1568" s="72">
        <v>0.971563981042654</v>
      </c>
      <c r="N1568" s="74">
        <v>0.9</v>
      </c>
      <c r="O1568" s="72">
        <v>0.909426987060998</v>
      </c>
      <c r="P1568" s="72">
        <v>0.993088782562467</v>
      </c>
      <c r="Q1568" s="72">
        <v>0.992117708880715</v>
      </c>
      <c r="R1568" s="72">
        <v>0.950709200586925</v>
      </c>
      <c r="S1568" s="74">
        <v>0.9</v>
      </c>
      <c r="T1568" s="72">
        <v>0.904343807763401</v>
      </c>
      <c r="U1568" s="72">
        <v>0.975544922913344</v>
      </c>
      <c r="V1568" s="72">
        <v>0.930635838150289</v>
      </c>
      <c r="W1568" s="72">
        <v>0.925819248953861</v>
      </c>
      <c r="X1568" s="74">
        <v>0.92</v>
      </c>
      <c r="Y1568" s="74">
        <v>0</v>
      </c>
      <c r="Z1568" s="74">
        <v>0</v>
      </c>
      <c r="AA1568" s="74">
        <v>0</v>
      </c>
      <c r="AB1568" s="74">
        <v>0</v>
      </c>
      <c r="AC1568" s="74">
        <v>0.92</v>
      </c>
      <c r="AD1568" s="72">
        <v>0</v>
      </c>
      <c r="AE1568" s="72">
        <v>0</v>
      </c>
      <c r="AF1568" s="72">
        <v>0.8125</v>
      </c>
      <c r="AG1568" s="72">
        <v>0.619469026548673</v>
      </c>
      <c r="AH1568" s="74">
        <v>0.92</v>
      </c>
      <c r="AI1568" s="72">
        <v>0.958929395477619</v>
      </c>
      <c r="AJ1568" s="72">
        <v>0.976228209191759</v>
      </c>
      <c r="AK1568" s="72">
        <v>0.96131730266597</v>
      </c>
      <c r="AL1568" s="72">
        <v>0.962928838545336</v>
      </c>
      <c r="AM1568" s="71">
        <v>0.99</v>
      </c>
      <c r="AN1568" s="76">
        <v>1</v>
      </c>
      <c r="AO1568" s="76">
        <v>1</v>
      </c>
      <c r="AP1568" s="76">
        <v>1</v>
      </c>
      <c r="AQ1568" s="76">
        <v>1</v>
      </c>
      <c r="AR1568" s="96">
        <v>0.110069253262963</v>
      </c>
      <c r="AS1568" s="80">
        <v>0</v>
      </c>
      <c r="AT1568" s="80">
        <v>0.333333333333333</v>
      </c>
      <c r="AU1568" s="80">
        <v>0</v>
      </c>
      <c r="AV1568" s="80">
        <v>0.0480769230769231</v>
      </c>
      <c r="AW1568" s="36"/>
      <c r="AX1568" s="34"/>
    </row>
    <row r="1569" ht="14.5" spans="1:50">
      <c r="A1569" s="32"/>
      <c r="B1569" s="36"/>
      <c r="C1569" s="91" t="s">
        <v>1473</v>
      </c>
      <c r="D1569" s="69" t="s">
        <v>27</v>
      </c>
      <c r="E1569" s="107" t="s">
        <v>1618</v>
      </c>
      <c r="F1569" s="107" t="s">
        <v>1618</v>
      </c>
      <c r="G1569" s="107" t="s">
        <v>1618</v>
      </c>
      <c r="H1569" s="107" t="s">
        <v>1618</v>
      </c>
      <c r="I1569" s="71">
        <v>0.9</v>
      </c>
      <c r="J1569" s="72">
        <v>0.96</v>
      </c>
      <c r="K1569" s="72">
        <v>1</v>
      </c>
      <c r="L1569" s="73">
        <v>0.967741935483871</v>
      </c>
      <c r="M1569" s="72">
        <v>0.988888888888889</v>
      </c>
      <c r="N1569" s="74">
        <v>0.9</v>
      </c>
      <c r="O1569" s="72">
        <v>0.99554367201426</v>
      </c>
      <c r="P1569" s="72">
        <v>0.997398843930636</v>
      </c>
      <c r="Q1569" s="72">
        <v>0.997226844148641</v>
      </c>
      <c r="R1569" s="72">
        <v>0.996377109921779</v>
      </c>
      <c r="S1569" s="74">
        <v>0.9</v>
      </c>
      <c r="T1569" s="72">
        <v>0.88680926916221</v>
      </c>
      <c r="U1569" s="72">
        <v>0.945664739884393</v>
      </c>
      <c r="V1569" s="72">
        <v>0.938990571270105</v>
      </c>
      <c r="W1569" s="72">
        <v>0.927912721284479</v>
      </c>
      <c r="X1569" s="74">
        <v>0.92</v>
      </c>
      <c r="Y1569" s="74">
        <v>0</v>
      </c>
      <c r="Z1569" s="74">
        <v>0</v>
      </c>
      <c r="AA1569" s="74">
        <v>0</v>
      </c>
      <c r="AB1569" s="74">
        <v>0</v>
      </c>
      <c r="AC1569" s="74">
        <v>0.92</v>
      </c>
      <c r="AD1569" s="72">
        <v>1</v>
      </c>
      <c r="AE1569" s="72">
        <v>0.448275862068966</v>
      </c>
      <c r="AF1569" s="72">
        <v>0.56</v>
      </c>
      <c r="AG1569" s="72">
        <v>0.563025210084034</v>
      </c>
      <c r="AH1569" s="74">
        <v>0.92</v>
      </c>
      <c r="AI1569" s="72">
        <v>0.962566844919786</v>
      </c>
      <c r="AJ1569" s="72">
        <v>0.979190751445087</v>
      </c>
      <c r="AK1569" s="72">
        <v>0.981697171381032</v>
      </c>
      <c r="AL1569" s="72">
        <v>0.979415397282832</v>
      </c>
      <c r="AM1569" s="71">
        <v>0.99</v>
      </c>
      <c r="AN1569" s="76">
        <v>1</v>
      </c>
      <c r="AO1569" s="76">
        <v>1</v>
      </c>
      <c r="AP1569" s="76">
        <v>1</v>
      </c>
      <c r="AQ1569" s="76">
        <v>1</v>
      </c>
      <c r="AR1569" s="96">
        <v>0.110069253262963</v>
      </c>
      <c r="AS1569" s="80">
        <v>0</v>
      </c>
      <c r="AT1569" s="80">
        <v>0</v>
      </c>
      <c r="AU1569" s="80">
        <v>0</v>
      </c>
      <c r="AV1569" s="80">
        <v>0.0785714285714286</v>
      </c>
      <c r="AW1569" s="36"/>
      <c r="AX1569" s="34"/>
    </row>
    <row r="1570" ht="14.5" spans="1:50">
      <c r="A1570" s="32"/>
      <c r="B1570" s="36"/>
      <c r="C1570" s="91" t="s">
        <v>1473</v>
      </c>
      <c r="D1570" s="69" t="s">
        <v>27</v>
      </c>
      <c r="E1570" s="107" t="s">
        <v>1619</v>
      </c>
      <c r="F1570" s="107" t="s">
        <v>1619</v>
      </c>
      <c r="G1570" s="107" t="s">
        <v>1619</v>
      </c>
      <c r="H1570" s="107" t="s">
        <v>1619</v>
      </c>
      <c r="I1570" s="71">
        <v>0.9</v>
      </c>
      <c r="J1570" s="72">
        <v>0.954545454545455</v>
      </c>
      <c r="K1570" s="72">
        <v>0.95</v>
      </c>
      <c r="L1570" s="73">
        <v>1</v>
      </c>
      <c r="M1570" s="72">
        <v>0.954081632653061</v>
      </c>
      <c r="N1570" s="74">
        <v>0.9</v>
      </c>
      <c r="O1570" s="72">
        <v>0.844350679793718</v>
      </c>
      <c r="P1570" s="72">
        <v>0.81738768718802</v>
      </c>
      <c r="Q1570" s="72">
        <v>0.95004995004995</v>
      </c>
      <c r="R1570" s="72">
        <v>0.877060631461302</v>
      </c>
      <c r="S1570" s="74">
        <v>0.9</v>
      </c>
      <c r="T1570" s="72">
        <v>0.726207219878106</v>
      </c>
      <c r="U1570" s="72">
        <v>0.615640599001664</v>
      </c>
      <c r="V1570" s="72">
        <v>0.734265734265734</v>
      </c>
      <c r="W1570" s="72">
        <v>0.728080469404862</v>
      </c>
      <c r="X1570" s="74">
        <v>0.92</v>
      </c>
      <c r="Y1570" s="74">
        <v>0</v>
      </c>
      <c r="Z1570" s="74">
        <v>0</v>
      </c>
      <c r="AA1570" s="74">
        <v>0</v>
      </c>
      <c r="AB1570" s="74">
        <v>0</v>
      </c>
      <c r="AC1570" s="74">
        <v>0.92</v>
      </c>
      <c r="AD1570" s="72">
        <v>0.98993288590604</v>
      </c>
      <c r="AE1570" s="72">
        <v>0.997416020671835</v>
      </c>
      <c r="AF1570" s="72">
        <v>1</v>
      </c>
      <c r="AG1570" s="72">
        <v>0.998548094373866</v>
      </c>
      <c r="AH1570" s="74">
        <v>0.92</v>
      </c>
      <c r="AI1570" s="72">
        <v>0.828879512423816</v>
      </c>
      <c r="AJ1570" s="72">
        <v>0.763311148086522</v>
      </c>
      <c r="AK1570" s="72">
        <v>0.845154845154845</v>
      </c>
      <c r="AL1570" s="72">
        <v>0.84565521095278</v>
      </c>
      <c r="AM1570" s="71">
        <v>0.99</v>
      </c>
      <c r="AN1570" s="76">
        <v>1</v>
      </c>
      <c r="AO1570" s="76">
        <v>1</v>
      </c>
      <c r="AP1570" s="76">
        <v>1</v>
      </c>
      <c r="AQ1570" s="76">
        <v>1</v>
      </c>
      <c r="AR1570" s="96">
        <v>0.110069253262963</v>
      </c>
      <c r="AS1570" s="80">
        <v>0.119047619047619</v>
      </c>
      <c r="AT1570" s="80">
        <v>0.0689655172413793</v>
      </c>
      <c r="AU1570" s="80">
        <v>0.125</v>
      </c>
      <c r="AV1570" s="80">
        <v>0.101398601398601</v>
      </c>
      <c r="AW1570" s="36"/>
      <c r="AX1570" s="34"/>
    </row>
    <row r="1571" ht="14.5" spans="1:50">
      <c r="A1571" s="32"/>
      <c r="B1571" s="36"/>
      <c r="C1571" s="91" t="s">
        <v>1473</v>
      </c>
      <c r="D1571" s="69" t="s">
        <v>27</v>
      </c>
      <c r="E1571" s="107" t="s">
        <v>1620</v>
      </c>
      <c r="F1571" s="107" t="s">
        <v>1620</v>
      </c>
      <c r="G1571" s="107" t="s">
        <v>1620</v>
      </c>
      <c r="H1571" s="107" t="s">
        <v>1620</v>
      </c>
      <c r="I1571" s="71">
        <v>0.9</v>
      </c>
      <c r="J1571" s="72">
        <v>0.870967741935484</v>
      </c>
      <c r="K1571" s="72">
        <v>0.878787878787879</v>
      </c>
      <c r="L1571" s="73">
        <v>0.852941176470588</v>
      </c>
      <c r="M1571" s="72">
        <v>0.85472972972973</v>
      </c>
      <c r="N1571" s="74">
        <v>0.9</v>
      </c>
      <c r="O1571" s="72">
        <v>0.0928449744463373</v>
      </c>
      <c r="P1571" s="72">
        <v>0.122813156053184</v>
      </c>
      <c r="Q1571" s="72">
        <v>0.0890179003386551</v>
      </c>
      <c r="R1571" s="72">
        <v>0.0535985909855096</v>
      </c>
      <c r="S1571" s="74">
        <v>0.9</v>
      </c>
      <c r="T1571" s="72">
        <v>0.147075525269733</v>
      </c>
      <c r="U1571" s="72">
        <v>0.157452764170749</v>
      </c>
      <c r="V1571" s="72">
        <v>0.126753749395259</v>
      </c>
      <c r="W1571" s="72">
        <v>0.0788167480586022</v>
      </c>
      <c r="X1571" s="74">
        <v>0.92</v>
      </c>
      <c r="Y1571" s="74">
        <v>0</v>
      </c>
      <c r="Z1571" s="74">
        <v>0</v>
      </c>
      <c r="AA1571" s="74">
        <v>0</v>
      </c>
      <c r="AB1571" s="74">
        <v>0</v>
      </c>
      <c r="AC1571" s="74">
        <v>0.92</v>
      </c>
      <c r="AD1571" s="72">
        <v>0.692307692307692</v>
      </c>
      <c r="AE1571" s="72">
        <v>0</v>
      </c>
      <c r="AF1571" s="72">
        <v>0</v>
      </c>
      <c r="AG1571" s="72">
        <v>0.608695652173913</v>
      </c>
      <c r="AH1571" s="74">
        <v>0.92</v>
      </c>
      <c r="AI1571" s="72">
        <v>0.639478901161144</v>
      </c>
      <c r="AJ1571" s="72">
        <v>0.732423924449108</v>
      </c>
      <c r="AK1571" s="72">
        <v>0.742263056092843</v>
      </c>
      <c r="AL1571" s="72">
        <v>0.684848242492102</v>
      </c>
      <c r="AM1571" s="71">
        <v>0.99</v>
      </c>
      <c r="AN1571" s="76">
        <v>0</v>
      </c>
      <c r="AO1571" s="76">
        <v>0</v>
      </c>
      <c r="AP1571" s="76">
        <v>0</v>
      </c>
      <c r="AQ1571" s="76">
        <v>1</v>
      </c>
      <c r="AR1571" s="96">
        <v>0.110069253262963</v>
      </c>
      <c r="AS1571" s="80">
        <v>0.1</v>
      </c>
      <c r="AT1571" s="80">
        <v>0.08</v>
      </c>
      <c r="AU1571" s="80">
        <v>0.0666666666666667</v>
      </c>
      <c r="AV1571" s="80">
        <v>0.152838427947598</v>
      </c>
      <c r="AW1571" s="36"/>
      <c r="AX1571" s="34"/>
    </row>
    <row r="1572" ht="14.5" spans="1:50">
      <c r="A1572" s="32"/>
      <c r="B1572" s="36"/>
      <c r="C1572" s="91" t="s">
        <v>1473</v>
      </c>
      <c r="D1572" s="69" t="s">
        <v>27</v>
      </c>
      <c r="E1572" s="107" t="s">
        <v>1621</v>
      </c>
      <c r="F1572" s="107" t="s">
        <v>1621</v>
      </c>
      <c r="G1572" s="107" t="s">
        <v>1621</v>
      </c>
      <c r="H1572" s="107" t="s">
        <v>1621</v>
      </c>
      <c r="I1572" s="71">
        <v>0.9</v>
      </c>
      <c r="J1572" s="72">
        <v>1</v>
      </c>
      <c r="K1572" s="72">
        <v>1</v>
      </c>
      <c r="L1572" s="73">
        <v>0.8</v>
      </c>
      <c r="M1572" s="72">
        <v>0.973214285714286</v>
      </c>
      <c r="N1572" s="74">
        <v>0.9</v>
      </c>
      <c r="O1572" s="72">
        <v>0</v>
      </c>
      <c r="P1572" s="72">
        <v>0</v>
      </c>
      <c r="Q1572" s="72">
        <v>0</v>
      </c>
      <c r="R1572" s="72">
        <v>0</v>
      </c>
      <c r="S1572" s="74">
        <v>0.9</v>
      </c>
      <c r="T1572" s="72">
        <v>0</v>
      </c>
      <c r="U1572" s="72">
        <v>0</v>
      </c>
      <c r="V1572" s="72">
        <v>0</v>
      </c>
      <c r="W1572" s="72">
        <v>0</v>
      </c>
      <c r="X1572" s="74">
        <v>0.92</v>
      </c>
      <c r="Y1572" s="74">
        <v>0</v>
      </c>
      <c r="Z1572" s="74">
        <v>0</v>
      </c>
      <c r="AA1572" s="74">
        <v>0</v>
      </c>
      <c r="AB1572" s="74">
        <v>0</v>
      </c>
      <c r="AC1572" s="74">
        <v>0.92</v>
      </c>
      <c r="AD1572" s="72">
        <v>0</v>
      </c>
      <c r="AE1572" s="72">
        <v>0</v>
      </c>
      <c r="AF1572" s="72">
        <v>0.1</v>
      </c>
      <c r="AG1572" s="72">
        <v>0.0526315789473684</v>
      </c>
      <c r="AH1572" s="74">
        <v>0.92</v>
      </c>
      <c r="AI1572" s="72">
        <v>0.990885416666667</v>
      </c>
      <c r="AJ1572" s="72">
        <v>0.995253164556962</v>
      </c>
      <c r="AK1572" s="72">
        <v>0.993788819875776</v>
      </c>
      <c r="AL1572" s="72">
        <v>0.994633477963005</v>
      </c>
      <c r="AM1572" s="71">
        <v>0.99</v>
      </c>
      <c r="AN1572" s="76">
        <v>0</v>
      </c>
      <c r="AO1572" s="76">
        <v>0</v>
      </c>
      <c r="AP1572" s="76">
        <v>0</v>
      </c>
      <c r="AQ1572" s="76">
        <v>1</v>
      </c>
      <c r="AR1572" s="96">
        <v>0.110069253262963</v>
      </c>
      <c r="AS1572" s="80">
        <v>0.6</v>
      </c>
      <c r="AT1572" s="80">
        <v>0</v>
      </c>
      <c r="AU1572" s="80">
        <v>0.166666666666667</v>
      </c>
      <c r="AV1572" s="80">
        <v>0.140350877192982</v>
      </c>
      <c r="AW1572" s="36"/>
      <c r="AX1572" s="34"/>
    </row>
    <row r="1573" ht="14.5" spans="1:50">
      <c r="A1573" s="32"/>
      <c r="B1573" s="36"/>
      <c r="C1573" s="91" t="s">
        <v>1473</v>
      </c>
      <c r="D1573" s="69" t="s">
        <v>27</v>
      </c>
      <c r="E1573" s="107" t="s">
        <v>1622</v>
      </c>
      <c r="F1573" s="107" t="s">
        <v>1622</v>
      </c>
      <c r="G1573" s="107" t="s">
        <v>1622</v>
      </c>
      <c r="H1573" s="107" t="s">
        <v>1622</v>
      </c>
      <c r="I1573" s="71">
        <v>0.9</v>
      </c>
      <c r="J1573" s="72">
        <v>0.96875</v>
      </c>
      <c r="K1573" s="72">
        <v>0.973684210526316</v>
      </c>
      <c r="L1573" s="73">
        <v>0.868421052631579</v>
      </c>
      <c r="M1573" s="72">
        <v>0.946268656716418</v>
      </c>
      <c r="N1573" s="74">
        <v>0.9</v>
      </c>
      <c r="O1573" s="72">
        <v>0.980107115531752</v>
      </c>
      <c r="P1573" s="72">
        <v>0.998049731838128</v>
      </c>
      <c r="Q1573" s="72">
        <v>0.998103366524419</v>
      </c>
      <c r="R1573" s="72">
        <v>0.991789344232647</v>
      </c>
      <c r="S1573" s="74">
        <v>0.9</v>
      </c>
      <c r="T1573" s="72">
        <v>0.924254016832441</v>
      </c>
      <c r="U1573" s="72">
        <v>0.944173573866407</v>
      </c>
      <c r="V1573" s="72">
        <v>0.956377430061641</v>
      </c>
      <c r="W1573" s="72">
        <v>0.950446703078092</v>
      </c>
      <c r="X1573" s="74">
        <v>0.92</v>
      </c>
      <c r="Y1573" s="74">
        <v>1</v>
      </c>
      <c r="Z1573" s="74">
        <v>0</v>
      </c>
      <c r="AA1573" s="74">
        <v>0</v>
      </c>
      <c r="AB1573" s="74">
        <v>1</v>
      </c>
      <c r="AC1573" s="74">
        <v>0.92</v>
      </c>
      <c r="AD1573" s="72">
        <v>0.811320754716981</v>
      </c>
      <c r="AE1573" s="72">
        <v>1</v>
      </c>
      <c r="AF1573" s="72">
        <v>1</v>
      </c>
      <c r="AG1573" s="72">
        <v>0.928994082840237</v>
      </c>
      <c r="AH1573" s="74">
        <v>0.92</v>
      </c>
      <c r="AI1573" s="72">
        <v>0.948757170172084</v>
      </c>
      <c r="AJ1573" s="72">
        <v>0.977815699658703</v>
      </c>
      <c r="AK1573" s="72">
        <v>0.988620199146515</v>
      </c>
      <c r="AL1573" s="72">
        <v>0.980794270833333</v>
      </c>
      <c r="AM1573" s="71">
        <v>0.99</v>
      </c>
      <c r="AN1573" s="76">
        <v>1</v>
      </c>
      <c r="AO1573" s="76">
        <v>1</v>
      </c>
      <c r="AP1573" s="76">
        <v>1</v>
      </c>
      <c r="AQ1573" s="76">
        <v>1</v>
      </c>
      <c r="AR1573" s="96">
        <v>0.110069253262963</v>
      </c>
      <c r="AS1573" s="80">
        <v>0</v>
      </c>
      <c r="AT1573" s="80">
        <v>0.153846153846154</v>
      </c>
      <c r="AU1573" s="80">
        <v>0</v>
      </c>
      <c r="AV1573" s="80">
        <v>0.0650887573964497</v>
      </c>
      <c r="AW1573" s="36"/>
      <c r="AX1573" s="34"/>
    </row>
    <row r="1574" ht="14.5" spans="1:50">
      <c r="A1574" s="32"/>
      <c r="B1574" s="36"/>
      <c r="C1574" s="91" t="s">
        <v>1473</v>
      </c>
      <c r="D1574" s="69" t="s">
        <v>27</v>
      </c>
      <c r="E1574" s="107" t="s">
        <v>1623</v>
      </c>
      <c r="F1574" s="107" t="s">
        <v>1623</v>
      </c>
      <c r="G1574" s="107" t="s">
        <v>1623</v>
      </c>
      <c r="H1574" s="107" t="s">
        <v>1623</v>
      </c>
      <c r="I1574" s="71">
        <v>0.9</v>
      </c>
      <c r="J1574" s="72">
        <v>0.75</v>
      </c>
      <c r="K1574" s="72">
        <v>0.857142857142857</v>
      </c>
      <c r="L1574" s="73">
        <v>0.833333333333333</v>
      </c>
      <c r="M1574" s="72">
        <v>0.825396825396825</v>
      </c>
      <c r="N1574" s="74">
        <v>0.9</v>
      </c>
      <c r="O1574" s="72">
        <v>0</v>
      </c>
      <c r="P1574" s="72">
        <v>0</v>
      </c>
      <c r="Q1574" s="72">
        <v>0</v>
      </c>
      <c r="R1574" s="72">
        <v>0</v>
      </c>
      <c r="S1574" s="74">
        <v>0.9</v>
      </c>
      <c r="T1574" s="72">
        <v>0</v>
      </c>
      <c r="U1574" s="72">
        <v>0</v>
      </c>
      <c r="V1574" s="72">
        <v>0</v>
      </c>
      <c r="W1574" s="72">
        <v>0</v>
      </c>
      <c r="X1574" s="74">
        <v>0.92</v>
      </c>
      <c r="Y1574" s="74">
        <v>0</v>
      </c>
      <c r="Z1574" s="74">
        <v>0</v>
      </c>
      <c r="AA1574" s="74">
        <v>0</v>
      </c>
      <c r="AB1574" s="74">
        <v>0</v>
      </c>
      <c r="AC1574" s="74">
        <v>0.92</v>
      </c>
      <c r="AD1574" s="72">
        <v>0</v>
      </c>
      <c r="AE1574" s="72">
        <v>0</v>
      </c>
      <c r="AF1574" s="72">
        <v>0</v>
      </c>
      <c r="AG1574" s="72">
        <v>0.2</v>
      </c>
      <c r="AH1574" s="74">
        <v>0.92</v>
      </c>
      <c r="AI1574" s="72">
        <v>0.627646326276463</v>
      </c>
      <c r="AJ1574" s="72">
        <v>0.734758511480602</v>
      </c>
      <c r="AK1574" s="72">
        <v>0.703345724907063</v>
      </c>
      <c r="AL1574" s="72">
        <v>0.724520118865955</v>
      </c>
      <c r="AM1574" s="71">
        <v>0.99</v>
      </c>
      <c r="AN1574" s="76">
        <v>0</v>
      </c>
      <c r="AO1574" s="76">
        <v>0</v>
      </c>
      <c r="AP1574" s="76">
        <v>0</v>
      </c>
      <c r="AQ1574" s="76">
        <v>0</v>
      </c>
      <c r="AR1574" s="96">
        <v>0.110069253262963</v>
      </c>
      <c r="AS1574" s="80">
        <v>0</v>
      </c>
      <c r="AT1574" s="80">
        <v>0</v>
      </c>
      <c r="AU1574" s="80">
        <v>0.133333333333333</v>
      </c>
      <c r="AV1574" s="80">
        <v>0.0902255639097744</v>
      </c>
      <c r="AW1574" s="36"/>
      <c r="AX1574" s="34"/>
    </row>
    <row r="1575" ht="14.5" spans="1:50">
      <c r="A1575" s="32"/>
      <c r="B1575" s="36"/>
      <c r="C1575" s="91" t="s">
        <v>1473</v>
      </c>
      <c r="D1575" s="69" t="s">
        <v>27</v>
      </c>
      <c r="E1575" s="107" t="s">
        <v>1624</v>
      </c>
      <c r="F1575" s="107" t="s">
        <v>1624</v>
      </c>
      <c r="G1575" s="107" t="s">
        <v>1624</v>
      </c>
      <c r="H1575" s="107" t="s">
        <v>1624</v>
      </c>
      <c r="I1575" s="71">
        <v>0.9</v>
      </c>
      <c r="J1575" s="72">
        <v>0.833333333333333</v>
      </c>
      <c r="K1575" s="72">
        <v>0.772727272727273</v>
      </c>
      <c r="L1575" s="73">
        <v>0.727272727272727</v>
      </c>
      <c r="M1575" s="72">
        <v>0.551912568306011</v>
      </c>
      <c r="N1575" s="74">
        <v>0.9</v>
      </c>
      <c r="O1575" s="72">
        <v>0</v>
      </c>
      <c r="P1575" s="72">
        <v>0</v>
      </c>
      <c r="Q1575" s="72">
        <v>0</v>
      </c>
      <c r="R1575" s="72">
        <v>0</v>
      </c>
      <c r="S1575" s="74">
        <v>0.9</v>
      </c>
      <c r="T1575" s="72">
        <v>0</v>
      </c>
      <c r="U1575" s="72">
        <v>0</v>
      </c>
      <c r="V1575" s="72">
        <v>0</v>
      </c>
      <c r="W1575" s="72">
        <v>0</v>
      </c>
      <c r="X1575" s="74">
        <v>0.92</v>
      </c>
      <c r="Y1575" s="74">
        <v>0</v>
      </c>
      <c r="Z1575" s="74">
        <v>0</v>
      </c>
      <c r="AA1575" s="74">
        <v>0</v>
      </c>
      <c r="AB1575" s="74">
        <v>0</v>
      </c>
      <c r="AC1575" s="74">
        <v>0.92</v>
      </c>
      <c r="AD1575" s="72">
        <v>0</v>
      </c>
      <c r="AE1575" s="72">
        <v>0</v>
      </c>
      <c r="AF1575" s="72">
        <v>0.4</v>
      </c>
      <c r="AG1575" s="72">
        <v>0.0727272727272727</v>
      </c>
      <c r="AH1575" s="74">
        <v>0.92</v>
      </c>
      <c r="AI1575" s="72">
        <v>0.807764558547276</v>
      </c>
      <c r="AJ1575" s="72">
        <v>0.753003003003003</v>
      </c>
      <c r="AK1575" s="72">
        <v>0.742760617760618</v>
      </c>
      <c r="AL1575" s="72">
        <v>0.748210498409332</v>
      </c>
      <c r="AM1575" s="71">
        <v>0.99</v>
      </c>
      <c r="AN1575" s="76">
        <v>0</v>
      </c>
      <c r="AO1575" s="76">
        <v>0</v>
      </c>
      <c r="AP1575" s="76">
        <v>0</v>
      </c>
      <c r="AQ1575" s="76">
        <v>1</v>
      </c>
      <c r="AR1575" s="96">
        <v>0.110069253262963</v>
      </c>
      <c r="AS1575" s="80">
        <v>0.0625</v>
      </c>
      <c r="AT1575" s="80">
        <v>0.0227272727272727</v>
      </c>
      <c r="AU1575" s="80">
        <v>0.0540540540540541</v>
      </c>
      <c r="AV1575" s="80">
        <v>0.0880681818181818</v>
      </c>
      <c r="AW1575" s="36"/>
      <c r="AX1575" s="34"/>
    </row>
    <row r="1576" ht="14.5" spans="1:50">
      <c r="A1576" s="32"/>
      <c r="B1576" s="36"/>
      <c r="C1576" s="91" t="s">
        <v>1473</v>
      </c>
      <c r="D1576" s="69" t="s">
        <v>27</v>
      </c>
      <c r="E1576" s="107" t="s">
        <v>1625</v>
      </c>
      <c r="F1576" s="107" t="s">
        <v>1625</v>
      </c>
      <c r="G1576" s="107" t="s">
        <v>1625</v>
      </c>
      <c r="H1576" s="107" t="s">
        <v>1625</v>
      </c>
      <c r="I1576" s="71">
        <v>0.9</v>
      </c>
      <c r="J1576" s="72">
        <v>0.5</v>
      </c>
      <c r="K1576" s="72">
        <v>0.4</v>
      </c>
      <c r="L1576" s="73">
        <v>0.5</v>
      </c>
      <c r="M1576" s="72">
        <v>0.416666666666667</v>
      </c>
      <c r="N1576" s="74">
        <v>0.9</v>
      </c>
      <c r="O1576" s="72">
        <v>0</v>
      </c>
      <c r="P1576" s="72">
        <v>0</v>
      </c>
      <c r="Q1576" s="72">
        <v>0</v>
      </c>
      <c r="R1576" s="72">
        <v>0</v>
      </c>
      <c r="S1576" s="74">
        <v>0.9</v>
      </c>
      <c r="T1576" s="72">
        <v>0</v>
      </c>
      <c r="U1576" s="72">
        <v>0</v>
      </c>
      <c r="V1576" s="72">
        <v>0</v>
      </c>
      <c r="W1576" s="72">
        <v>0</v>
      </c>
      <c r="X1576" s="74">
        <v>0.92</v>
      </c>
      <c r="Y1576" s="74">
        <v>0</v>
      </c>
      <c r="Z1576" s="74">
        <v>0</v>
      </c>
      <c r="AA1576" s="74">
        <v>0</v>
      </c>
      <c r="AB1576" s="74">
        <v>0</v>
      </c>
      <c r="AC1576" s="74">
        <v>0.92</v>
      </c>
      <c r="AD1576" s="72">
        <v>0.333333333333333</v>
      </c>
      <c r="AE1576" s="72">
        <v>0</v>
      </c>
      <c r="AF1576" s="72">
        <v>0.333333333333333</v>
      </c>
      <c r="AG1576" s="72">
        <v>0.375</v>
      </c>
      <c r="AH1576" s="74">
        <v>0.92</v>
      </c>
      <c r="AI1576" s="72">
        <v>0.86438809261301</v>
      </c>
      <c r="AJ1576" s="72">
        <v>0.884401114206128</v>
      </c>
      <c r="AK1576" s="72">
        <v>0.911039657020364</v>
      </c>
      <c r="AL1576" s="72">
        <v>0.892898052691867</v>
      </c>
      <c r="AM1576" s="71">
        <v>0.99</v>
      </c>
      <c r="AN1576" s="76">
        <v>0</v>
      </c>
      <c r="AO1576" s="76">
        <v>1</v>
      </c>
      <c r="AP1576" s="76">
        <v>1</v>
      </c>
      <c r="AQ1576" s="76">
        <v>1</v>
      </c>
      <c r="AR1576" s="96">
        <v>0.110069253262963</v>
      </c>
      <c r="AS1576" s="80">
        <v>0</v>
      </c>
      <c r="AT1576" s="80">
        <v>0.0833333333333333</v>
      </c>
      <c r="AU1576" s="80">
        <v>0.166666666666667</v>
      </c>
      <c r="AV1576" s="80">
        <v>0.0833333333333333</v>
      </c>
      <c r="AW1576" s="36"/>
      <c r="AX1576" s="34"/>
    </row>
    <row r="1577" ht="14.5" spans="1:50">
      <c r="A1577" s="32"/>
      <c r="B1577" s="36"/>
      <c r="C1577" s="91" t="s">
        <v>1473</v>
      </c>
      <c r="D1577" s="69" t="s">
        <v>27</v>
      </c>
      <c r="E1577" s="107" t="s">
        <v>1626</v>
      </c>
      <c r="F1577" s="107" t="s">
        <v>1626</v>
      </c>
      <c r="G1577" s="107" t="s">
        <v>1626</v>
      </c>
      <c r="H1577" s="107" t="s">
        <v>1626</v>
      </c>
      <c r="I1577" s="71">
        <v>0.9</v>
      </c>
      <c r="J1577" s="72">
        <v>0.875</v>
      </c>
      <c r="K1577" s="72">
        <v>0.8125</v>
      </c>
      <c r="L1577" s="73">
        <v>0.923076923076923</v>
      </c>
      <c r="M1577" s="72">
        <v>0.900763358778626</v>
      </c>
      <c r="N1577" s="74">
        <v>0.9</v>
      </c>
      <c r="O1577" s="72">
        <v>0</v>
      </c>
      <c r="P1577" s="72">
        <v>0</v>
      </c>
      <c r="Q1577" s="72">
        <v>0</v>
      </c>
      <c r="R1577" s="72">
        <v>0</v>
      </c>
      <c r="S1577" s="74">
        <v>0.9</v>
      </c>
      <c r="T1577" s="72">
        <v>0</v>
      </c>
      <c r="U1577" s="72">
        <v>0</v>
      </c>
      <c r="V1577" s="72">
        <v>0</v>
      </c>
      <c r="W1577" s="72">
        <v>0</v>
      </c>
      <c r="X1577" s="74">
        <v>0.92</v>
      </c>
      <c r="Y1577" s="74">
        <v>0</v>
      </c>
      <c r="Z1577" s="74">
        <v>0</v>
      </c>
      <c r="AA1577" s="74">
        <v>0</v>
      </c>
      <c r="AB1577" s="74">
        <v>0</v>
      </c>
      <c r="AC1577" s="74">
        <v>0.92</v>
      </c>
      <c r="AD1577" s="72">
        <v>0.857142857142857</v>
      </c>
      <c r="AE1577" s="72">
        <v>1</v>
      </c>
      <c r="AF1577" s="72">
        <v>1</v>
      </c>
      <c r="AG1577" s="72">
        <v>0.833333333333333</v>
      </c>
      <c r="AH1577" s="74">
        <v>0.92</v>
      </c>
      <c r="AI1577" s="72">
        <v>0.887152777777778</v>
      </c>
      <c r="AJ1577" s="72">
        <v>0.902901785714286</v>
      </c>
      <c r="AK1577" s="72">
        <v>0.967340590979782</v>
      </c>
      <c r="AL1577" s="72">
        <v>0.936794842274925</v>
      </c>
      <c r="AM1577" s="71">
        <v>0.99</v>
      </c>
      <c r="AN1577" s="76">
        <v>0</v>
      </c>
      <c r="AO1577" s="76">
        <v>0</v>
      </c>
      <c r="AP1577" s="76">
        <v>0</v>
      </c>
      <c r="AQ1577" s="76">
        <v>1</v>
      </c>
      <c r="AR1577" s="96">
        <v>0.110069253262963</v>
      </c>
      <c r="AS1577" s="80">
        <v>0.111111111111111</v>
      </c>
      <c r="AT1577" s="80">
        <v>0</v>
      </c>
      <c r="AU1577" s="80">
        <v>0.105263157894737</v>
      </c>
      <c r="AV1577" s="80">
        <v>0.121428571428571</v>
      </c>
      <c r="AW1577" s="36"/>
      <c r="AX1577" s="34"/>
    </row>
    <row r="1578" ht="14.5" spans="1:50">
      <c r="A1578" s="32"/>
      <c r="B1578" s="36"/>
      <c r="C1578" s="91" t="s">
        <v>1473</v>
      </c>
      <c r="D1578" s="69" t="s">
        <v>27</v>
      </c>
      <c r="E1578" s="107" t="s">
        <v>1627</v>
      </c>
      <c r="F1578" s="107" t="s">
        <v>1627</v>
      </c>
      <c r="G1578" s="107" t="s">
        <v>1627</v>
      </c>
      <c r="H1578" s="107" t="s">
        <v>1627</v>
      </c>
      <c r="I1578" s="71">
        <v>0.9</v>
      </c>
      <c r="J1578" s="72">
        <v>0.642857142857143</v>
      </c>
      <c r="K1578" s="72">
        <v>0.611111111111111</v>
      </c>
      <c r="L1578" s="73">
        <v>0.611111111111111</v>
      </c>
      <c r="M1578" s="72">
        <v>0.619354838709677</v>
      </c>
      <c r="N1578" s="74">
        <v>0.9</v>
      </c>
      <c r="O1578" s="72">
        <v>0</v>
      </c>
      <c r="P1578" s="72">
        <v>0</v>
      </c>
      <c r="Q1578" s="72">
        <v>0</v>
      </c>
      <c r="R1578" s="72">
        <v>0</v>
      </c>
      <c r="S1578" s="74">
        <v>0.9</v>
      </c>
      <c r="T1578" s="72">
        <v>0</v>
      </c>
      <c r="U1578" s="72">
        <v>0</v>
      </c>
      <c r="V1578" s="72">
        <v>0</v>
      </c>
      <c r="W1578" s="72">
        <v>0.25</v>
      </c>
      <c r="X1578" s="74">
        <v>0.92</v>
      </c>
      <c r="Y1578" s="74">
        <v>0</v>
      </c>
      <c r="Z1578" s="74">
        <v>0</v>
      </c>
      <c r="AA1578" s="74">
        <v>0</v>
      </c>
      <c r="AB1578" s="74">
        <v>0</v>
      </c>
      <c r="AC1578" s="74">
        <v>0.92</v>
      </c>
      <c r="AD1578" s="72">
        <v>0</v>
      </c>
      <c r="AE1578" s="72">
        <v>0</v>
      </c>
      <c r="AF1578" s="72">
        <v>0</v>
      </c>
      <c r="AG1578" s="72">
        <v>0.075</v>
      </c>
      <c r="AH1578" s="74">
        <v>0.92</v>
      </c>
      <c r="AI1578" s="72">
        <v>0.90948275862069</v>
      </c>
      <c r="AJ1578" s="72">
        <v>0.942678774120318</v>
      </c>
      <c r="AK1578" s="72">
        <v>0.952635599694423</v>
      </c>
      <c r="AL1578" s="72">
        <v>0.95785379792047</v>
      </c>
      <c r="AM1578" s="71">
        <v>0.99</v>
      </c>
      <c r="AN1578" s="76">
        <v>0</v>
      </c>
      <c r="AO1578" s="76">
        <v>0</v>
      </c>
      <c r="AP1578" s="76">
        <v>0</v>
      </c>
      <c r="AQ1578" s="76">
        <v>1</v>
      </c>
      <c r="AR1578" s="96">
        <v>0.110069253262963</v>
      </c>
      <c r="AS1578" s="80">
        <v>0</v>
      </c>
      <c r="AT1578" s="80">
        <v>0.05</v>
      </c>
      <c r="AU1578" s="80">
        <v>0.105263157894737</v>
      </c>
      <c r="AV1578" s="80">
        <v>0.0740740740740741</v>
      </c>
      <c r="AW1578" s="36"/>
      <c r="AX1578" s="34"/>
    </row>
    <row r="1579" ht="14.5" spans="1:50">
      <c r="A1579" s="32"/>
      <c r="B1579" s="36"/>
      <c r="C1579" s="91" t="s">
        <v>1473</v>
      </c>
      <c r="D1579" s="69" t="s">
        <v>27</v>
      </c>
      <c r="E1579" s="107" t="s">
        <v>1628</v>
      </c>
      <c r="F1579" s="107" t="s">
        <v>1628</v>
      </c>
      <c r="G1579" s="107" t="s">
        <v>1628</v>
      </c>
      <c r="H1579" s="107" t="s">
        <v>1628</v>
      </c>
      <c r="I1579" s="71">
        <v>0.9</v>
      </c>
      <c r="J1579" s="72">
        <v>0.964285714285714</v>
      </c>
      <c r="K1579" s="72">
        <v>0.933333333333333</v>
      </c>
      <c r="L1579" s="73">
        <v>0.96969696969697</v>
      </c>
      <c r="M1579" s="72">
        <v>0.951310861423221</v>
      </c>
      <c r="N1579" s="74">
        <v>0.9</v>
      </c>
      <c r="O1579" s="72">
        <v>0.968402046343665</v>
      </c>
      <c r="P1579" s="72">
        <v>0.974463738508682</v>
      </c>
      <c r="Q1579" s="72">
        <v>0.957426376440461</v>
      </c>
      <c r="R1579" s="72">
        <v>0.961757709053369</v>
      </c>
      <c r="S1579" s="74">
        <v>0.9</v>
      </c>
      <c r="T1579" s="72">
        <v>0.364730665061691</v>
      </c>
      <c r="U1579" s="72">
        <v>0.654749744637385</v>
      </c>
      <c r="V1579" s="72">
        <v>0.583226632522407</v>
      </c>
      <c r="W1579" s="72">
        <v>0.51838053772611</v>
      </c>
      <c r="X1579" s="74">
        <v>0.92</v>
      </c>
      <c r="Y1579" s="74">
        <v>0</v>
      </c>
      <c r="Z1579" s="74">
        <v>0</v>
      </c>
      <c r="AA1579" s="74">
        <v>0</v>
      </c>
      <c r="AB1579" s="74">
        <v>0</v>
      </c>
      <c r="AC1579" s="74">
        <v>0.92</v>
      </c>
      <c r="AD1579" s="72">
        <v>0.923076923076923</v>
      </c>
      <c r="AE1579" s="72">
        <v>0.951219512195122</v>
      </c>
      <c r="AF1579" s="72">
        <v>1</v>
      </c>
      <c r="AG1579" s="72">
        <v>0.937142857142857</v>
      </c>
      <c r="AH1579" s="74">
        <v>0.92</v>
      </c>
      <c r="AI1579" s="72">
        <v>0.798675895275354</v>
      </c>
      <c r="AJ1579" s="72">
        <v>0.864657814096016</v>
      </c>
      <c r="AK1579" s="72">
        <v>0.911651728553137</v>
      </c>
      <c r="AL1579" s="72">
        <v>0.853545780969479</v>
      </c>
      <c r="AM1579" s="71">
        <v>0.99</v>
      </c>
      <c r="AN1579" s="76">
        <v>1</v>
      </c>
      <c r="AO1579" s="76">
        <v>1</v>
      </c>
      <c r="AP1579" s="76">
        <v>1</v>
      </c>
      <c r="AQ1579" s="76">
        <v>1</v>
      </c>
      <c r="AR1579" s="96">
        <v>0.110069253262963</v>
      </c>
      <c r="AS1579" s="80">
        <v>0.0833333333333333</v>
      </c>
      <c r="AT1579" s="80">
        <v>0</v>
      </c>
      <c r="AU1579" s="80">
        <v>0</v>
      </c>
      <c r="AV1579" s="80">
        <v>0.0833333333333333</v>
      </c>
      <c r="AW1579" s="36"/>
      <c r="AX1579" s="34"/>
    </row>
    <row r="1580" ht="14.5" spans="1:50">
      <c r="A1580" s="32"/>
      <c r="B1580" s="36"/>
      <c r="C1580" s="91" t="s">
        <v>1473</v>
      </c>
      <c r="D1580" s="69" t="s">
        <v>27</v>
      </c>
      <c r="E1580" s="107" t="s">
        <v>1629</v>
      </c>
      <c r="F1580" s="107" t="s">
        <v>1629</v>
      </c>
      <c r="G1580" s="107" t="s">
        <v>1629</v>
      </c>
      <c r="H1580" s="107" t="s">
        <v>1629</v>
      </c>
      <c r="I1580" s="71">
        <v>0.9</v>
      </c>
      <c r="J1580" s="72">
        <v>0.975609756097561</v>
      </c>
      <c r="K1580" s="72">
        <v>0.975</v>
      </c>
      <c r="L1580" s="73">
        <v>1</v>
      </c>
      <c r="M1580" s="72">
        <v>0.961538461538462</v>
      </c>
      <c r="N1580" s="74">
        <v>0.9</v>
      </c>
      <c r="O1580" s="72">
        <v>0.914781297134238</v>
      </c>
      <c r="P1580" s="72">
        <v>0.82621454189762</v>
      </c>
      <c r="Q1580" s="72">
        <v>0.937098844672657</v>
      </c>
      <c r="R1580" s="72">
        <v>0.885734444295122</v>
      </c>
      <c r="S1580" s="74">
        <v>0.9</v>
      </c>
      <c r="T1580" s="72">
        <v>0.293363499245852</v>
      </c>
      <c r="U1580" s="72">
        <v>0.317248125203782</v>
      </c>
      <c r="V1580" s="72">
        <v>0.298331193838254</v>
      </c>
      <c r="W1580" s="72">
        <v>0.362552076333826</v>
      </c>
      <c r="X1580" s="74">
        <v>0.92</v>
      </c>
      <c r="Y1580" s="74">
        <v>0</v>
      </c>
      <c r="Z1580" s="74">
        <v>0</v>
      </c>
      <c r="AA1580" s="74">
        <v>0</v>
      </c>
      <c r="AB1580" s="74">
        <v>0</v>
      </c>
      <c r="AC1580" s="74">
        <v>0.92</v>
      </c>
      <c r="AD1580" s="72">
        <v>0.333333333333333</v>
      </c>
      <c r="AE1580" s="72">
        <v>1</v>
      </c>
      <c r="AF1580" s="72">
        <v>1</v>
      </c>
      <c r="AG1580" s="72">
        <v>0.853448275862069</v>
      </c>
      <c r="AH1580" s="74">
        <v>0.92</v>
      </c>
      <c r="AI1580" s="72">
        <v>0.891654097536451</v>
      </c>
      <c r="AJ1580" s="72">
        <v>0.812520378219759</v>
      </c>
      <c r="AK1580" s="72">
        <v>0.922504490633821</v>
      </c>
      <c r="AL1580" s="72">
        <v>0.873278236914601</v>
      </c>
      <c r="AM1580" s="71">
        <v>0.99</v>
      </c>
      <c r="AN1580" s="76">
        <v>1</v>
      </c>
      <c r="AO1580" s="76">
        <v>1</v>
      </c>
      <c r="AP1580" s="76">
        <v>1</v>
      </c>
      <c r="AQ1580" s="76">
        <v>1</v>
      </c>
      <c r="AR1580" s="96">
        <v>0.110069253262963</v>
      </c>
      <c r="AS1580" s="80">
        <v>0.0384615384615385</v>
      </c>
      <c r="AT1580" s="80">
        <v>0.0769230769230769</v>
      </c>
      <c r="AU1580" s="80">
        <v>0</v>
      </c>
      <c r="AV1580" s="80">
        <v>0.0754716981132075</v>
      </c>
      <c r="AW1580" s="36"/>
      <c r="AX1580" s="34"/>
    </row>
    <row r="1581" ht="14.5" spans="1:50">
      <c r="A1581" s="32"/>
      <c r="B1581" s="36"/>
      <c r="C1581" s="91" t="s">
        <v>1473</v>
      </c>
      <c r="D1581" s="69" t="s">
        <v>27</v>
      </c>
      <c r="E1581" s="107" t="s">
        <v>1630</v>
      </c>
      <c r="F1581" s="107" t="s">
        <v>1630</v>
      </c>
      <c r="G1581" s="107" t="s">
        <v>1630</v>
      </c>
      <c r="H1581" s="107" t="s">
        <v>1630</v>
      </c>
      <c r="I1581" s="71">
        <v>0.9</v>
      </c>
      <c r="J1581" s="72">
        <v>1</v>
      </c>
      <c r="K1581" s="72">
        <v>0.957446808510638</v>
      </c>
      <c r="L1581" s="73">
        <v>1</v>
      </c>
      <c r="M1581" s="72">
        <v>0.990566037735849</v>
      </c>
      <c r="N1581" s="74">
        <v>0.9</v>
      </c>
      <c r="O1581" s="72">
        <v>0.958399681528662</v>
      </c>
      <c r="P1581" s="72">
        <v>0.988451086956522</v>
      </c>
      <c r="Q1581" s="72">
        <v>0.984723854289072</v>
      </c>
      <c r="R1581" s="72">
        <v>0.976412858616556</v>
      </c>
      <c r="S1581" s="74">
        <v>0.9</v>
      </c>
      <c r="T1581" s="72">
        <v>0.607882165605096</v>
      </c>
      <c r="U1581" s="72">
        <v>0.835258152173913</v>
      </c>
      <c r="V1581" s="72">
        <v>0.716216216216216</v>
      </c>
      <c r="W1581" s="72">
        <v>0.733348203083614</v>
      </c>
      <c r="X1581" s="74">
        <v>0.92</v>
      </c>
      <c r="Y1581" s="74">
        <v>0</v>
      </c>
      <c r="Z1581" s="74">
        <v>0</v>
      </c>
      <c r="AA1581" s="74">
        <v>0</v>
      </c>
      <c r="AB1581" s="74">
        <v>0</v>
      </c>
      <c r="AC1581" s="74">
        <v>0.92</v>
      </c>
      <c r="AD1581" s="72">
        <v>1</v>
      </c>
      <c r="AE1581" s="72">
        <v>0.95</v>
      </c>
      <c r="AF1581" s="72">
        <v>0.888888888888889</v>
      </c>
      <c r="AG1581" s="72">
        <v>0.943127962085308</v>
      </c>
      <c r="AH1581" s="74">
        <v>0.92</v>
      </c>
      <c r="AI1581" s="72">
        <v>0.905851910828026</v>
      </c>
      <c r="AJ1581" s="72">
        <v>0.9375</v>
      </c>
      <c r="AK1581" s="72">
        <v>0.95828437132785</v>
      </c>
      <c r="AL1581" s="72">
        <v>0.940814050738779</v>
      </c>
      <c r="AM1581" s="71">
        <v>0.99</v>
      </c>
      <c r="AN1581" s="76">
        <v>1</v>
      </c>
      <c r="AO1581" s="76">
        <v>1</v>
      </c>
      <c r="AP1581" s="76">
        <v>1</v>
      </c>
      <c r="AQ1581" s="76">
        <v>1</v>
      </c>
      <c r="AR1581" s="96">
        <v>0.110069253262963</v>
      </c>
      <c r="AS1581" s="80">
        <v>0.08</v>
      </c>
      <c r="AT1581" s="80">
        <v>0</v>
      </c>
      <c r="AU1581" s="80">
        <v>0.0666666666666667</v>
      </c>
      <c r="AV1581" s="80">
        <v>0.12</v>
      </c>
      <c r="AW1581" s="36"/>
      <c r="AX1581" s="34"/>
    </row>
    <row r="1582" ht="14.5" spans="1:50">
      <c r="A1582" s="32"/>
      <c r="B1582" s="36"/>
      <c r="C1582" s="91" t="s">
        <v>1473</v>
      </c>
      <c r="D1582" s="69" t="s">
        <v>27</v>
      </c>
      <c r="E1582" s="107" t="s">
        <v>1631</v>
      </c>
      <c r="F1582" s="107" t="s">
        <v>1631</v>
      </c>
      <c r="G1582" s="107" t="s">
        <v>1631</v>
      </c>
      <c r="H1582" s="107" t="s">
        <v>1631</v>
      </c>
      <c r="I1582" s="71">
        <v>0.9</v>
      </c>
      <c r="J1582" s="72">
        <v>1</v>
      </c>
      <c r="K1582" s="72">
        <v>1</v>
      </c>
      <c r="L1582" s="73">
        <v>1</v>
      </c>
      <c r="M1582" s="72">
        <v>0.988269794721408</v>
      </c>
      <c r="N1582" s="74">
        <v>0.9</v>
      </c>
      <c r="O1582" s="72">
        <v>0.997420781134856</v>
      </c>
      <c r="P1582" s="72">
        <v>0.999547408916044</v>
      </c>
      <c r="Q1582" s="72">
        <v>0.998564593301435</v>
      </c>
      <c r="R1582" s="72">
        <v>0.998027745278289</v>
      </c>
      <c r="S1582" s="74">
        <v>0.9</v>
      </c>
      <c r="T1582" s="72">
        <v>0.931834929992631</v>
      </c>
      <c r="U1582" s="72">
        <v>0.957909029192125</v>
      </c>
      <c r="V1582" s="72">
        <v>0.958373205741627</v>
      </c>
      <c r="W1582" s="72">
        <v>0.945913421360521</v>
      </c>
      <c r="X1582" s="74">
        <v>0.92</v>
      </c>
      <c r="Y1582" s="74">
        <v>0</v>
      </c>
      <c r="Z1582" s="74">
        <v>0</v>
      </c>
      <c r="AA1582" s="74">
        <v>0</v>
      </c>
      <c r="AB1582" s="74">
        <v>0</v>
      </c>
      <c r="AC1582" s="74">
        <v>0.92</v>
      </c>
      <c r="AD1582" s="72">
        <v>1</v>
      </c>
      <c r="AE1582" s="72">
        <v>1</v>
      </c>
      <c r="AF1582" s="72">
        <v>1</v>
      </c>
      <c r="AG1582" s="72">
        <v>0.997319034852547</v>
      </c>
      <c r="AH1582" s="74">
        <v>0.92</v>
      </c>
      <c r="AI1582" s="72">
        <v>0.970154753131909</v>
      </c>
      <c r="AJ1582" s="72">
        <v>0.985517085313419</v>
      </c>
      <c r="AK1582" s="72">
        <v>0.991866028708134</v>
      </c>
      <c r="AL1582" s="72">
        <v>0.983553401303694</v>
      </c>
      <c r="AM1582" s="71">
        <v>0.99</v>
      </c>
      <c r="AN1582" s="76">
        <v>1</v>
      </c>
      <c r="AO1582" s="76">
        <v>0</v>
      </c>
      <c r="AP1582" s="76">
        <v>1</v>
      </c>
      <c r="AQ1582" s="76">
        <v>1</v>
      </c>
      <c r="AR1582" s="96">
        <v>0.110069253262963</v>
      </c>
      <c r="AS1582" s="80">
        <v>0.111111111111111</v>
      </c>
      <c r="AT1582" s="80">
        <v>0</v>
      </c>
      <c r="AU1582" s="80">
        <v>0.285714285714286</v>
      </c>
      <c r="AV1582" s="80">
        <v>0.0813008130081301</v>
      </c>
      <c r="AW1582" s="36"/>
      <c r="AX1582" s="34"/>
    </row>
    <row r="1583" ht="14.5" spans="1:50">
      <c r="A1583" s="32"/>
      <c r="B1583" s="36"/>
      <c r="C1583" s="91" t="s">
        <v>1473</v>
      </c>
      <c r="D1583" s="69" t="s">
        <v>27</v>
      </c>
      <c r="E1583" s="107" t="s">
        <v>1632</v>
      </c>
      <c r="F1583" s="107" t="s">
        <v>1632</v>
      </c>
      <c r="G1583" s="107" t="s">
        <v>1632</v>
      </c>
      <c r="H1583" s="107" t="s">
        <v>1632</v>
      </c>
      <c r="I1583" s="71">
        <v>0.9</v>
      </c>
      <c r="J1583" s="72">
        <v>1</v>
      </c>
      <c r="K1583" s="72">
        <v>0.894736842105263</v>
      </c>
      <c r="L1583" s="73">
        <v>0.952380952380952</v>
      </c>
      <c r="M1583" s="72">
        <v>0.931578947368421</v>
      </c>
      <c r="N1583" s="74">
        <v>0.9</v>
      </c>
      <c r="O1583" s="72">
        <v>0.918061165608771</v>
      </c>
      <c r="P1583" s="72">
        <v>0.992293744333635</v>
      </c>
      <c r="Q1583" s="72">
        <v>0.994488188976378</v>
      </c>
      <c r="R1583" s="72">
        <v>0.982699820177342</v>
      </c>
      <c r="S1583" s="74">
        <v>0.9</v>
      </c>
      <c r="T1583" s="72">
        <v>0.619157530294287</v>
      </c>
      <c r="U1583" s="72">
        <v>0.7116953762466</v>
      </c>
      <c r="V1583" s="72">
        <v>0.754330708661417</v>
      </c>
      <c r="W1583" s="72">
        <v>0.690767036646617</v>
      </c>
      <c r="X1583" s="74">
        <v>0.92</v>
      </c>
      <c r="Y1583" s="74">
        <v>0</v>
      </c>
      <c r="Z1583" s="74">
        <v>0</v>
      </c>
      <c r="AA1583" s="74">
        <v>0</v>
      </c>
      <c r="AB1583" s="74">
        <v>0</v>
      </c>
      <c r="AC1583" s="74">
        <v>0.92</v>
      </c>
      <c r="AD1583" s="72">
        <v>1</v>
      </c>
      <c r="AE1583" s="72">
        <v>1</v>
      </c>
      <c r="AF1583" s="72">
        <v>0.956521739130435</v>
      </c>
      <c r="AG1583" s="72">
        <v>0.981900452488688</v>
      </c>
      <c r="AH1583" s="74">
        <v>0.92</v>
      </c>
      <c r="AI1583" s="72">
        <v>0.756491633006347</v>
      </c>
      <c r="AJ1583" s="72">
        <v>0.793744333635539</v>
      </c>
      <c r="AK1583" s="72">
        <v>0.859842519685039</v>
      </c>
      <c r="AL1583" s="72">
        <v>0.800706889068023</v>
      </c>
      <c r="AM1583" s="71">
        <v>0.99</v>
      </c>
      <c r="AN1583" s="76">
        <v>0</v>
      </c>
      <c r="AO1583" s="76">
        <v>1</v>
      </c>
      <c r="AP1583" s="76">
        <v>1</v>
      </c>
      <c r="AQ1583" s="76">
        <v>1</v>
      </c>
      <c r="AR1583" s="96">
        <v>0.110069253262963</v>
      </c>
      <c r="AS1583" s="80">
        <v>0</v>
      </c>
      <c r="AT1583" s="80">
        <v>0.1</v>
      </c>
      <c r="AU1583" s="80">
        <v>0.08</v>
      </c>
      <c r="AV1583" s="80">
        <v>0.119402985074627</v>
      </c>
      <c r="AW1583" s="36"/>
      <c r="AX1583" s="34"/>
    </row>
    <row r="1584" ht="14.5" spans="1:50">
      <c r="A1584" s="32"/>
      <c r="B1584" s="36"/>
      <c r="C1584" s="91" t="s">
        <v>1473</v>
      </c>
      <c r="D1584" s="69" t="s">
        <v>27</v>
      </c>
      <c r="E1584" s="107" t="s">
        <v>1633</v>
      </c>
      <c r="F1584" s="107" t="s">
        <v>1633</v>
      </c>
      <c r="G1584" s="107" t="s">
        <v>1633</v>
      </c>
      <c r="H1584" s="107" t="s">
        <v>1633</v>
      </c>
      <c r="I1584" s="71">
        <v>0.9</v>
      </c>
      <c r="J1584" s="72">
        <v>1</v>
      </c>
      <c r="K1584" s="72">
        <v>1</v>
      </c>
      <c r="L1584" s="73">
        <v>1</v>
      </c>
      <c r="M1584" s="72">
        <v>0.995575221238938</v>
      </c>
      <c r="N1584" s="74">
        <v>0.9</v>
      </c>
      <c r="O1584" s="72">
        <v>0.971935853379152</v>
      </c>
      <c r="P1584" s="72">
        <v>0.981909547738693</v>
      </c>
      <c r="Q1584" s="72">
        <v>0.978939724037763</v>
      </c>
      <c r="R1584" s="72">
        <v>0.966796068390188</v>
      </c>
      <c r="S1584" s="74">
        <v>0.9</v>
      </c>
      <c r="T1584" s="72">
        <v>0.648339060710195</v>
      </c>
      <c r="U1584" s="72">
        <v>0.803015075376884</v>
      </c>
      <c r="V1584" s="72">
        <v>0.835148874364561</v>
      </c>
      <c r="W1584" s="72">
        <v>0.760469150078467</v>
      </c>
      <c r="X1584" s="74">
        <v>0.92</v>
      </c>
      <c r="Y1584" s="74">
        <v>0.716108452950558</v>
      </c>
      <c r="Z1584" s="74">
        <v>0.912431587177482</v>
      </c>
      <c r="AA1584" s="74">
        <v>0.887272727272727</v>
      </c>
      <c r="AB1584" s="74">
        <v>0.857877050800553</v>
      </c>
      <c r="AC1584" s="74">
        <v>0.92</v>
      </c>
      <c r="AD1584" s="72">
        <v>0.5875</v>
      </c>
      <c r="AE1584" s="72">
        <v>0.9</v>
      </c>
      <c r="AF1584" s="72">
        <v>0.882352941176471</v>
      </c>
      <c r="AG1584" s="72">
        <v>0.896551724137931</v>
      </c>
      <c r="AH1584" s="74">
        <v>0.92</v>
      </c>
      <c r="AI1584" s="72">
        <v>0.773666666666667</v>
      </c>
      <c r="AJ1584" s="72">
        <v>0.93183817062445</v>
      </c>
      <c r="AK1584" s="72">
        <v>0.936616875252321</v>
      </c>
      <c r="AL1584" s="72">
        <v>0.89382282809196</v>
      </c>
      <c r="AM1584" s="71">
        <v>0.99</v>
      </c>
      <c r="AN1584" s="76">
        <v>1</v>
      </c>
      <c r="AO1584" s="76">
        <v>1</v>
      </c>
      <c r="AP1584" s="76">
        <v>1</v>
      </c>
      <c r="AQ1584" s="76">
        <v>1</v>
      </c>
      <c r="AR1584" s="96">
        <v>0.110069253262963</v>
      </c>
      <c r="AS1584" s="80">
        <v>0</v>
      </c>
      <c r="AT1584" s="80">
        <v>0.0909090909090909</v>
      </c>
      <c r="AU1584" s="80">
        <v>0</v>
      </c>
      <c r="AV1584" s="80">
        <v>0.0481927710843374</v>
      </c>
      <c r="AW1584" s="36"/>
      <c r="AX1584" s="34"/>
    </row>
    <row r="1585" ht="14.5" spans="1:50">
      <c r="A1585" s="32"/>
      <c r="B1585" s="36"/>
      <c r="C1585" s="91" t="s">
        <v>1473</v>
      </c>
      <c r="D1585" s="69" t="s">
        <v>27</v>
      </c>
      <c r="E1585" s="107" t="s">
        <v>1634</v>
      </c>
      <c r="F1585" s="107" t="s">
        <v>1634</v>
      </c>
      <c r="G1585" s="107" t="s">
        <v>1634</v>
      </c>
      <c r="H1585" s="107" t="s">
        <v>1634</v>
      </c>
      <c r="I1585" s="71">
        <v>0.9</v>
      </c>
      <c r="J1585" s="72">
        <v>0.8</v>
      </c>
      <c r="K1585" s="72">
        <v>0.615384615384615</v>
      </c>
      <c r="L1585" s="73">
        <v>0.730769230769231</v>
      </c>
      <c r="M1585" s="72">
        <v>0.672268907563025</v>
      </c>
      <c r="N1585" s="74">
        <v>0.9</v>
      </c>
      <c r="O1585" s="72">
        <v>0</v>
      </c>
      <c r="P1585" s="72">
        <v>0</v>
      </c>
      <c r="Q1585" s="72">
        <v>0</v>
      </c>
      <c r="R1585" s="72">
        <v>0</v>
      </c>
      <c r="S1585" s="74">
        <v>0.9</v>
      </c>
      <c r="T1585" s="72">
        <v>0</v>
      </c>
      <c r="U1585" s="72">
        <v>0</v>
      </c>
      <c r="V1585" s="72">
        <v>0</v>
      </c>
      <c r="W1585" s="72">
        <v>0</v>
      </c>
      <c r="X1585" s="74">
        <v>0.92</v>
      </c>
      <c r="Y1585" s="74">
        <v>0</v>
      </c>
      <c r="Z1585" s="74">
        <v>0</v>
      </c>
      <c r="AA1585" s="74">
        <v>0</v>
      </c>
      <c r="AB1585" s="74">
        <v>0</v>
      </c>
      <c r="AC1585" s="74">
        <v>0.92</v>
      </c>
      <c r="AD1585" s="72">
        <v>0</v>
      </c>
      <c r="AE1585" s="72">
        <v>0</v>
      </c>
      <c r="AF1585" s="72">
        <v>0</v>
      </c>
      <c r="AG1585" s="72">
        <v>0.0967741935483871</v>
      </c>
      <c r="AH1585" s="74">
        <v>0.92</v>
      </c>
      <c r="AI1585" s="72">
        <v>0.869846000993542</v>
      </c>
      <c r="AJ1585" s="72">
        <v>0.911764705882353</v>
      </c>
      <c r="AK1585" s="72">
        <v>0.930366707869798</v>
      </c>
      <c r="AL1585" s="72">
        <v>0.910358676856139</v>
      </c>
      <c r="AM1585" s="71">
        <v>0.99</v>
      </c>
      <c r="AN1585" s="76">
        <v>0</v>
      </c>
      <c r="AO1585" s="76">
        <v>0</v>
      </c>
      <c r="AP1585" s="76">
        <v>0</v>
      </c>
      <c r="AQ1585" s="76">
        <v>1</v>
      </c>
      <c r="AR1585" s="96">
        <v>0.110069253262963</v>
      </c>
      <c r="AS1585" s="80">
        <v>0.117647058823529</v>
      </c>
      <c r="AT1585" s="80">
        <v>0.117647058823529</v>
      </c>
      <c r="AU1585" s="80">
        <v>0.117647058823529</v>
      </c>
      <c r="AV1585" s="80">
        <v>0.203208556149733</v>
      </c>
      <c r="AW1585" s="36"/>
      <c r="AX1585" s="34"/>
    </row>
    <row r="1586" ht="14.5" spans="1:50">
      <c r="A1586" s="32"/>
      <c r="B1586" s="36"/>
      <c r="C1586" s="91" t="s">
        <v>1473</v>
      </c>
      <c r="D1586" s="69" t="s">
        <v>27</v>
      </c>
      <c r="E1586" s="107" t="s">
        <v>1635</v>
      </c>
      <c r="F1586" s="107" t="s">
        <v>1635</v>
      </c>
      <c r="G1586" s="107" t="s">
        <v>1635</v>
      </c>
      <c r="H1586" s="107" t="s">
        <v>1635</v>
      </c>
      <c r="I1586" s="71">
        <v>0.9</v>
      </c>
      <c r="J1586" s="72">
        <v>0.944444444444444</v>
      </c>
      <c r="K1586" s="72">
        <v>1</v>
      </c>
      <c r="L1586" s="73">
        <v>0.944444444444444</v>
      </c>
      <c r="M1586" s="72">
        <v>0.967532467532468</v>
      </c>
      <c r="N1586" s="74">
        <v>0.9</v>
      </c>
      <c r="O1586" s="72">
        <v>0.994288977727013</v>
      </c>
      <c r="P1586" s="72">
        <v>0.999015263417036</v>
      </c>
      <c r="Q1586" s="72">
        <v>0.998825601879037</v>
      </c>
      <c r="R1586" s="72">
        <v>0.994576939668454</v>
      </c>
      <c r="S1586" s="74">
        <v>0.9</v>
      </c>
      <c r="T1586" s="72">
        <v>0.857224443175328</v>
      </c>
      <c r="U1586" s="72">
        <v>0.947316592811423</v>
      </c>
      <c r="V1586" s="72">
        <v>0.937169700528479</v>
      </c>
      <c r="W1586" s="72">
        <v>0.92629568003944</v>
      </c>
      <c r="X1586" s="74">
        <v>0.92</v>
      </c>
      <c r="Y1586" s="74">
        <v>0</v>
      </c>
      <c r="Z1586" s="74">
        <v>0</v>
      </c>
      <c r="AA1586" s="74">
        <v>0</v>
      </c>
      <c r="AB1586" s="74">
        <v>0</v>
      </c>
      <c r="AC1586" s="74">
        <v>0.92</v>
      </c>
      <c r="AD1586" s="72">
        <v>0.24</v>
      </c>
      <c r="AE1586" s="72">
        <v>0.420289855072464</v>
      </c>
      <c r="AF1586" s="72">
        <v>0.261904761904762</v>
      </c>
      <c r="AG1586" s="72">
        <v>0.331858407079646</v>
      </c>
      <c r="AH1586" s="74">
        <v>0.92</v>
      </c>
      <c r="AI1586" s="72">
        <v>0.957738435179897</v>
      </c>
      <c r="AJ1586" s="72">
        <v>0.985721319547021</v>
      </c>
      <c r="AK1586" s="72">
        <v>0.982384028185555</v>
      </c>
      <c r="AL1586" s="72">
        <v>0.981020458466847</v>
      </c>
      <c r="AM1586" s="71">
        <v>0.99</v>
      </c>
      <c r="AN1586" s="76">
        <v>1</v>
      </c>
      <c r="AO1586" s="76">
        <v>1</v>
      </c>
      <c r="AP1586" s="76">
        <v>0</v>
      </c>
      <c r="AQ1586" s="76">
        <v>1</v>
      </c>
      <c r="AR1586" s="96">
        <v>0.110069253262963</v>
      </c>
      <c r="AS1586" s="80">
        <v>0</v>
      </c>
      <c r="AT1586" s="80">
        <v>0</v>
      </c>
      <c r="AU1586" s="80">
        <v>0.05</v>
      </c>
      <c r="AV1586" s="80">
        <v>0.0310077519379845</v>
      </c>
      <c r="AW1586" s="36"/>
      <c r="AX1586" s="34"/>
    </row>
    <row r="1587" ht="14.5" spans="1:50">
      <c r="A1587" s="32"/>
      <c r="B1587" s="36"/>
      <c r="C1587" s="91" t="s">
        <v>1473</v>
      </c>
      <c r="D1587" s="69" t="s">
        <v>27</v>
      </c>
      <c r="E1587" s="107" t="s">
        <v>1636</v>
      </c>
      <c r="F1587" s="107" t="s">
        <v>1636</v>
      </c>
      <c r="G1587" s="107" t="s">
        <v>1636</v>
      </c>
      <c r="H1587" s="107" t="s">
        <v>1636</v>
      </c>
      <c r="I1587" s="71">
        <v>0.9</v>
      </c>
      <c r="J1587" s="72">
        <v>0.342857142857143</v>
      </c>
      <c r="K1587" s="72">
        <v>0.473684210526316</v>
      </c>
      <c r="L1587" s="73">
        <v>0.394736842105263</v>
      </c>
      <c r="M1587" s="72">
        <v>0.397590361445783</v>
      </c>
      <c r="N1587" s="74">
        <v>0.9</v>
      </c>
      <c r="O1587" s="72">
        <v>0.989651928504233</v>
      </c>
      <c r="P1587" s="72">
        <v>0.996417797888386</v>
      </c>
      <c r="Q1587" s="72">
        <v>0.993907083015994</v>
      </c>
      <c r="R1587" s="72">
        <v>0.978802028130282</v>
      </c>
      <c r="S1587" s="74">
        <v>0.9</v>
      </c>
      <c r="T1587" s="72">
        <v>0.89401066164942</v>
      </c>
      <c r="U1587" s="72">
        <v>0.904600301659125</v>
      </c>
      <c r="V1587" s="72">
        <v>0.923838537699924</v>
      </c>
      <c r="W1587" s="72">
        <v>0.902861726202412</v>
      </c>
      <c r="X1587" s="74">
        <v>0.92</v>
      </c>
      <c r="Y1587" s="74">
        <v>0</v>
      </c>
      <c r="Z1587" s="74">
        <v>0</v>
      </c>
      <c r="AA1587" s="74">
        <v>0</v>
      </c>
      <c r="AB1587" s="74">
        <v>0</v>
      </c>
      <c r="AC1587" s="74">
        <v>0.92</v>
      </c>
      <c r="AD1587" s="72">
        <v>0.983673469387755</v>
      </c>
      <c r="AE1587" s="72">
        <v>0.94578313253012</v>
      </c>
      <c r="AF1587" s="72">
        <v>0.970760233918129</v>
      </c>
      <c r="AG1587" s="72">
        <v>0.954166666666667</v>
      </c>
      <c r="AH1587" s="74">
        <v>0.92</v>
      </c>
      <c r="AI1587" s="72">
        <v>0.927563499529633</v>
      </c>
      <c r="AJ1587" s="72">
        <v>0.960407239819005</v>
      </c>
      <c r="AK1587" s="72">
        <v>0.972201066260472</v>
      </c>
      <c r="AL1587" s="72">
        <v>0.962962962962963</v>
      </c>
      <c r="AM1587" s="71">
        <v>0.99</v>
      </c>
      <c r="AN1587" s="76">
        <v>1</v>
      </c>
      <c r="AO1587" s="76">
        <v>1</v>
      </c>
      <c r="AP1587" s="76">
        <v>1</v>
      </c>
      <c r="AQ1587" s="76">
        <v>1</v>
      </c>
      <c r="AR1587" s="96">
        <v>0.110069253262963</v>
      </c>
      <c r="AS1587" s="80">
        <v>0.0571428571428571</v>
      </c>
      <c r="AT1587" s="80">
        <v>0.136363636363636</v>
      </c>
      <c r="AU1587" s="80">
        <v>0.1</v>
      </c>
      <c r="AV1587" s="80">
        <v>0.107296137339056</v>
      </c>
      <c r="AW1587" s="36"/>
      <c r="AX1587" s="34"/>
    </row>
    <row r="1588" ht="14.5" spans="1:50">
      <c r="A1588" s="32"/>
      <c r="B1588" s="36"/>
      <c r="C1588" s="91" t="s">
        <v>1473</v>
      </c>
      <c r="D1588" s="69" t="s">
        <v>27</v>
      </c>
      <c r="E1588" s="107" t="s">
        <v>1637</v>
      </c>
      <c r="F1588" s="107" t="s">
        <v>1637</v>
      </c>
      <c r="G1588" s="107" t="s">
        <v>1637</v>
      </c>
      <c r="H1588" s="107" t="s">
        <v>1637</v>
      </c>
      <c r="I1588" s="71">
        <v>0.9</v>
      </c>
      <c r="J1588" s="72">
        <v>0.65</v>
      </c>
      <c r="K1588" s="72">
        <v>0.736842105263158</v>
      </c>
      <c r="L1588" s="73">
        <v>0.619047619047619</v>
      </c>
      <c r="M1588" s="72">
        <v>0.731843575418994</v>
      </c>
      <c r="N1588" s="74">
        <v>0.9</v>
      </c>
      <c r="O1588" s="72">
        <v>0</v>
      </c>
      <c r="P1588" s="72">
        <v>0</v>
      </c>
      <c r="Q1588" s="72">
        <v>0</v>
      </c>
      <c r="R1588" s="72">
        <v>0</v>
      </c>
      <c r="S1588" s="74">
        <v>0.9</v>
      </c>
      <c r="T1588" s="72">
        <v>0</v>
      </c>
      <c r="U1588" s="72">
        <v>0</v>
      </c>
      <c r="V1588" s="72">
        <v>0</v>
      </c>
      <c r="W1588" s="72">
        <v>0</v>
      </c>
      <c r="X1588" s="74">
        <v>0.92</v>
      </c>
      <c r="Y1588" s="74">
        <v>0</v>
      </c>
      <c r="Z1588" s="74">
        <v>0</v>
      </c>
      <c r="AA1588" s="74">
        <v>0</v>
      </c>
      <c r="AB1588" s="74">
        <v>0</v>
      </c>
      <c r="AC1588" s="74">
        <v>0.92</v>
      </c>
      <c r="AD1588" s="72">
        <v>0.2</v>
      </c>
      <c r="AE1588" s="72">
        <v>0</v>
      </c>
      <c r="AF1588" s="72">
        <v>0.0666666666666667</v>
      </c>
      <c r="AG1588" s="72">
        <v>0.233009708737864</v>
      </c>
      <c r="AH1588" s="74">
        <v>0.92</v>
      </c>
      <c r="AI1588" s="72">
        <v>0.958603896103896</v>
      </c>
      <c r="AJ1588" s="72">
        <v>0.978744438952051</v>
      </c>
      <c r="AK1588" s="72">
        <v>0.985579937304075</v>
      </c>
      <c r="AL1588" s="72">
        <v>0.97167893445496</v>
      </c>
      <c r="AM1588" s="71">
        <v>0.99</v>
      </c>
      <c r="AN1588" s="76">
        <v>1</v>
      </c>
      <c r="AO1588" s="76">
        <v>1</v>
      </c>
      <c r="AP1588" s="76">
        <v>0</v>
      </c>
      <c r="AQ1588" s="76">
        <v>1</v>
      </c>
      <c r="AR1588" s="96">
        <v>0.110069253262963</v>
      </c>
      <c r="AS1588" s="80">
        <v>0</v>
      </c>
      <c r="AT1588" s="80">
        <v>0.2</v>
      </c>
      <c r="AU1588" s="80">
        <v>0</v>
      </c>
      <c r="AV1588" s="80">
        <v>0.063953488372093</v>
      </c>
      <c r="AW1588" s="36"/>
      <c r="AX1588" s="34"/>
    </row>
    <row r="1589" ht="14.5" spans="1:50">
      <c r="A1589" s="32"/>
      <c r="B1589" s="36"/>
      <c r="C1589" s="91" t="s">
        <v>1473</v>
      </c>
      <c r="D1589" s="69" t="s">
        <v>27</v>
      </c>
      <c r="E1589" s="107" t="s">
        <v>1638</v>
      </c>
      <c r="F1589" s="107" t="s">
        <v>1638</v>
      </c>
      <c r="G1589" s="107" t="s">
        <v>1638</v>
      </c>
      <c r="H1589" s="107" t="s">
        <v>1638</v>
      </c>
      <c r="I1589" s="71">
        <v>0.9</v>
      </c>
      <c r="J1589" s="72">
        <v>0.666666666666667</v>
      </c>
      <c r="K1589" s="72">
        <v>0.714285714285714</v>
      </c>
      <c r="L1589" s="73">
        <v>0.636363636363636</v>
      </c>
      <c r="M1589" s="72">
        <v>0.664804469273743</v>
      </c>
      <c r="N1589" s="74">
        <v>0.9</v>
      </c>
      <c r="O1589" s="72">
        <v>0</v>
      </c>
      <c r="P1589" s="72">
        <v>0</v>
      </c>
      <c r="Q1589" s="72">
        <v>0</v>
      </c>
      <c r="R1589" s="72">
        <v>0</v>
      </c>
      <c r="S1589" s="74">
        <v>0.9</v>
      </c>
      <c r="T1589" s="72">
        <v>0</v>
      </c>
      <c r="U1589" s="72">
        <v>0</v>
      </c>
      <c r="V1589" s="72">
        <v>0</v>
      </c>
      <c r="W1589" s="72">
        <v>0</v>
      </c>
      <c r="X1589" s="74">
        <v>0.92</v>
      </c>
      <c r="Y1589" s="74">
        <v>0</v>
      </c>
      <c r="Z1589" s="74">
        <v>0</v>
      </c>
      <c r="AA1589" s="74">
        <v>0</v>
      </c>
      <c r="AB1589" s="74">
        <v>0</v>
      </c>
      <c r="AC1589" s="74">
        <v>0.92</v>
      </c>
      <c r="AD1589" s="72">
        <v>0</v>
      </c>
      <c r="AE1589" s="72">
        <v>0</v>
      </c>
      <c r="AF1589" s="72">
        <v>0</v>
      </c>
      <c r="AG1589" s="72">
        <v>0.101063829787234</v>
      </c>
      <c r="AH1589" s="74">
        <v>0.92</v>
      </c>
      <c r="AI1589" s="72">
        <v>0.670886075949367</v>
      </c>
      <c r="AJ1589" s="72">
        <v>0.787777312683131</v>
      </c>
      <c r="AK1589" s="72">
        <v>0.817221341785526</v>
      </c>
      <c r="AL1589" s="72">
        <v>0.722838745033566</v>
      </c>
      <c r="AM1589" s="71">
        <v>0.99</v>
      </c>
      <c r="AN1589" s="76">
        <v>0</v>
      </c>
      <c r="AO1589" s="76">
        <v>1</v>
      </c>
      <c r="AP1589" s="76">
        <v>0</v>
      </c>
      <c r="AQ1589" s="76">
        <v>1</v>
      </c>
      <c r="AR1589" s="96">
        <v>0.110069253262963</v>
      </c>
      <c r="AS1589" s="80">
        <v>0.111111111111111</v>
      </c>
      <c r="AT1589" s="80">
        <v>0.130434782608696</v>
      </c>
      <c r="AU1589" s="80">
        <v>0.0727272727272727</v>
      </c>
      <c r="AV1589" s="80">
        <v>0.0846994535519126</v>
      </c>
      <c r="AW1589" s="36"/>
      <c r="AX1589" s="34"/>
    </row>
    <row r="1590" ht="14.5" spans="1:50">
      <c r="A1590" s="32"/>
      <c r="B1590" s="36"/>
      <c r="C1590" s="91" t="s">
        <v>1473</v>
      </c>
      <c r="D1590" s="69" t="s">
        <v>27</v>
      </c>
      <c r="E1590" s="107" t="s">
        <v>1639</v>
      </c>
      <c r="F1590" s="107" t="s">
        <v>1639</v>
      </c>
      <c r="G1590" s="107" t="s">
        <v>1639</v>
      </c>
      <c r="H1590" s="107" t="s">
        <v>1639</v>
      </c>
      <c r="I1590" s="71">
        <v>0.9</v>
      </c>
      <c r="J1590" s="72">
        <v>1</v>
      </c>
      <c r="K1590" s="72">
        <v>1</v>
      </c>
      <c r="L1590" s="73">
        <v>1</v>
      </c>
      <c r="M1590" s="72">
        <v>0.996598639455782</v>
      </c>
      <c r="N1590" s="74">
        <v>0.9</v>
      </c>
      <c r="O1590" s="72">
        <v>0.998468606431853</v>
      </c>
      <c r="P1590" s="72">
        <v>0.997144340602285</v>
      </c>
      <c r="Q1590" s="72">
        <v>0.997534668721109</v>
      </c>
      <c r="R1590" s="72">
        <v>0.995389760072725</v>
      </c>
      <c r="S1590" s="74">
        <v>0.9</v>
      </c>
      <c r="T1590" s="72">
        <v>0.901071975497703</v>
      </c>
      <c r="U1590" s="72">
        <v>0.914070612668744</v>
      </c>
      <c r="V1590" s="72">
        <v>0.938058551617874</v>
      </c>
      <c r="W1590" s="72">
        <v>0.919612999577936</v>
      </c>
      <c r="X1590" s="74">
        <v>0.92</v>
      </c>
      <c r="Y1590" s="74">
        <v>0</v>
      </c>
      <c r="Z1590" s="74">
        <v>0</v>
      </c>
      <c r="AA1590" s="74">
        <v>0</v>
      </c>
      <c r="AB1590" s="74">
        <v>0</v>
      </c>
      <c r="AC1590" s="74">
        <v>0.92</v>
      </c>
      <c r="AD1590" s="72">
        <v>1</v>
      </c>
      <c r="AE1590" s="72">
        <v>1</v>
      </c>
      <c r="AF1590" s="72">
        <v>1</v>
      </c>
      <c r="AG1590" s="72">
        <v>0.995973154362416</v>
      </c>
      <c r="AH1590" s="74">
        <v>0.92</v>
      </c>
      <c r="AI1590" s="72">
        <v>0.954670750382848</v>
      </c>
      <c r="AJ1590" s="72">
        <v>0.979231568016615</v>
      </c>
      <c r="AK1590" s="72">
        <v>0.982126348228043</v>
      </c>
      <c r="AL1590" s="72">
        <v>0.97535874293877</v>
      </c>
      <c r="AM1590" s="71">
        <v>0.99</v>
      </c>
      <c r="AN1590" s="76">
        <v>1</v>
      </c>
      <c r="AO1590" s="76">
        <v>1</v>
      </c>
      <c r="AP1590" s="76">
        <v>1</v>
      </c>
      <c r="AQ1590" s="76">
        <v>1</v>
      </c>
      <c r="AR1590" s="96">
        <v>0.110069253262963</v>
      </c>
      <c r="AS1590" s="80">
        <v>0.0571428571428571</v>
      </c>
      <c r="AT1590" s="80">
        <v>0</v>
      </c>
      <c r="AU1590" s="80">
        <v>0.19047619047619</v>
      </c>
      <c r="AV1590" s="80">
        <v>0.0766283524904214</v>
      </c>
      <c r="AW1590" s="36"/>
      <c r="AX1590" s="34"/>
    </row>
    <row r="1591" ht="14.5" spans="1:50">
      <c r="A1591" s="32"/>
      <c r="B1591" s="36"/>
      <c r="C1591" s="91" t="s">
        <v>1473</v>
      </c>
      <c r="D1591" s="69" t="s">
        <v>27</v>
      </c>
      <c r="E1591" s="107" t="s">
        <v>1640</v>
      </c>
      <c r="F1591" s="107" t="s">
        <v>1640</v>
      </c>
      <c r="G1591" s="107" t="s">
        <v>1640</v>
      </c>
      <c r="H1591" s="107" t="s">
        <v>1640</v>
      </c>
      <c r="I1591" s="71">
        <v>0.9</v>
      </c>
      <c r="J1591" s="72">
        <v>0.95</v>
      </c>
      <c r="K1591" s="72">
        <v>0.954545454545455</v>
      </c>
      <c r="L1591" s="73">
        <v>1</v>
      </c>
      <c r="M1591" s="72">
        <v>0.970873786407767</v>
      </c>
      <c r="N1591" s="74">
        <v>0.9</v>
      </c>
      <c r="O1591" s="72">
        <v>0.932786244626807</v>
      </c>
      <c r="P1591" s="72">
        <v>0.989633948817622</v>
      </c>
      <c r="Q1591" s="72">
        <v>0.988835132117603</v>
      </c>
      <c r="R1591" s="72">
        <v>0.979243580277299</v>
      </c>
      <c r="S1591" s="74">
        <v>0.9</v>
      </c>
      <c r="T1591" s="72">
        <v>0.851113716295428</v>
      </c>
      <c r="U1591" s="72">
        <v>0.910268869452543</v>
      </c>
      <c r="V1591" s="72">
        <v>0.90919240788984</v>
      </c>
      <c r="W1591" s="72">
        <v>0.903027319714497</v>
      </c>
      <c r="X1591" s="74">
        <v>0.92</v>
      </c>
      <c r="Y1591" s="74">
        <v>0</v>
      </c>
      <c r="Z1591" s="74">
        <v>0</v>
      </c>
      <c r="AA1591" s="74">
        <v>0</v>
      </c>
      <c r="AB1591" s="74">
        <v>0</v>
      </c>
      <c r="AC1591" s="74">
        <v>0.92</v>
      </c>
      <c r="AD1591" s="72">
        <v>0.215909090909091</v>
      </c>
      <c r="AE1591" s="72">
        <v>0.993150684931507</v>
      </c>
      <c r="AF1591" s="72">
        <v>1</v>
      </c>
      <c r="AG1591" s="72">
        <v>0.902010050251256</v>
      </c>
      <c r="AH1591" s="74">
        <v>0.92</v>
      </c>
      <c r="AI1591" s="72">
        <v>0.933177022274326</v>
      </c>
      <c r="AJ1591" s="72">
        <v>0.956282383419689</v>
      </c>
      <c r="AK1591" s="72">
        <v>0.978786751023446</v>
      </c>
      <c r="AL1591" s="72">
        <v>0.964805775462488</v>
      </c>
      <c r="AM1591" s="71">
        <v>0.99</v>
      </c>
      <c r="AN1591" s="76">
        <v>1</v>
      </c>
      <c r="AO1591" s="76">
        <v>1</v>
      </c>
      <c r="AP1591" s="76">
        <v>1</v>
      </c>
      <c r="AQ1591" s="76">
        <v>1</v>
      </c>
      <c r="AR1591" s="96">
        <v>0.110069253262963</v>
      </c>
      <c r="AS1591" s="80">
        <v>0.05</v>
      </c>
      <c r="AT1591" s="80">
        <v>0.04</v>
      </c>
      <c r="AU1591" s="80">
        <v>0.04</v>
      </c>
      <c r="AV1591" s="80">
        <v>0.0610328638497653</v>
      </c>
      <c r="AW1591" s="36"/>
      <c r="AX1591" s="34"/>
    </row>
    <row r="1592" ht="14.5" spans="1:50">
      <c r="A1592" s="32"/>
      <c r="B1592" s="36"/>
      <c r="C1592" s="91" t="s">
        <v>1473</v>
      </c>
      <c r="D1592" s="69" t="s">
        <v>27</v>
      </c>
      <c r="E1592" s="107" t="s">
        <v>1641</v>
      </c>
      <c r="F1592" s="107" t="s">
        <v>1641</v>
      </c>
      <c r="G1592" s="107" t="s">
        <v>1641</v>
      </c>
      <c r="H1592" s="107" t="s">
        <v>1641</v>
      </c>
      <c r="I1592" s="71">
        <v>0.9</v>
      </c>
      <c r="J1592" s="72">
        <v>0.977777777777778</v>
      </c>
      <c r="K1592" s="72">
        <v>0.977272727272727</v>
      </c>
      <c r="L1592" s="73">
        <v>0.979166666666667</v>
      </c>
      <c r="M1592" s="72">
        <v>0.983758700696056</v>
      </c>
      <c r="N1592" s="74">
        <v>0.9</v>
      </c>
      <c r="O1592" s="72">
        <v>0.96602658788774</v>
      </c>
      <c r="P1592" s="72">
        <v>0.980737479361585</v>
      </c>
      <c r="Q1592" s="72">
        <v>0.969292929292929</v>
      </c>
      <c r="R1592" s="72">
        <v>0.971049939965313</v>
      </c>
      <c r="S1592" s="74">
        <v>0.9</v>
      </c>
      <c r="T1592" s="72">
        <v>0.678581979320532</v>
      </c>
      <c r="U1592" s="72">
        <v>0.791414419372592</v>
      </c>
      <c r="V1592" s="72">
        <v>0.768888888888889</v>
      </c>
      <c r="W1592" s="72">
        <v>0.751500867167697</v>
      </c>
      <c r="X1592" s="74">
        <v>0.92</v>
      </c>
      <c r="Y1592" s="74">
        <v>0.80343347639485</v>
      </c>
      <c r="Z1592" s="74">
        <v>0.902823920265781</v>
      </c>
      <c r="AA1592" s="74">
        <v>0.919510952623535</v>
      </c>
      <c r="AB1592" s="74">
        <v>0.898593715666886</v>
      </c>
      <c r="AC1592" s="74">
        <v>0.92</v>
      </c>
      <c r="AD1592" s="72">
        <v>1</v>
      </c>
      <c r="AE1592" s="72">
        <v>1</v>
      </c>
      <c r="AF1592" s="72">
        <v>1</v>
      </c>
      <c r="AG1592" s="72">
        <v>0.985103626943005</v>
      </c>
      <c r="AH1592" s="74">
        <v>0.92</v>
      </c>
      <c r="AI1592" s="72">
        <v>0.853419625677803</v>
      </c>
      <c r="AJ1592" s="72">
        <v>0.923076923076923</v>
      </c>
      <c r="AK1592" s="72">
        <v>0.945507768520603</v>
      </c>
      <c r="AL1592" s="72">
        <v>0.922203656379005</v>
      </c>
      <c r="AM1592" s="71">
        <v>0.99</v>
      </c>
      <c r="AN1592" s="76">
        <v>1</v>
      </c>
      <c r="AO1592" s="76">
        <v>1</v>
      </c>
      <c r="AP1592" s="76">
        <v>1</v>
      </c>
      <c r="AQ1592" s="76">
        <v>1</v>
      </c>
      <c r="AR1592" s="96">
        <v>0.110069253262963</v>
      </c>
      <c r="AS1592" s="80">
        <v>0.117647058823529</v>
      </c>
      <c r="AT1592" s="80">
        <v>0</v>
      </c>
      <c r="AU1592" s="80">
        <v>0</v>
      </c>
      <c r="AV1592" s="80">
        <v>0.0823529411764706</v>
      </c>
      <c r="AW1592" s="36"/>
      <c r="AX1592" s="34"/>
    </row>
    <row r="1593" ht="14.5" spans="1:50">
      <c r="A1593" s="32"/>
      <c r="B1593" s="36"/>
      <c r="C1593" s="91" t="s">
        <v>1473</v>
      </c>
      <c r="D1593" s="69" t="s">
        <v>27</v>
      </c>
      <c r="E1593" s="107" t="s">
        <v>1642</v>
      </c>
      <c r="F1593" s="107" t="s">
        <v>1642</v>
      </c>
      <c r="G1593" s="107" t="s">
        <v>1642</v>
      </c>
      <c r="H1593" s="107" t="s">
        <v>1642</v>
      </c>
      <c r="I1593" s="71">
        <v>0.9</v>
      </c>
      <c r="J1593" s="72">
        <v>1</v>
      </c>
      <c r="K1593" s="72">
        <v>1</v>
      </c>
      <c r="L1593" s="73">
        <v>0.92</v>
      </c>
      <c r="M1593" s="72">
        <v>0.976958525345622</v>
      </c>
      <c r="N1593" s="74">
        <v>0.9</v>
      </c>
      <c r="O1593" s="72">
        <v>0.88561320754717</v>
      </c>
      <c r="P1593" s="72">
        <v>0.974696356275304</v>
      </c>
      <c r="Q1593" s="72">
        <v>0.953172205438066</v>
      </c>
      <c r="R1593" s="72">
        <v>0.956175972927242</v>
      </c>
      <c r="S1593" s="74">
        <v>0.9</v>
      </c>
      <c r="T1593" s="72">
        <v>0.596108490566038</v>
      </c>
      <c r="U1593" s="72">
        <v>0.745951417004049</v>
      </c>
      <c r="V1593" s="72">
        <v>0.736404833836858</v>
      </c>
      <c r="W1593" s="72">
        <v>0.713113367174281</v>
      </c>
      <c r="X1593" s="74">
        <v>0.92</v>
      </c>
      <c r="Y1593" s="74">
        <v>0.766429840142096</v>
      </c>
      <c r="Z1593" s="74">
        <v>0.906707787201234</v>
      </c>
      <c r="AA1593" s="74">
        <v>0.902208201892745</v>
      </c>
      <c r="AB1593" s="74">
        <v>0.875120076849183</v>
      </c>
      <c r="AC1593" s="74">
        <v>0.92</v>
      </c>
      <c r="AD1593" s="72">
        <v>0.0632911392405063</v>
      </c>
      <c r="AE1593" s="72">
        <v>1</v>
      </c>
      <c r="AF1593" s="72">
        <v>1</v>
      </c>
      <c r="AG1593" s="72">
        <v>0.914917127071823</v>
      </c>
      <c r="AH1593" s="74">
        <v>0.92</v>
      </c>
      <c r="AI1593" s="72">
        <v>0.819277108433735</v>
      </c>
      <c r="AJ1593" s="72">
        <v>0.92035010940919</v>
      </c>
      <c r="AK1593" s="72">
        <v>0.926251097453907</v>
      </c>
      <c r="AL1593" s="72">
        <v>0.90614382785957</v>
      </c>
      <c r="AM1593" s="71">
        <v>0.99</v>
      </c>
      <c r="AN1593" s="76">
        <v>1</v>
      </c>
      <c r="AO1593" s="76">
        <v>1</v>
      </c>
      <c r="AP1593" s="76">
        <v>1</v>
      </c>
      <c r="AQ1593" s="76">
        <v>1</v>
      </c>
      <c r="AR1593" s="96">
        <v>0.110069253262963</v>
      </c>
      <c r="AS1593" s="80">
        <v>0.0555555555555556</v>
      </c>
      <c r="AT1593" s="80">
        <v>0</v>
      </c>
      <c r="AU1593" s="80">
        <v>0.111111111111111</v>
      </c>
      <c r="AV1593" s="80">
        <v>0.0476190476190476</v>
      </c>
      <c r="AW1593" s="36"/>
      <c r="AX1593" s="34"/>
    </row>
    <row r="1594" ht="14.5" spans="1:50">
      <c r="A1594" s="32"/>
      <c r="B1594" s="36"/>
      <c r="C1594" s="91" t="s">
        <v>1473</v>
      </c>
      <c r="D1594" s="69" t="s">
        <v>27</v>
      </c>
      <c r="E1594" s="107" t="s">
        <v>1643</v>
      </c>
      <c r="F1594" s="107" t="s">
        <v>1643</v>
      </c>
      <c r="G1594" s="107" t="s">
        <v>1643</v>
      </c>
      <c r="H1594" s="107" t="s">
        <v>1643</v>
      </c>
      <c r="I1594" s="71">
        <v>0.9</v>
      </c>
      <c r="J1594" s="72">
        <v>0.851851851851852</v>
      </c>
      <c r="K1594" s="72">
        <v>0.84375</v>
      </c>
      <c r="L1594" s="73">
        <v>0.903225806451613</v>
      </c>
      <c r="M1594" s="72">
        <v>0.884476534296029</v>
      </c>
      <c r="N1594" s="74">
        <v>0.9</v>
      </c>
      <c r="O1594" s="72">
        <v>0.579135405501965</v>
      </c>
      <c r="P1594" s="72">
        <v>0.810574018126888</v>
      </c>
      <c r="Q1594" s="72">
        <v>0.581255374032674</v>
      </c>
      <c r="R1594" s="72">
        <v>0.706820229560857</v>
      </c>
      <c r="S1594" s="74">
        <v>0.9</v>
      </c>
      <c r="T1594" s="72">
        <v>0.56734548052876</v>
      </c>
      <c r="U1594" s="72">
        <v>0.77190332326284</v>
      </c>
      <c r="V1594" s="72">
        <v>0.628976784178848</v>
      </c>
      <c r="W1594" s="72">
        <v>0.698162729658793</v>
      </c>
      <c r="X1594" s="74">
        <v>0.92</v>
      </c>
      <c r="Y1594" s="74">
        <v>0</v>
      </c>
      <c r="Z1594" s="74">
        <v>0</v>
      </c>
      <c r="AA1594" s="74">
        <v>0</v>
      </c>
      <c r="AB1594" s="74">
        <v>0</v>
      </c>
      <c r="AC1594" s="74">
        <v>0.92</v>
      </c>
      <c r="AD1594" s="72">
        <v>0.958333333333333</v>
      </c>
      <c r="AE1594" s="72">
        <v>0.958333333333333</v>
      </c>
      <c r="AF1594" s="72">
        <v>0.926829268292683</v>
      </c>
      <c r="AG1594" s="72">
        <v>0.956175298804781</v>
      </c>
      <c r="AH1594" s="74">
        <v>0.92</v>
      </c>
      <c r="AI1594" s="72">
        <v>0.863165416220079</v>
      </c>
      <c r="AJ1594" s="72">
        <v>0.964652567975831</v>
      </c>
      <c r="AK1594" s="72">
        <v>0.921324161650903</v>
      </c>
      <c r="AL1594" s="72">
        <v>0.944966705836271</v>
      </c>
      <c r="AM1594" s="71">
        <v>0.99</v>
      </c>
      <c r="AN1594" s="76">
        <v>1</v>
      </c>
      <c r="AO1594" s="76">
        <v>1</v>
      </c>
      <c r="AP1594" s="76">
        <v>1</v>
      </c>
      <c r="AQ1594" s="76">
        <v>1</v>
      </c>
      <c r="AR1594" s="96">
        <v>0.110069253262963</v>
      </c>
      <c r="AS1594" s="80">
        <v>0</v>
      </c>
      <c r="AT1594" s="80">
        <v>0.222222222222222</v>
      </c>
      <c r="AU1594" s="80">
        <v>0</v>
      </c>
      <c r="AV1594" s="80">
        <v>0.0552147239263804</v>
      </c>
      <c r="AW1594" s="36"/>
      <c r="AX1594" s="34"/>
    </row>
    <row r="1595" ht="14.5" spans="1:50">
      <c r="A1595" s="32"/>
      <c r="B1595" s="36"/>
      <c r="C1595" s="91" t="s">
        <v>1473</v>
      </c>
      <c r="D1595" s="69" t="s">
        <v>27</v>
      </c>
      <c r="E1595" s="107" t="s">
        <v>1644</v>
      </c>
      <c r="F1595" s="107" t="s">
        <v>1644</v>
      </c>
      <c r="G1595" s="107" t="s">
        <v>1644</v>
      </c>
      <c r="H1595" s="107" t="s">
        <v>1644</v>
      </c>
      <c r="I1595" s="71">
        <v>0.9</v>
      </c>
      <c r="J1595" s="72">
        <v>1</v>
      </c>
      <c r="K1595" s="72">
        <v>1</v>
      </c>
      <c r="L1595" s="73">
        <v>1</v>
      </c>
      <c r="M1595" s="72">
        <v>1</v>
      </c>
      <c r="N1595" s="74">
        <v>0.9</v>
      </c>
      <c r="O1595" s="72">
        <v>1</v>
      </c>
      <c r="P1595" s="72">
        <v>1</v>
      </c>
      <c r="Q1595" s="72">
        <v>1</v>
      </c>
      <c r="R1595" s="72">
        <v>0.999492127983748</v>
      </c>
      <c r="S1595" s="74">
        <v>0.9</v>
      </c>
      <c r="T1595" s="72">
        <v>0.95748987854251</v>
      </c>
      <c r="U1595" s="72">
        <v>0.958610495195861</v>
      </c>
      <c r="V1595" s="72">
        <v>0.957446808510638</v>
      </c>
      <c r="W1595" s="72">
        <v>0.95691552395463</v>
      </c>
      <c r="X1595" s="74">
        <v>0.92</v>
      </c>
      <c r="Y1595" s="74">
        <v>0</v>
      </c>
      <c r="Z1595" s="74">
        <v>0</v>
      </c>
      <c r="AA1595" s="74">
        <v>0</v>
      </c>
      <c r="AB1595" s="74">
        <v>0</v>
      </c>
      <c r="AC1595" s="74">
        <v>0.92</v>
      </c>
      <c r="AD1595" s="72">
        <v>1</v>
      </c>
      <c r="AE1595" s="72">
        <v>1</v>
      </c>
      <c r="AF1595" s="72">
        <v>0.985294117647059</v>
      </c>
      <c r="AG1595" s="72">
        <v>0.996370235934664</v>
      </c>
      <c r="AH1595" s="74">
        <v>0.92</v>
      </c>
      <c r="AI1595" s="72">
        <v>0.975708502024291</v>
      </c>
      <c r="AJ1595" s="72">
        <v>0.97930524759793</v>
      </c>
      <c r="AK1595" s="72">
        <v>0.985493230174081</v>
      </c>
      <c r="AL1595" s="72">
        <v>0.97866937531742</v>
      </c>
      <c r="AM1595" s="71">
        <v>0.99</v>
      </c>
      <c r="AN1595" s="76">
        <v>1</v>
      </c>
      <c r="AO1595" s="76">
        <v>1</v>
      </c>
      <c r="AP1595" s="76">
        <v>1</v>
      </c>
      <c r="AQ1595" s="76">
        <v>1</v>
      </c>
      <c r="AR1595" s="96">
        <v>0.110069253262963</v>
      </c>
      <c r="AS1595" s="80">
        <v>0</v>
      </c>
      <c r="AT1595" s="80">
        <v>0</v>
      </c>
      <c r="AU1595" s="80">
        <v>0.166666666666667</v>
      </c>
      <c r="AV1595" s="80">
        <v>0.0735294117647059</v>
      </c>
      <c r="AW1595" s="36"/>
      <c r="AX1595" s="34"/>
    </row>
    <row r="1596" ht="14.5" spans="1:50">
      <c r="A1596" s="32"/>
      <c r="B1596" s="36"/>
      <c r="C1596" s="91" t="s">
        <v>1473</v>
      </c>
      <c r="D1596" s="69" t="s">
        <v>27</v>
      </c>
      <c r="E1596" s="107" t="s">
        <v>1645</v>
      </c>
      <c r="F1596" s="107" t="s">
        <v>1645</v>
      </c>
      <c r="G1596" s="107" t="s">
        <v>1645</v>
      </c>
      <c r="H1596" s="107" t="s">
        <v>1645</v>
      </c>
      <c r="I1596" s="71">
        <v>0.9</v>
      </c>
      <c r="J1596" s="72">
        <v>0.9</v>
      </c>
      <c r="K1596" s="72">
        <v>0.692307692307692</v>
      </c>
      <c r="L1596" s="73">
        <v>1</v>
      </c>
      <c r="M1596" s="72">
        <v>0.875</v>
      </c>
      <c r="N1596" s="74">
        <v>0.9</v>
      </c>
      <c r="O1596" s="72">
        <v>0.880154639175258</v>
      </c>
      <c r="P1596" s="72">
        <v>0.933668341708543</v>
      </c>
      <c r="Q1596" s="72">
        <v>0.869541484716157</v>
      </c>
      <c r="R1596" s="72">
        <v>0.893134844154981</v>
      </c>
      <c r="S1596" s="74">
        <v>0.9</v>
      </c>
      <c r="T1596" s="72">
        <v>0.844716494845361</v>
      </c>
      <c r="U1596" s="72">
        <v>0.906030150753769</v>
      </c>
      <c r="V1596" s="72">
        <v>0.850436681222707</v>
      </c>
      <c r="W1596" s="72">
        <v>0.871602312753373</v>
      </c>
      <c r="X1596" s="74">
        <v>0.92</v>
      </c>
      <c r="Y1596" s="74">
        <v>0.915492957746479</v>
      </c>
      <c r="Z1596" s="74">
        <v>0.941176470588235</v>
      </c>
      <c r="AA1596" s="74">
        <v>0.944339025932954</v>
      </c>
      <c r="AB1596" s="74">
        <v>0.936380533964177</v>
      </c>
      <c r="AC1596" s="74">
        <v>0.92</v>
      </c>
      <c r="AD1596" s="72">
        <v>0.974789915966387</v>
      </c>
      <c r="AE1596" s="72">
        <v>0.955696202531646</v>
      </c>
      <c r="AF1596" s="72">
        <v>0.923076923076923</v>
      </c>
      <c r="AG1596" s="72">
        <v>0.942201108471892</v>
      </c>
      <c r="AH1596" s="74">
        <v>0.92</v>
      </c>
      <c r="AI1596" s="72">
        <v>0.915542710340398</v>
      </c>
      <c r="AJ1596" s="72">
        <v>0.945351945351945</v>
      </c>
      <c r="AK1596" s="72">
        <v>0.947260474655728</v>
      </c>
      <c r="AL1596" s="72">
        <v>0.947403660169618</v>
      </c>
      <c r="AM1596" s="71">
        <v>0.99</v>
      </c>
      <c r="AN1596" s="76">
        <v>1</v>
      </c>
      <c r="AO1596" s="76">
        <v>1</v>
      </c>
      <c r="AP1596" s="76">
        <v>1</v>
      </c>
      <c r="AQ1596" s="76">
        <v>1</v>
      </c>
      <c r="AR1596" s="96">
        <v>0.110069253262963</v>
      </c>
      <c r="AS1596" s="80">
        <v>0.0833333333333333</v>
      </c>
      <c r="AT1596" s="80">
        <v>0.176470588235294</v>
      </c>
      <c r="AU1596" s="80">
        <v>0.105263157894737</v>
      </c>
      <c r="AV1596" s="80">
        <v>0.106870229007634</v>
      </c>
      <c r="AW1596" s="36"/>
      <c r="AX1596" s="34"/>
    </row>
    <row r="1597" ht="14.5" spans="1:50">
      <c r="A1597" s="32"/>
      <c r="B1597" s="36"/>
      <c r="C1597" s="91" t="s">
        <v>1473</v>
      </c>
      <c r="D1597" s="69" t="s">
        <v>27</v>
      </c>
      <c r="E1597" s="107" t="s">
        <v>1646</v>
      </c>
      <c r="F1597" s="107" t="s">
        <v>1646</v>
      </c>
      <c r="G1597" s="107" t="s">
        <v>1646</v>
      </c>
      <c r="H1597" s="107" t="s">
        <v>1646</v>
      </c>
      <c r="I1597" s="71">
        <v>0.9</v>
      </c>
      <c r="J1597" s="72">
        <v>0.953488372093023</v>
      </c>
      <c r="K1597" s="72">
        <v>1</v>
      </c>
      <c r="L1597" s="73">
        <v>0.938775510204082</v>
      </c>
      <c r="M1597" s="72">
        <v>0.956521739130435</v>
      </c>
      <c r="N1597" s="74">
        <v>0.9</v>
      </c>
      <c r="O1597" s="72">
        <v>0.923433874709977</v>
      </c>
      <c r="P1597" s="72">
        <v>0.917174177831912</v>
      </c>
      <c r="Q1597" s="72">
        <v>0.968099547511312</v>
      </c>
      <c r="R1597" s="72">
        <v>0.922407844941142</v>
      </c>
      <c r="S1597" s="74">
        <v>0.9</v>
      </c>
      <c r="T1597" s="72">
        <v>0.930394431554524</v>
      </c>
      <c r="U1597" s="72">
        <v>0.931964503219071</v>
      </c>
      <c r="V1597" s="72">
        <v>0.940497737556561</v>
      </c>
      <c r="W1597" s="72">
        <v>0.932109477909967</v>
      </c>
      <c r="X1597" s="74">
        <v>0.92</v>
      </c>
      <c r="Y1597" s="74">
        <v>0</v>
      </c>
      <c r="Z1597" s="74">
        <v>0</v>
      </c>
      <c r="AA1597" s="74">
        <v>0.4</v>
      </c>
      <c r="AB1597" s="74">
        <v>0.117647058823529</v>
      </c>
      <c r="AC1597" s="74">
        <v>0.92</v>
      </c>
      <c r="AD1597" s="72">
        <v>0.99438202247191</v>
      </c>
      <c r="AE1597" s="72">
        <v>0.603046594982079</v>
      </c>
      <c r="AF1597" s="72">
        <v>0.485776805251641</v>
      </c>
      <c r="AG1597" s="72">
        <v>0.801295896328294</v>
      </c>
      <c r="AH1597" s="74">
        <v>0.92</v>
      </c>
      <c r="AI1597" s="72">
        <v>0.945328031809145</v>
      </c>
      <c r="AJ1597" s="72">
        <v>0.964186369958275</v>
      </c>
      <c r="AK1597" s="72">
        <v>0.951186440677966</v>
      </c>
      <c r="AL1597" s="72">
        <v>0.962358399866238</v>
      </c>
      <c r="AM1597" s="71">
        <v>0.99</v>
      </c>
      <c r="AN1597" s="76">
        <v>1</v>
      </c>
      <c r="AO1597" s="76">
        <v>1</v>
      </c>
      <c r="AP1597" s="76">
        <v>1</v>
      </c>
      <c r="AQ1597" s="76">
        <v>1</v>
      </c>
      <c r="AR1597" s="96">
        <v>0.110069253262963</v>
      </c>
      <c r="AS1597" s="80">
        <v>0.0975609756097561</v>
      </c>
      <c r="AT1597" s="80">
        <v>0.0625</v>
      </c>
      <c r="AU1597" s="80">
        <v>0.117647058823529</v>
      </c>
      <c r="AV1597" s="80">
        <v>0.062111801242236</v>
      </c>
      <c r="AW1597" s="36"/>
      <c r="AX1597" s="34"/>
    </row>
    <row r="1598" ht="14.5" spans="1:50">
      <c r="A1598" s="32"/>
      <c r="B1598" s="36"/>
      <c r="C1598" s="91" t="s">
        <v>1473</v>
      </c>
      <c r="D1598" s="69" t="s">
        <v>27</v>
      </c>
      <c r="E1598" s="107" t="s">
        <v>1647</v>
      </c>
      <c r="F1598" s="107" t="s">
        <v>1647</v>
      </c>
      <c r="G1598" s="107" t="s">
        <v>1647</v>
      </c>
      <c r="H1598" s="107" t="s">
        <v>1647</v>
      </c>
      <c r="I1598" s="71">
        <v>0.9</v>
      </c>
      <c r="J1598" s="72">
        <v>0.72</v>
      </c>
      <c r="K1598" s="72">
        <v>0.692307692307692</v>
      </c>
      <c r="L1598" s="73">
        <v>0.777777777777778</v>
      </c>
      <c r="M1598" s="72">
        <v>0.737704918032787</v>
      </c>
      <c r="N1598" s="74">
        <v>0.9</v>
      </c>
      <c r="O1598" s="72">
        <v>0.567674113009198</v>
      </c>
      <c r="P1598" s="72">
        <v>0.452283160183619</v>
      </c>
      <c r="Q1598" s="72">
        <v>0.838137472283814</v>
      </c>
      <c r="R1598" s="72">
        <v>0.625471523912527</v>
      </c>
      <c r="S1598" s="74">
        <v>0.9</v>
      </c>
      <c r="T1598" s="72">
        <v>0.436487078405607</v>
      </c>
      <c r="U1598" s="72">
        <v>0.480067649190626</v>
      </c>
      <c r="V1598" s="72">
        <v>0.623261439225963</v>
      </c>
      <c r="W1598" s="72">
        <v>0.531193120367195</v>
      </c>
      <c r="X1598" s="74">
        <v>0.92</v>
      </c>
      <c r="Y1598" s="74">
        <v>0</v>
      </c>
      <c r="Z1598" s="74">
        <v>0</v>
      </c>
      <c r="AA1598" s="74">
        <v>0</v>
      </c>
      <c r="AB1598" s="74">
        <v>0.266666666666667</v>
      </c>
      <c r="AC1598" s="74">
        <v>0.92</v>
      </c>
      <c r="AD1598" s="72">
        <v>1</v>
      </c>
      <c r="AE1598" s="72">
        <v>0.951612903225806</v>
      </c>
      <c r="AF1598" s="72">
        <v>0.972222222222222</v>
      </c>
      <c r="AG1598" s="72">
        <v>0.969072164948454</v>
      </c>
      <c r="AH1598" s="74">
        <v>0.92</v>
      </c>
      <c r="AI1598" s="72">
        <v>0.799693855237262</v>
      </c>
      <c r="AJ1598" s="72">
        <v>0.816030902945437</v>
      </c>
      <c r="AK1598" s="72">
        <v>0.880467647651683</v>
      </c>
      <c r="AL1598" s="72">
        <v>0.8763316105896</v>
      </c>
      <c r="AM1598" s="71">
        <v>0.99</v>
      </c>
      <c r="AN1598" s="76">
        <v>0</v>
      </c>
      <c r="AO1598" s="76">
        <v>0</v>
      </c>
      <c r="AP1598" s="76">
        <v>0</v>
      </c>
      <c r="AQ1598" s="76">
        <v>0</v>
      </c>
      <c r="AR1598" s="96">
        <v>0.110069253262963</v>
      </c>
      <c r="AS1598" s="80">
        <v>0.05</v>
      </c>
      <c r="AT1598" s="80">
        <v>0.133333333333333</v>
      </c>
      <c r="AU1598" s="80">
        <v>0.0869565217391304</v>
      </c>
      <c r="AV1598" s="80">
        <v>0.0833333333333333</v>
      </c>
      <c r="AW1598" s="36"/>
      <c r="AX1598" s="34"/>
    </row>
    <row r="1599" ht="14.5" spans="1:50">
      <c r="A1599" s="32"/>
      <c r="B1599" s="36"/>
      <c r="C1599" s="91" t="s">
        <v>1473</v>
      </c>
      <c r="D1599" s="69" t="s">
        <v>27</v>
      </c>
      <c r="E1599" s="107" t="s">
        <v>1648</v>
      </c>
      <c r="F1599" s="107" t="s">
        <v>1648</v>
      </c>
      <c r="G1599" s="107" t="s">
        <v>1648</v>
      </c>
      <c r="H1599" s="107" t="s">
        <v>1648</v>
      </c>
      <c r="I1599" s="71">
        <v>0.9</v>
      </c>
      <c r="J1599" s="72">
        <v>0</v>
      </c>
      <c r="K1599" s="72">
        <v>0</v>
      </c>
      <c r="L1599" s="73">
        <v>0</v>
      </c>
      <c r="M1599" s="72">
        <v>0</v>
      </c>
      <c r="N1599" s="74">
        <v>0.9</v>
      </c>
      <c r="O1599" s="72">
        <v>0</v>
      </c>
      <c r="P1599" s="72">
        <v>0</v>
      </c>
      <c r="Q1599" s="72">
        <v>0</v>
      </c>
      <c r="R1599" s="72">
        <v>0</v>
      </c>
      <c r="S1599" s="74">
        <v>0.9</v>
      </c>
      <c r="T1599" s="72">
        <v>0</v>
      </c>
      <c r="U1599" s="72">
        <v>0</v>
      </c>
      <c r="V1599" s="72">
        <v>0</v>
      </c>
      <c r="W1599" s="72">
        <v>0</v>
      </c>
      <c r="X1599" s="74">
        <v>0.92</v>
      </c>
      <c r="Y1599" s="74">
        <v>0</v>
      </c>
      <c r="Z1599" s="74">
        <v>0</v>
      </c>
      <c r="AA1599" s="74">
        <v>0</v>
      </c>
      <c r="AB1599" s="74">
        <v>0</v>
      </c>
      <c r="AC1599" s="74">
        <v>0.92</v>
      </c>
      <c r="AD1599" s="72">
        <v>1</v>
      </c>
      <c r="AE1599" s="72">
        <v>0.693430656934307</v>
      </c>
      <c r="AF1599" s="72">
        <v>0.894230769230769</v>
      </c>
      <c r="AG1599" s="72">
        <v>0.821489482660603</v>
      </c>
      <c r="AH1599" s="74">
        <v>0.92</v>
      </c>
      <c r="AI1599" s="72">
        <v>0</v>
      </c>
      <c r="AJ1599" s="72">
        <v>0</v>
      </c>
      <c r="AK1599" s="72">
        <v>0</v>
      </c>
      <c r="AL1599" s="72">
        <v>0</v>
      </c>
      <c r="AM1599" s="71">
        <v>0.99</v>
      </c>
      <c r="AN1599" s="76">
        <v>0</v>
      </c>
      <c r="AO1599" s="76">
        <v>1</v>
      </c>
      <c r="AP1599" s="76">
        <v>1</v>
      </c>
      <c r="AQ1599" s="76">
        <v>1</v>
      </c>
      <c r="AR1599" s="96">
        <v>0.110069253262963</v>
      </c>
      <c r="AS1599" s="80">
        <v>0</v>
      </c>
      <c r="AT1599" s="80">
        <v>0</v>
      </c>
      <c r="AU1599" s="80">
        <v>0</v>
      </c>
      <c r="AV1599" s="80">
        <v>0</v>
      </c>
      <c r="AW1599" s="36"/>
      <c r="AX1599" s="34"/>
    </row>
    <row r="1600" ht="14.5" spans="1:50">
      <c r="A1600" s="32"/>
      <c r="B1600" s="36"/>
      <c r="C1600" s="91" t="s">
        <v>1473</v>
      </c>
      <c r="D1600" s="69" t="s">
        <v>27</v>
      </c>
      <c r="E1600" s="107" t="s">
        <v>1649</v>
      </c>
      <c r="F1600" s="107" t="s">
        <v>1649</v>
      </c>
      <c r="G1600" s="107" t="s">
        <v>1649</v>
      </c>
      <c r="H1600" s="107" t="s">
        <v>1649</v>
      </c>
      <c r="I1600" s="71">
        <v>0.9</v>
      </c>
      <c r="J1600" s="72">
        <v>0</v>
      </c>
      <c r="K1600" s="72">
        <v>0</v>
      </c>
      <c r="L1600" s="73">
        <v>0</v>
      </c>
      <c r="M1600" s="72">
        <v>0</v>
      </c>
      <c r="N1600" s="74">
        <v>0.9</v>
      </c>
      <c r="O1600" s="72">
        <v>0</v>
      </c>
      <c r="P1600" s="72">
        <v>0</v>
      </c>
      <c r="Q1600" s="72">
        <v>0</v>
      </c>
      <c r="R1600" s="72">
        <v>0</v>
      </c>
      <c r="S1600" s="74">
        <v>0.9</v>
      </c>
      <c r="T1600" s="72">
        <v>0</v>
      </c>
      <c r="U1600" s="72">
        <v>0</v>
      </c>
      <c r="V1600" s="72">
        <v>0</v>
      </c>
      <c r="W1600" s="72">
        <v>0</v>
      </c>
      <c r="X1600" s="74">
        <v>0.92</v>
      </c>
      <c r="Y1600" s="74">
        <v>0</v>
      </c>
      <c r="Z1600" s="74">
        <v>0</v>
      </c>
      <c r="AA1600" s="74">
        <v>0</v>
      </c>
      <c r="AB1600" s="74">
        <v>0</v>
      </c>
      <c r="AC1600" s="74">
        <v>0.92</v>
      </c>
      <c r="AD1600" s="72">
        <v>1</v>
      </c>
      <c r="AE1600" s="72">
        <v>1</v>
      </c>
      <c r="AF1600" s="72">
        <v>0.941463414634146</v>
      </c>
      <c r="AG1600" s="72">
        <v>0.967849223946785</v>
      </c>
      <c r="AH1600" s="74">
        <v>0.92</v>
      </c>
      <c r="AI1600" s="72">
        <v>0</v>
      </c>
      <c r="AJ1600" s="72">
        <v>0</v>
      </c>
      <c r="AK1600" s="72">
        <v>0</v>
      </c>
      <c r="AL1600" s="72">
        <v>0.5</v>
      </c>
      <c r="AM1600" s="71">
        <v>0.99</v>
      </c>
      <c r="AN1600" s="76">
        <v>1</v>
      </c>
      <c r="AO1600" s="76">
        <v>1</v>
      </c>
      <c r="AP1600" s="76">
        <v>1</v>
      </c>
      <c r="AQ1600" s="76">
        <v>1</v>
      </c>
      <c r="AR1600" s="96">
        <v>0.110069253262963</v>
      </c>
      <c r="AS1600" s="80">
        <v>0</v>
      </c>
      <c r="AT1600" s="80">
        <v>0</v>
      </c>
      <c r="AU1600" s="80">
        <v>0</v>
      </c>
      <c r="AV1600" s="80">
        <v>0</v>
      </c>
      <c r="AW1600" s="36"/>
      <c r="AX1600" s="34"/>
    </row>
    <row r="1601" ht="14.5" spans="1:50">
      <c r="A1601" s="32"/>
      <c r="B1601" s="36"/>
      <c r="C1601" s="91" t="s">
        <v>1473</v>
      </c>
      <c r="D1601" s="69" t="s">
        <v>27</v>
      </c>
      <c r="E1601" s="107" t="s">
        <v>1650</v>
      </c>
      <c r="F1601" s="107" t="s">
        <v>1650</v>
      </c>
      <c r="G1601" s="107" t="s">
        <v>1650</v>
      </c>
      <c r="H1601" s="107" t="s">
        <v>1650</v>
      </c>
      <c r="I1601" s="71">
        <v>0.9</v>
      </c>
      <c r="J1601" s="72">
        <v>0</v>
      </c>
      <c r="K1601" s="72">
        <v>0</v>
      </c>
      <c r="L1601" s="73">
        <v>0</v>
      </c>
      <c r="M1601" s="72">
        <v>0</v>
      </c>
      <c r="N1601" s="74">
        <v>0.9</v>
      </c>
      <c r="O1601" s="72">
        <v>0</v>
      </c>
      <c r="P1601" s="72">
        <v>0</v>
      </c>
      <c r="Q1601" s="72">
        <v>0</v>
      </c>
      <c r="R1601" s="72">
        <v>0</v>
      </c>
      <c r="S1601" s="74">
        <v>0.9</v>
      </c>
      <c r="T1601" s="72">
        <v>0</v>
      </c>
      <c r="U1601" s="72">
        <v>0</v>
      </c>
      <c r="V1601" s="72">
        <v>0</v>
      </c>
      <c r="W1601" s="72">
        <v>0</v>
      </c>
      <c r="X1601" s="74">
        <v>0.92</v>
      </c>
      <c r="Y1601" s="74">
        <v>0</v>
      </c>
      <c r="Z1601" s="74">
        <v>0</v>
      </c>
      <c r="AA1601" s="74">
        <v>0</v>
      </c>
      <c r="AB1601" s="74">
        <v>0</v>
      </c>
      <c r="AC1601" s="74">
        <v>0.92</v>
      </c>
      <c r="AD1601" s="72">
        <v>1</v>
      </c>
      <c r="AE1601" s="72">
        <v>0.23972602739726</v>
      </c>
      <c r="AF1601" s="72">
        <v>0.737623762376238</v>
      </c>
      <c r="AG1601" s="72">
        <v>0.827171109200344</v>
      </c>
      <c r="AH1601" s="74">
        <v>0.92</v>
      </c>
      <c r="AI1601" s="72">
        <v>0</v>
      </c>
      <c r="AJ1601" s="72">
        <v>0</v>
      </c>
      <c r="AK1601" s="72">
        <v>0</v>
      </c>
      <c r="AL1601" s="72">
        <v>0</v>
      </c>
      <c r="AM1601" s="71">
        <v>0.99</v>
      </c>
      <c r="AN1601" s="76">
        <v>0</v>
      </c>
      <c r="AO1601" s="76">
        <v>1</v>
      </c>
      <c r="AP1601" s="76">
        <v>1</v>
      </c>
      <c r="AQ1601" s="76">
        <v>1</v>
      </c>
      <c r="AR1601" s="96">
        <v>0.110069253262963</v>
      </c>
      <c r="AS1601" s="80">
        <v>0</v>
      </c>
      <c r="AT1601" s="80">
        <v>0</v>
      </c>
      <c r="AU1601" s="80">
        <v>0</v>
      </c>
      <c r="AV1601" s="80">
        <v>0</v>
      </c>
      <c r="AW1601" s="36"/>
      <c r="AX1601" s="34"/>
    </row>
    <row r="1602" ht="14.5" spans="1:50">
      <c r="A1602" s="32"/>
      <c r="B1602" s="36"/>
      <c r="C1602" s="91" t="s">
        <v>1473</v>
      </c>
      <c r="D1602" s="69" t="s">
        <v>27</v>
      </c>
      <c r="E1602" s="107" t="s">
        <v>1651</v>
      </c>
      <c r="F1602" s="107" t="s">
        <v>1651</v>
      </c>
      <c r="G1602" s="107" t="s">
        <v>1651</v>
      </c>
      <c r="H1602" s="107" t="s">
        <v>1651</v>
      </c>
      <c r="I1602" s="71">
        <v>0.9</v>
      </c>
      <c r="J1602" s="72">
        <v>0</v>
      </c>
      <c r="K1602" s="72">
        <v>0</v>
      </c>
      <c r="L1602" s="73">
        <v>0</v>
      </c>
      <c r="M1602" s="72">
        <v>0</v>
      </c>
      <c r="N1602" s="74">
        <v>0.9</v>
      </c>
      <c r="O1602" s="72">
        <v>0</v>
      </c>
      <c r="P1602" s="72">
        <v>0</v>
      </c>
      <c r="Q1602" s="72">
        <v>0</v>
      </c>
      <c r="R1602" s="72">
        <v>0</v>
      </c>
      <c r="S1602" s="74">
        <v>0.9</v>
      </c>
      <c r="T1602" s="72">
        <v>0</v>
      </c>
      <c r="U1602" s="72">
        <v>0</v>
      </c>
      <c r="V1602" s="72">
        <v>0</v>
      </c>
      <c r="W1602" s="72">
        <v>1</v>
      </c>
      <c r="X1602" s="74">
        <v>0.92</v>
      </c>
      <c r="Y1602" s="74">
        <v>0</v>
      </c>
      <c r="Z1602" s="74">
        <v>0</v>
      </c>
      <c r="AA1602" s="74">
        <v>0</v>
      </c>
      <c r="AB1602" s="74">
        <v>0</v>
      </c>
      <c r="AC1602" s="74">
        <v>0.92</v>
      </c>
      <c r="AD1602" s="72">
        <v>1</v>
      </c>
      <c r="AE1602" s="72">
        <v>1</v>
      </c>
      <c r="AF1602" s="72">
        <v>0.901734104046243</v>
      </c>
      <c r="AG1602" s="72">
        <v>0.977504017139797</v>
      </c>
      <c r="AH1602" s="74">
        <v>0.92</v>
      </c>
      <c r="AI1602" s="72">
        <v>0</v>
      </c>
      <c r="AJ1602" s="72">
        <v>0</v>
      </c>
      <c r="AK1602" s="72">
        <v>0</v>
      </c>
      <c r="AL1602" s="72">
        <v>1</v>
      </c>
      <c r="AM1602" s="71">
        <v>0.99</v>
      </c>
      <c r="AN1602" s="76">
        <v>1</v>
      </c>
      <c r="AO1602" s="76">
        <v>0</v>
      </c>
      <c r="AP1602" s="76">
        <v>0</v>
      </c>
      <c r="AQ1602" s="76">
        <v>1</v>
      </c>
      <c r="AR1602" s="96">
        <v>0.110069253262963</v>
      </c>
      <c r="AS1602" s="80">
        <v>0</v>
      </c>
      <c r="AT1602" s="80">
        <v>0</v>
      </c>
      <c r="AU1602" s="80">
        <v>0</v>
      </c>
      <c r="AV1602" s="80">
        <v>0</v>
      </c>
      <c r="AW1602" s="36"/>
      <c r="AX1602" s="34"/>
    </row>
    <row r="1603" ht="14.5" spans="1:50">
      <c r="A1603" s="32"/>
      <c r="B1603" s="36"/>
      <c r="C1603" s="91" t="s">
        <v>1473</v>
      </c>
      <c r="D1603" s="69" t="s">
        <v>27</v>
      </c>
      <c r="E1603" s="107" t="s">
        <v>1652</v>
      </c>
      <c r="F1603" s="107" t="s">
        <v>1652</v>
      </c>
      <c r="G1603" s="107" t="s">
        <v>1652</v>
      </c>
      <c r="H1603" s="107" t="s">
        <v>1652</v>
      </c>
      <c r="I1603" s="71">
        <v>0.9</v>
      </c>
      <c r="J1603" s="72">
        <v>0.947368421052632</v>
      </c>
      <c r="K1603" s="72">
        <v>0.974358974358974</v>
      </c>
      <c r="L1603" s="73">
        <v>0.974358974358974</v>
      </c>
      <c r="M1603" s="72">
        <v>0.97953216374269</v>
      </c>
      <c r="N1603" s="74">
        <v>0.9</v>
      </c>
      <c r="O1603" s="72">
        <v>0.98642634623943</v>
      </c>
      <c r="P1603" s="72">
        <v>0.989795918367347</v>
      </c>
      <c r="Q1603" s="72">
        <v>0.991201667052558</v>
      </c>
      <c r="R1603" s="72">
        <v>0.977601723634895</v>
      </c>
      <c r="S1603" s="74">
        <v>0.9</v>
      </c>
      <c r="T1603" s="72">
        <v>0.956831330663106</v>
      </c>
      <c r="U1603" s="72">
        <v>0.973173140223832</v>
      </c>
      <c r="V1603" s="72">
        <v>0.97221579069229</v>
      </c>
      <c r="W1603" s="72">
        <v>0.971115649617344</v>
      </c>
      <c r="X1603" s="74">
        <v>0.92</v>
      </c>
      <c r="Y1603" s="74">
        <v>0</v>
      </c>
      <c r="Z1603" s="74">
        <v>0</v>
      </c>
      <c r="AA1603" s="74">
        <v>0.285714285714286</v>
      </c>
      <c r="AB1603" s="74">
        <v>0.195121951219512</v>
      </c>
      <c r="AC1603" s="74">
        <v>0.92</v>
      </c>
      <c r="AD1603" s="72">
        <v>1</v>
      </c>
      <c r="AE1603" s="72">
        <v>0.619047619047619</v>
      </c>
      <c r="AF1603" s="72">
        <v>0.931034482758621</v>
      </c>
      <c r="AG1603" s="72">
        <v>0.913544668587896</v>
      </c>
      <c r="AH1603" s="74">
        <v>0.92</v>
      </c>
      <c r="AI1603" s="72">
        <v>0.974187805963507</v>
      </c>
      <c r="AJ1603" s="72">
        <v>0.983061996382174</v>
      </c>
      <c r="AK1603" s="72">
        <v>0.990291262135922</v>
      </c>
      <c r="AL1603" s="72">
        <v>0.985448430493274</v>
      </c>
      <c r="AM1603" s="71">
        <v>0.99</v>
      </c>
      <c r="AN1603" s="76">
        <v>1</v>
      </c>
      <c r="AO1603" s="76">
        <v>1</v>
      </c>
      <c r="AP1603" s="76">
        <v>1</v>
      </c>
      <c r="AQ1603" s="76">
        <v>1</v>
      </c>
      <c r="AR1603" s="96">
        <v>0.110069253262963</v>
      </c>
      <c r="AS1603" s="80">
        <v>0</v>
      </c>
      <c r="AT1603" s="80">
        <v>0.032258064516129</v>
      </c>
      <c r="AU1603" s="80">
        <v>0</v>
      </c>
      <c r="AV1603" s="80">
        <v>0.0375586854460094</v>
      </c>
      <c r="AW1603" s="36"/>
      <c r="AX1603" s="34"/>
    </row>
    <row r="1604" ht="14.5" spans="1:50">
      <c r="A1604" s="32"/>
      <c r="B1604" s="36"/>
      <c r="C1604" s="91" t="s">
        <v>1473</v>
      </c>
      <c r="D1604" s="69" t="s">
        <v>27</v>
      </c>
      <c r="E1604" s="107" t="s">
        <v>1653</v>
      </c>
      <c r="F1604" s="107" t="s">
        <v>1653</v>
      </c>
      <c r="G1604" s="107" t="s">
        <v>1653</v>
      </c>
      <c r="H1604" s="107" t="s">
        <v>1653</v>
      </c>
      <c r="I1604" s="71">
        <v>0.9</v>
      </c>
      <c r="J1604" s="72">
        <v>0</v>
      </c>
      <c r="K1604" s="72">
        <v>0</v>
      </c>
      <c r="L1604" s="73">
        <v>0</v>
      </c>
      <c r="M1604" s="72">
        <v>0</v>
      </c>
      <c r="N1604" s="74">
        <v>0.9</v>
      </c>
      <c r="O1604" s="72">
        <v>0</v>
      </c>
      <c r="P1604" s="72">
        <v>0</v>
      </c>
      <c r="Q1604" s="72">
        <v>0</v>
      </c>
      <c r="R1604" s="72">
        <v>0</v>
      </c>
      <c r="S1604" s="74">
        <v>0.9</v>
      </c>
      <c r="T1604" s="72">
        <v>0</v>
      </c>
      <c r="U1604" s="72">
        <v>0</v>
      </c>
      <c r="V1604" s="72">
        <v>0</v>
      </c>
      <c r="W1604" s="72">
        <v>0</v>
      </c>
      <c r="X1604" s="74">
        <v>0.92</v>
      </c>
      <c r="Y1604" s="74">
        <v>0</v>
      </c>
      <c r="Z1604" s="74">
        <v>0</v>
      </c>
      <c r="AA1604" s="74">
        <v>0</v>
      </c>
      <c r="AB1604" s="74">
        <v>0</v>
      </c>
      <c r="AC1604" s="74">
        <v>0.92</v>
      </c>
      <c r="AD1604" s="72">
        <v>1</v>
      </c>
      <c r="AE1604" s="72">
        <v>1</v>
      </c>
      <c r="AF1604" s="72">
        <v>1</v>
      </c>
      <c r="AG1604" s="72">
        <v>0.936700336700337</v>
      </c>
      <c r="AH1604" s="74">
        <v>0.92</v>
      </c>
      <c r="AI1604" s="72">
        <v>0</v>
      </c>
      <c r="AJ1604" s="72">
        <v>0</v>
      </c>
      <c r="AK1604" s="72">
        <v>0</v>
      </c>
      <c r="AL1604" s="72">
        <v>0</v>
      </c>
      <c r="AM1604" s="71">
        <v>0.99</v>
      </c>
      <c r="AN1604" s="76">
        <v>0</v>
      </c>
      <c r="AO1604" s="76">
        <v>0</v>
      </c>
      <c r="AP1604" s="76">
        <v>0</v>
      </c>
      <c r="AQ1604" s="76">
        <v>1</v>
      </c>
      <c r="AR1604" s="96">
        <v>0.110069253262963</v>
      </c>
      <c r="AS1604" s="80">
        <v>0</v>
      </c>
      <c r="AT1604" s="80">
        <v>0</v>
      </c>
      <c r="AU1604" s="80">
        <v>0</v>
      </c>
      <c r="AV1604" s="80">
        <v>0</v>
      </c>
      <c r="AW1604" s="36"/>
      <c r="AX1604" s="34"/>
    </row>
    <row r="1605" ht="14.5" spans="1:50">
      <c r="A1605" s="32"/>
      <c r="B1605" s="36"/>
      <c r="C1605" s="91" t="s">
        <v>1473</v>
      </c>
      <c r="D1605" s="69" t="s">
        <v>27</v>
      </c>
      <c r="E1605" s="107" t="s">
        <v>1654</v>
      </c>
      <c r="F1605" s="107" t="s">
        <v>1654</v>
      </c>
      <c r="G1605" s="107" t="s">
        <v>1654</v>
      </c>
      <c r="H1605" s="107" t="s">
        <v>1654</v>
      </c>
      <c r="I1605" s="71">
        <v>0.9</v>
      </c>
      <c r="J1605" s="72">
        <v>0.9375</v>
      </c>
      <c r="K1605" s="72">
        <v>0.934782608695652</v>
      </c>
      <c r="L1605" s="73">
        <v>0.936170212765957</v>
      </c>
      <c r="M1605" s="72">
        <v>0.952830188679245</v>
      </c>
      <c r="N1605" s="74">
        <v>0.9</v>
      </c>
      <c r="O1605" s="72">
        <v>0.992708333333333</v>
      </c>
      <c r="P1605" s="72">
        <v>0.990802570240645</v>
      </c>
      <c r="Q1605" s="72">
        <v>0.987453153006355</v>
      </c>
      <c r="R1605" s="72">
        <v>0.989863143953544</v>
      </c>
      <c r="S1605" s="74">
        <v>0.9</v>
      </c>
      <c r="T1605" s="72">
        <v>0.816145833333333</v>
      </c>
      <c r="U1605" s="72">
        <v>0.76401663096888</v>
      </c>
      <c r="V1605" s="72">
        <v>0.804138830047254</v>
      </c>
      <c r="W1605" s="72">
        <v>0.7926613916528</v>
      </c>
      <c r="X1605" s="74">
        <v>0.92</v>
      </c>
      <c r="Y1605" s="74">
        <v>0</v>
      </c>
      <c r="Z1605" s="74">
        <v>0</v>
      </c>
      <c r="AA1605" s="74">
        <v>0.166666666666667</v>
      </c>
      <c r="AB1605" s="74">
        <v>0.0294117647058824</v>
      </c>
      <c r="AC1605" s="74">
        <v>0.92</v>
      </c>
      <c r="AD1605" s="72">
        <v>1</v>
      </c>
      <c r="AE1605" s="72">
        <v>0.733333333333333</v>
      </c>
      <c r="AF1605" s="72">
        <v>0.80952380952381</v>
      </c>
      <c r="AG1605" s="72">
        <v>0.912162162162162</v>
      </c>
      <c r="AH1605" s="74">
        <v>0.92</v>
      </c>
      <c r="AI1605" s="72">
        <v>0.931261933692067</v>
      </c>
      <c r="AJ1605" s="72">
        <v>0.918125708527522</v>
      </c>
      <c r="AK1605" s="72">
        <v>0.931303923164578</v>
      </c>
      <c r="AL1605" s="72">
        <v>0.919955879857458</v>
      </c>
      <c r="AM1605" s="71">
        <v>0.99</v>
      </c>
      <c r="AN1605" s="76">
        <v>0</v>
      </c>
      <c r="AO1605" s="76">
        <v>0</v>
      </c>
      <c r="AP1605" s="76">
        <v>0</v>
      </c>
      <c r="AQ1605" s="76">
        <v>1</v>
      </c>
      <c r="AR1605" s="96">
        <v>0.110069253262963</v>
      </c>
      <c r="AS1605" s="80">
        <v>0.0204081632653061</v>
      </c>
      <c r="AT1605" s="80">
        <v>0.0188679245283019</v>
      </c>
      <c r="AU1605" s="80">
        <v>0.0508474576271186</v>
      </c>
      <c r="AV1605" s="80">
        <v>0.0530785562632696</v>
      </c>
      <c r="AW1605" s="36"/>
      <c r="AX1605" s="34"/>
    </row>
    <row r="1606" ht="14.5" spans="1:50">
      <c r="A1606" s="32"/>
      <c r="B1606" s="36"/>
      <c r="C1606" s="91" t="s">
        <v>1473</v>
      </c>
      <c r="D1606" s="69" t="s">
        <v>27</v>
      </c>
      <c r="E1606" s="107" t="s">
        <v>1655</v>
      </c>
      <c r="F1606" s="107" t="s">
        <v>1655</v>
      </c>
      <c r="G1606" s="107" t="s">
        <v>1655</v>
      </c>
      <c r="H1606" s="107" t="s">
        <v>1655</v>
      </c>
      <c r="I1606" s="71">
        <v>0.9</v>
      </c>
      <c r="J1606" s="72">
        <v>0.8125</v>
      </c>
      <c r="K1606" s="72">
        <v>0.942857142857143</v>
      </c>
      <c r="L1606" s="73">
        <v>0.941176470588235</v>
      </c>
      <c r="M1606" s="72">
        <v>0.903333333333333</v>
      </c>
      <c r="N1606" s="74">
        <v>0.9</v>
      </c>
      <c r="O1606" s="72">
        <v>0.852359693877551</v>
      </c>
      <c r="P1606" s="72">
        <v>0.983638113570741</v>
      </c>
      <c r="Q1606" s="72">
        <v>0.983019853709509</v>
      </c>
      <c r="R1606" s="72">
        <v>0.963016026388565</v>
      </c>
      <c r="S1606" s="74">
        <v>0.9</v>
      </c>
      <c r="T1606" s="72">
        <v>0.522002551020408</v>
      </c>
      <c r="U1606" s="72">
        <v>0.602502406159769</v>
      </c>
      <c r="V1606" s="72">
        <v>0.607628004179728</v>
      </c>
      <c r="W1606" s="72">
        <v>0.478292739812748</v>
      </c>
      <c r="X1606" s="74">
        <v>0.92</v>
      </c>
      <c r="Y1606" s="74">
        <v>0.810745401742498</v>
      </c>
      <c r="Z1606" s="74">
        <v>0.824659448131331</v>
      </c>
      <c r="AA1606" s="74">
        <v>0.863401035444046</v>
      </c>
      <c r="AB1606" s="74">
        <v>0.839068825910931</v>
      </c>
      <c r="AC1606" s="74">
        <v>0.92</v>
      </c>
      <c r="AD1606" s="72">
        <v>0.98</v>
      </c>
      <c r="AE1606" s="72">
        <v>0.964285714285714</v>
      </c>
      <c r="AF1606" s="72">
        <v>1</v>
      </c>
      <c r="AG1606" s="72">
        <v>0.98828125</v>
      </c>
      <c r="AH1606" s="74">
        <v>0.92</v>
      </c>
      <c r="AI1606" s="72">
        <v>0.845281568325966</v>
      </c>
      <c r="AJ1606" s="72">
        <v>0.863446431556076</v>
      </c>
      <c r="AK1606" s="72">
        <v>0.895774203721224</v>
      </c>
      <c r="AL1606" s="72">
        <v>0.87750266080286</v>
      </c>
      <c r="AM1606" s="71">
        <v>0.99</v>
      </c>
      <c r="AN1606" s="76">
        <v>0</v>
      </c>
      <c r="AO1606" s="76">
        <v>0</v>
      </c>
      <c r="AP1606" s="76">
        <v>0</v>
      </c>
      <c r="AQ1606" s="76">
        <v>1</v>
      </c>
      <c r="AR1606" s="96">
        <v>0.110069253262963</v>
      </c>
      <c r="AS1606" s="80">
        <v>0.130434782608696</v>
      </c>
      <c r="AT1606" s="80">
        <v>0.0303030303030303</v>
      </c>
      <c r="AU1606" s="80">
        <v>0.136363636363636</v>
      </c>
      <c r="AV1606" s="80">
        <v>0.0853658536585366</v>
      </c>
      <c r="AW1606" s="36"/>
      <c r="AX1606" s="34"/>
    </row>
    <row r="1607" ht="14.5" spans="1:50">
      <c r="A1607" s="32"/>
      <c r="B1607" s="36"/>
      <c r="C1607" s="91" t="s">
        <v>1473</v>
      </c>
      <c r="D1607" s="69" t="s">
        <v>27</v>
      </c>
      <c r="E1607" s="107" t="s">
        <v>1656</v>
      </c>
      <c r="F1607" s="107" t="s">
        <v>1656</v>
      </c>
      <c r="G1607" s="107" t="s">
        <v>1656</v>
      </c>
      <c r="H1607" s="107" t="s">
        <v>1656</v>
      </c>
      <c r="I1607" s="71">
        <v>0.9</v>
      </c>
      <c r="J1607" s="72">
        <v>0</v>
      </c>
      <c r="K1607" s="72">
        <v>0</v>
      </c>
      <c r="L1607" s="73">
        <v>0</v>
      </c>
      <c r="M1607" s="72">
        <v>0</v>
      </c>
      <c r="N1607" s="74">
        <v>0.9</v>
      </c>
      <c r="O1607" s="72">
        <v>0</v>
      </c>
      <c r="P1607" s="72">
        <v>0</v>
      </c>
      <c r="Q1607" s="72">
        <v>0</v>
      </c>
      <c r="R1607" s="72">
        <v>0</v>
      </c>
      <c r="S1607" s="74">
        <v>0.9</v>
      </c>
      <c r="T1607" s="72">
        <v>0</v>
      </c>
      <c r="U1607" s="72">
        <v>0</v>
      </c>
      <c r="V1607" s="72">
        <v>0</v>
      </c>
      <c r="W1607" s="72">
        <v>0</v>
      </c>
      <c r="X1607" s="74">
        <v>0.92</v>
      </c>
      <c r="Y1607" s="74">
        <v>0</v>
      </c>
      <c r="Z1607" s="74">
        <v>0</v>
      </c>
      <c r="AA1607" s="74">
        <v>0</v>
      </c>
      <c r="AB1607" s="74">
        <v>0</v>
      </c>
      <c r="AC1607" s="74">
        <v>0.92</v>
      </c>
      <c r="AD1607" s="72">
        <v>0.965116279069767</v>
      </c>
      <c r="AE1607" s="72">
        <v>0.85</v>
      </c>
      <c r="AF1607" s="72">
        <v>0.985401459854015</v>
      </c>
      <c r="AG1607" s="72">
        <v>0.97804208600183</v>
      </c>
      <c r="AH1607" s="74">
        <v>0.92</v>
      </c>
      <c r="AI1607" s="72">
        <v>0</v>
      </c>
      <c r="AJ1607" s="72">
        <v>0</v>
      </c>
      <c r="AK1607" s="72">
        <v>0</v>
      </c>
      <c r="AL1607" s="72">
        <v>0</v>
      </c>
      <c r="AM1607" s="71">
        <v>0.99</v>
      </c>
      <c r="AN1607" s="76">
        <v>0</v>
      </c>
      <c r="AO1607" s="76">
        <v>1</v>
      </c>
      <c r="AP1607" s="76">
        <v>1</v>
      </c>
      <c r="AQ1607" s="76">
        <v>1</v>
      </c>
      <c r="AR1607" s="96">
        <v>0.110069253262963</v>
      </c>
      <c r="AS1607" s="80">
        <v>0</v>
      </c>
      <c r="AT1607" s="80">
        <v>0</v>
      </c>
      <c r="AU1607" s="80">
        <v>0</v>
      </c>
      <c r="AV1607" s="80">
        <v>0</v>
      </c>
      <c r="AW1607" s="36"/>
      <c r="AX1607" s="34"/>
    </row>
    <row r="1608" ht="14.5" spans="1:50">
      <c r="A1608" s="32"/>
      <c r="B1608" s="36"/>
      <c r="C1608" s="91" t="s">
        <v>1473</v>
      </c>
      <c r="D1608" s="69" t="s">
        <v>27</v>
      </c>
      <c r="E1608" s="107" t="s">
        <v>1657</v>
      </c>
      <c r="F1608" s="107" t="s">
        <v>1657</v>
      </c>
      <c r="G1608" s="107" t="s">
        <v>1657</v>
      </c>
      <c r="H1608" s="107" t="s">
        <v>1657</v>
      </c>
      <c r="I1608" s="71">
        <v>0.9</v>
      </c>
      <c r="J1608" s="72">
        <v>0</v>
      </c>
      <c r="K1608" s="72">
        <v>0</v>
      </c>
      <c r="L1608" s="73">
        <v>0</v>
      </c>
      <c r="M1608" s="72">
        <v>0</v>
      </c>
      <c r="N1608" s="74">
        <v>0.9</v>
      </c>
      <c r="O1608" s="72">
        <v>0</v>
      </c>
      <c r="P1608" s="72">
        <v>0</v>
      </c>
      <c r="Q1608" s="72">
        <v>0</v>
      </c>
      <c r="R1608" s="72">
        <v>0</v>
      </c>
      <c r="S1608" s="74">
        <v>0.9</v>
      </c>
      <c r="T1608" s="72">
        <v>0</v>
      </c>
      <c r="U1608" s="72">
        <v>0</v>
      </c>
      <c r="V1608" s="72">
        <v>1</v>
      </c>
      <c r="W1608" s="72">
        <v>1</v>
      </c>
      <c r="X1608" s="74">
        <v>0.92</v>
      </c>
      <c r="Y1608" s="74">
        <v>0</v>
      </c>
      <c r="Z1608" s="74">
        <v>0</v>
      </c>
      <c r="AA1608" s="74">
        <v>0</v>
      </c>
      <c r="AB1608" s="74">
        <v>0</v>
      </c>
      <c r="AC1608" s="74">
        <v>0.92</v>
      </c>
      <c r="AD1608" s="72">
        <v>0.408317580340265</v>
      </c>
      <c r="AE1608" s="72">
        <v>0.547528517110266</v>
      </c>
      <c r="AF1608" s="72">
        <v>0.297546012269939</v>
      </c>
      <c r="AG1608" s="72">
        <v>0.680903289150712</v>
      </c>
      <c r="AH1608" s="74">
        <v>0.92</v>
      </c>
      <c r="AI1608" s="72">
        <v>0</v>
      </c>
      <c r="AJ1608" s="72">
        <v>0</v>
      </c>
      <c r="AK1608" s="72">
        <v>1</v>
      </c>
      <c r="AL1608" s="72">
        <v>1</v>
      </c>
      <c r="AM1608" s="71">
        <v>0.99</v>
      </c>
      <c r="AN1608" s="76">
        <v>1</v>
      </c>
      <c r="AO1608" s="76">
        <v>1</v>
      </c>
      <c r="AP1608" s="76">
        <v>1</v>
      </c>
      <c r="AQ1608" s="76">
        <v>1</v>
      </c>
      <c r="AR1608" s="96">
        <v>0.110069253262963</v>
      </c>
      <c r="AS1608" s="80">
        <v>0</v>
      </c>
      <c r="AT1608" s="80">
        <v>0</v>
      </c>
      <c r="AU1608" s="80">
        <v>0</v>
      </c>
      <c r="AV1608" s="80">
        <v>0</v>
      </c>
      <c r="AW1608" s="36"/>
      <c r="AX1608" s="34"/>
    </row>
    <row r="1609" ht="14.5" spans="1:50">
      <c r="A1609" s="32"/>
      <c r="B1609" s="36"/>
      <c r="C1609" s="91" t="s">
        <v>1473</v>
      </c>
      <c r="D1609" s="69" t="s">
        <v>27</v>
      </c>
      <c r="E1609" s="107" t="s">
        <v>1658</v>
      </c>
      <c r="F1609" s="107" t="s">
        <v>1658</v>
      </c>
      <c r="G1609" s="107" t="s">
        <v>1658</v>
      </c>
      <c r="H1609" s="107" t="s">
        <v>1658</v>
      </c>
      <c r="I1609" s="71">
        <v>0.9</v>
      </c>
      <c r="J1609" s="72">
        <v>0.95</v>
      </c>
      <c r="K1609" s="72">
        <v>0.948717948717949</v>
      </c>
      <c r="L1609" s="73">
        <v>1</v>
      </c>
      <c r="M1609" s="72">
        <v>0.980769230769231</v>
      </c>
      <c r="N1609" s="74">
        <v>0.9</v>
      </c>
      <c r="O1609" s="72">
        <v>0.967141971481711</v>
      </c>
      <c r="P1609" s="72">
        <v>0.955932203389831</v>
      </c>
      <c r="Q1609" s="72">
        <v>0.940846506884243</v>
      </c>
      <c r="R1609" s="72">
        <v>0.949744067007911</v>
      </c>
      <c r="S1609" s="74">
        <v>0.9</v>
      </c>
      <c r="T1609" s="72">
        <v>0.786732796032238</v>
      </c>
      <c r="U1609" s="72">
        <v>0.861016949152542</v>
      </c>
      <c r="V1609" s="72">
        <v>0.880163182049974</v>
      </c>
      <c r="W1609" s="72">
        <v>0.829754703184205</v>
      </c>
      <c r="X1609" s="74">
        <v>0.92</v>
      </c>
      <c r="Y1609" s="74">
        <v>0.888982338099243</v>
      </c>
      <c r="Z1609" s="74">
        <v>0.898011545862733</v>
      </c>
      <c r="AA1609" s="74">
        <v>0.944287729196051</v>
      </c>
      <c r="AB1609" s="74">
        <v>0.923590003377237</v>
      </c>
      <c r="AC1609" s="74">
        <v>0.92</v>
      </c>
      <c r="AD1609" s="72">
        <v>0.448484848484848</v>
      </c>
      <c r="AE1609" s="72">
        <v>0.99009900990099</v>
      </c>
      <c r="AF1609" s="72">
        <v>1</v>
      </c>
      <c r="AG1609" s="72">
        <v>0.902922755741127</v>
      </c>
      <c r="AH1609" s="74">
        <v>0.92</v>
      </c>
      <c r="AI1609" s="72">
        <v>0.904065620542083</v>
      </c>
      <c r="AJ1609" s="72">
        <v>0.924596641422456</v>
      </c>
      <c r="AK1609" s="72">
        <v>0.955378250591017</v>
      </c>
      <c r="AL1609" s="72">
        <v>0.941353439310652</v>
      </c>
      <c r="AM1609" s="71">
        <v>0.99</v>
      </c>
      <c r="AN1609" s="76">
        <v>1</v>
      </c>
      <c r="AO1609" s="76">
        <v>1</v>
      </c>
      <c r="AP1609" s="76">
        <v>0</v>
      </c>
      <c r="AQ1609" s="76">
        <v>1</v>
      </c>
      <c r="AR1609" s="96">
        <v>0.110069253262963</v>
      </c>
      <c r="AS1609" s="80">
        <v>0</v>
      </c>
      <c r="AT1609" s="80">
        <v>0</v>
      </c>
      <c r="AU1609" s="80">
        <v>0.0555555555555556</v>
      </c>
      <c r="AV1609" s="80">
        <v>0.0443037974683544</v>
      </c>
      <c r="AW1609" s="36"/>
      <c r="AX1609" s="34"/>
    </row>
    <row r="1610" ht="14.5" spans="1:50">
      <c r="A1610" s="32"/>
      <c r="B1610" s="36"/>
      <c r="C1610" s="91" t="s">
        <v>1473</v>
      </c>
      <c r="D1610" s="69" t="s">
        <v>27</v>
      </c>
      <c r="E1610" s="107" t="s">
        <v>1659</v>
      </c>
      <c r="F1610" s="107" t="s">
        <v>1659</v>
      </c>
      <c r="G1610" s="107" t="s">
        <v>1659</v>
      </c>
      <c r="H1610" s="107" t="s">
        <v>1659</v>
      </c>
      <c r="I1610" s="71">
        <v>0.9</v>
      </c>
      <c r="J1610" s="72">
        <v>0</v>
      </c>
      <c r="K1610" s="72">
        <v>0</v>
      </c>
      <c r="L1610" s="73">
        <v>0</v>
      </c>
      <c r="M1610" s="72">
        <v>0</v>
      </c>
      <c r="N1610" s="74">
        <v>0.9</v>
      </c>
      <c r="O1610" s="72">
        <v>0</v>
      </c>
      <c r="P1610" s="72">
        <v>0</v>
      </c>
      <c r="Q1610" s="72">
        <v>0</v>
      </c>
      <c r="R1610" s="72">
        <v>0</v>
      </c>
      <c r="S1610" s="74">
        <v>0.9</v>
      </c>
      <c r="T1610" s="72">
        <v>1</v>
      </c>
      <c r="U1610" s="72">
        <v>1</v>
      </c>
      <c r="V1610" s="72">
        <v>1</v>
      </c>
      <c r="W1610" s="72">
        <v>0.857142857142857</v>
      </c>
      <c r="X1610" s="74">
        <v>0.92</v>
      </c>
      <c r="Y1610" s="74">
        <v>0</v>
      </c>
      <c r="Z1610" s="74">
        <v>0</v>
      </c>
      <c r="AA1610" s="74">
        <v>0</v>
      </c>
      <c r="AB1610" s="74">
        <v>0</v>
      </c>
      <c r="AC1610" s="74">
        <v>0.92</v>
      </c>
      <c r="AD1610" s="72">
        <v>0.966707768187423</v>
      </c>
      <c r="AE1610" s="72">
        <v>0.889261744966443</v>
      </c>
      <c r="AF1610" s="72">
        <v>0.99554565701559</v>
      </c>
      <c r="AG1610" s="72">
        <v>0.977642276422764</v>
      </c>
      <c r="AH1610" s="74">
        <v>0.92</v>
      </c>
      <c r="AI1610" s="72">
        <v>1</v>
      </c>
      <c r="AJ1610" s="72">
        <v>1</v>
      </c>
      <c r="AK1610" s="72">
        <v>1</v>
      </c>
      <c r="AL1610" s="72">
        <v>0.916666666666667</v>
      </c>
      <c r="AM1610" s="71">
        <v>0.99</v>
      </c>
      <c r="AN1610" s="76">
        <v>1</v>
      </c>
      <c r="AO1610" s="76">
        <v>1</v>
      </c>
      <c r="AP1610" s="76">
        <v>1</v>
      </c>
      <c r="AQ1610" s="76">
        <v>1</v>
      </c>
      <c r="AR1610" s="96">
        <v>0.110069253262963</v>
      </c>
      <c r="AS1610" s="80">
        <v>0</v>
      </c>
      <c r="AT1610" s="80">
        <v>0</v>
      </c>
      <c r="AU1610" s="80">
        <v>0</v>
      </c>
      <c r="AV1610" s="80">
        <v>0</v>
      </c>
      <c r="AW1610" s="36"/>
      <c r="AX1610" s="34"/>
    </row>
    <row r="1611" ht="14.5" spans="1:50">
      <c r="A1611" s="32"/>
      <c r="B1611" s="36"/>
      <c r="C1611" s="91" t="s">
        <v>1473</v>
      </c>
      <c r="D1611" s="69" t="s">
        <v>27</v>
      </c>
      <c r="E1611" s="107" t="s">
        <v>1660</v>
      </c>
      <c r="F1611" s="107" t="s">
        <v>1660</v>
      </c>
      <c r="G1611" s="107" t="s">
        <v>1660</v>
      </c>
      <c r="H1611" s="107" t="s">
        <v>1660</v>
      </c>
      <c r="I1611" s="71">
        <v>0.9</v>
      </c>
      <c r="J1611" s="72">
        <v>0</v>
      </c>
      <c r="K1611" s="72">
        <v>0</v>
      </c>
      <c r="L1611" s="73">
        <v>0</v>
      </c>
      <c r="M1611" s="72">
        <v>0</v>
      </c>
      <c r="N1611" s="74">
        <v>0.9</v>
      </c>
      <c r="O1611" s="72">
        <v>0</v>
      </c>
      <c r="P1611" s="72">
        <v>0</v>
      </c>
      <c r="Q1611" s="72">
        <v>0</v>
      </c>
      <c r="R1611" s="72">
        <v>0</v>
      </c>
      <c r="S1611" s="74">
        <v>0.9</v>
      </c>
      <c r="T1611" s="72">
        <v>0</v>
      </c>
      <c r="U1611" s="72">
        <v>0</v>
      </c>
      <c r="V1611" s="72">
        <v>0</v>
      </c>
      <c r="W1611" s="72">
        <v>0</v>
      </c>
      <c r="X1611" s="74">
        <v>0.92</v>
      </c>
      <c r="Y1611" s="74">
        <v>0</v>
      </c>
      <c r="Z1611" s="74">
        <v>0</v>
      </c>
      <c r="AA1611" s="74">
        <v>0</v>
      </c>
      <c r="AB1611" s="74">
        <v>0</v>
      </c>
      <c r="AC1611" s="74">
        <v>0.92</v>
      </c>
      <c r="AD1611" s="72">
        <v>0.874439461883408</v>
      </c>
      <c r="AE1611" s="72">
        <v>0.885375494071146</v>
      </c>
      <c r="AF1611" s="72">
        <v>0.941176470588235</v>
      </c>
      <c r="AG1611" s="72">
        <v>0.924707918649935</v>
      </c>
      <c r="AH1611" s="74">
        <v>0.92</v>
      </c>
      <c r="AI1611" s="72">
        <v>0</v>
      </c>
      <c r="AJ1611" s="72">
        <v>0</v>
      </c>
      <c r="AK1611" s="72">
        <v>0</v>
      </c>
      <c r="AL1611" s="72">
        <v>0</v>
      </c>
      <c r="AM1611" s="71">
        <v>0.99</v>
      </c>
      <c r="AN1611" s="76">
        <v>1</v>
      </c>
      <c r="AO1611" s="76">
        <v>1</v>
      </c>
      <c r="AP1611" s="76">
        <v>1</v>
      </c>
      <c r="AQ1611" s="76">
        <v>1</v>
      </c>
      <c r="AR1611" s="96">
        <v>0.110069253262963</v>
      </c>
      <c r="AS1611" s="80">
        <v>0</v>
      </c>
      <c r="AT1611" s="80">
        <v>0</v>
      </c>
      <c r="AU1611" s="80">
        <v>0</v>
      </c>
      <c r="AV1611" s="80">
        <v>0</v>
      </c>
      <c r="AW1611" s="36"/>
      <c r="AX1611" s="34"/>
    </row>
    <row r="1612" ht="14.5" spans="1:50">
      <c r="A1612" s="32"/>
      <c r="B1612" s="36"/>
      <c r="C1612" s="91" t="s">
        <v>1473</v>
      </c>
      <c r="D1612" s="69" t="s">
        <v>27</v>
      </c>
      <c r="E1612" s="107" t="s">
        <v>1661</v>
      </c>
      <c r="F1612" s="107" t="s">
        <v>1661</v>
      </c>
      <c r="G1612" s="107" t="s">
        <v>1661</v>
      </c>
      <c r="H1612" s="107" t="s">
        <v>1661</v>
      </c>
      <c r="I1612" s="71">
        <v>0.9</v>
      </c>
      <c r="J1612" s="72">
        <v>0</v>
      </c>
      <c r="K1612" s="72">
        <v>0</v>
      </c>
      <c r="L1612" s="73">
        <v>0</v>
      </c>
      <c r="M1612" s="72">
        <v>0</v>
      </c>
      <c r="N1612" s="74">
        <v>0.9</v>
      </c>
      <c r="O1612" s="72">
        <v>0</v>
      </c>
      <c r="P1612" s="72">
        <v>0</v>
      </c>
      <c r="Q1612" s="72">
        <v>0</v>
      </c>
      <c r="R1612" s="72">
        <v>0</v>
      </c>
      <c r="S1612" s="74">
        <v>0.9</v>
      </c>
      <c r="T1612" s="72">
        <v>0</v>
      </c>
      <c r="U1612" s="72">
        <v>0</v>
      </c>
      <c r="V1612" s="72">
        <v>0</v>
      </c>
      <c r="W1612" s="72">
        <v>0</v>
      </c>
      <c r="X1612" s="74">
        <v>0.92</v>
      </c>
      <c r="Y1612" s="74">
        <v>0</v>
      </c>
      <c r="Z1612" s="74">
        <v>0</v>
      </c>
      <c r="AA1612" s="74">
        <v>0</v>
      </c>
      <c r="AB1612" s="74">
        <v>0</v>
      </c>
      <c r="AC1612" s="74">
        <v>0.92</v>
      </c>
      <c r="AD1612" s="72">
        <v>1</v>
      </c>
      <c r="AE1612" s="72">
        <v>1</v>
      </c>
      <c r="AF1612" s="72">
        <v>1</v>
      </c>
      <c r="AG1612" s="72">
        <v>0.995767195767196</v>
      </c>
      <c r="AH1612" s="74">
        <v>0.92</v>
      </c>
      <c r="AI1612" s="72">
        <v>0</v>
      </c>
      <c r="AJ1612" s="72">
        <v>0</v>
      </c>
      <c r="AK1612" s="72">
        <v>0</v>
      </c>
      <c r="AL1612" s="72">
        <v>0</v>
      </c>
      <c r="AM1612" s="71">
        <v>0.99</v>
      </c>
      <c r="AN1612" s="76">
        <v>1</v>
      </c>
      <c r="AO1612" s="76">
        <v>0</v>
      </c>
      <c r="AP1612" s="76">
        <v>1</v>
      </c>
      <c r="AQ1612" s="76">
        <v>1</v>
      </c>
      <c r="AR1612" s="96">
        <v>0.110069253262963</v>
      </c>
      <c r="AS1612" s="80">
        <v>0</v>
      </c>
      <c r="AT1612" s="80">
        <v>0</v>
      </c>
      <c r="AU1612" s="80">
        <v>0</v>
      </c>
      <c r="AV1612" s="80">
        <v>0</v>
      </c>
      <c r="AW1612" s="36"/>
      <c r="AX1612" s="34"/>
    </row>
    <row r="1613" ht="14.5" spans="1:50">
      <c r="A1613" s="32"/>
      <c r="B1613" s="36"/>
      <c r="C1613" s="91" t="s">
        <v>1473</v>
      </c>
      <c r="D1613" s="69" t="s">
        <v>27</v>
      </c>
      <c r="E1613" s="107" t="s">
        <v>1662</v>
      </c>
      <c r="F1613" s="107" t="s">
        <v>1662</v>
      </c>
      <c r="G1613" s="107" t="s">
        <v>1662</v>
      </c>
      <c r="H1613" s="107" t="s">
        <v>1662</v>
      </c>
      <c r="I1613" s="71">
        <v>0.9</v>
      </c>
      <c r="J1613" s="72">
        <v>0</v>
      </c>
      <c r="K1613" s="72">
        <v>0</v>
      </c>
      <c r="L1613" s="73">
        <v>0</v>
      </c>
      <c r="M1613" s="72">
        <v>0</v>
      </c>
      <c r="N1613" s="74">
        <v>0.9</v>
      </c>
      <c r="O1613" s="72">
        <v>0</v>
      </c>
      <c r="P1613" s="72">
        <v>0</v>
      </c>
      <c r="Q1613" s="72">
        <v>0</v>
      </c>
      <c r="R1613" s="72">
        <v>0</v>
      </c>
      <c r="S1613" s="74">
        <v>0.9</v>
      </c>
      <c r="T1613" s="72">
        <v>0</v>
      </c>
      <c r="U1613" s="72">
        <v>0</v>
      </c>
      <c r="V1613" s="72">
        <v>0</v>
      </c>
      <c r="W1613" s="72">
        <v>1</v>
      </c>
      <c r="X1613" s="74">
        <v>0.92</v>
      </c>
      <c r="Y1613" s="74">
        <v>0</v>
      </c>
      <c r="Z1613" s="74">
        <v>0</v>
      </c>
      <c r="AA1613" s="74">
        <v>0</v>
      </c>
      <c r="AB1613" s="74">
        <v>0</v>
      </c>
      <c r="AC1613" s="74">
        <v>0.92</v>
      </c>
      <c r="AD1613" s="72">
        <v>0.900212314225053</v>
      </c>
      <c r="AE1613" s="72">
        <v>0.947483588621444</v>
      </c>
      <c r="AF1613" s="72">
        <v>0.993963782696177</v>
      </c>
      <c r="AG1613" s="72">
        <v>0.946203346203346</v>
      </c>
      <c r="AH1613" s="74">
        <v>0.92</v>
      </c>
      <c r="AI1613" s="72">
        <v>0</v>
      </c>
      <c r="AJ1613" s="72">
        <v>0</v>
      </c>
      <c r="AK1613" s="72">
        <v>1</v>
      </c>
      <c r="AL1613" s="72">
        <v>1</v>
      </c>
      <c r="AM1613" s="71">
        <v>0.99</v>
      </c>
      <c r="AN1613" s="76">
        <v>1</v>
      </c>
      <c r="AO1613" s="76">
        <v>1</v>
      </c>
      <c r="AP1613" s="76">
        <v>1</v>
      </c>
      <c r="AQ1613" s="76">
        <v>1</v>
      </c>
      <c r="AR1613" s="96">
        <v>0.110069253262963</v>
      </c>
      <c r="AS1613" s="80">
        <v>0</v>
      </c>
      <c r="AT1613" s="80">
        <v>0</v>
      </c>
      <c r="AU1613" s="80">
        <v>0</v>
      </c>
      <c r="AV1613" s="80">
        <v>0</v>
      </c>
      <c r="AW1613" s="36"/>
      <c r="AX1613" s="34"/>
    </row>
    <row r="1614" ht="14.5" spans="1:50">
      <c r="A1614" s="32"/>
      <c r="B1614" s="36"/>
      <c r="C1614" s="91" t="s">
        <v>1473</v>
      </c>
      <c r="D1614" s="69" t="s">
        <v>27</v>
      </c>
      <c r="E1614" s="107" t="s">
        <v>1663</v>
      </c>
      <c r="F1614" s="107" t="s">
        <v>1663</v>
      </c>
      <c r="G1614" s="107" t="s">
        <v>1663</v>
      </c>
      <c r="H1614" s="107" t="s">
        <v>1663</v>
      </c>
      <c r="I1614" s="71">
        <v>0.9</v>
      </c>
      <c r="J1614" s="72">
        <v>0</v>
      </c>
      <c r="K1614" s="72">
        <v>0</v>
      </c>
      <c r="L1614" s="73">
        <v>0</v>
      </c>
      <c r="M1614" s="72">
        <v>0</v>
      </c>
      <c r="N1614" s="74">
        <v>0.9</v>
      </c>
      <c r="O1614" s="72">
        <v>0</v>
      </c>
      <c r="P1614" s="72">
        <v>0</v>
      </c>
      <c r="Q1614" s="72">
        <v>0</v>
      </c>
      <c r="R1614" s="72">
        <v>0</v>
      </c>
      <c r="S1614" s="74">
        <v>0.9</v>
      </c>
      <c r="T1614" s="72">
        <v>0</v>
      </c>
      <c r="U1614" s="72">
        <v>0</v>
      </c>
      <c r="V1614" s="72">
        <v>0</v>
      </c>
      <c r="W1614" s="72">
        <v>0</v>
      </c>
      <c r="X1614" s="74">
        <v>0.92</v>
      </c>
      <c r="Y1614" s="74">
        <v>0</v>
      </c>
      <c r="Z1614" s="74">
        <v>0</v>
      </c>
      <c r="AA1614" s="74">
        <v>0</v>
      </c>
      <c r="AB1614" s="74">
        <v>0</v>
      </c>
      <c r="AC1614" s="74">
        <v>0.92</v>
      </c>
      <c r="AD1614" s="72">
        <v>1</v>
      </c>
      <c r="AE1614" s="72">
        <v>0.949899799599198</v>
      </c>
      <c r="AF1614" s="72">
        <v>0.871035940803383</v>
      </c>
      <c r="AG1614" s="72">
        <v>0.776038269188954</v>
      </c>
      <c r="AH1614" s="74">
        <v>0.92</v>
      </c>
      <c r="AI1614" s="72">
        <v>0</v>
      </c>
      <c r="AJ1614" s="72">
        <v>0</v>
      </c>
      <c r="AK1614" s="72">
        <v>0</v>
      </c>
      <c r="AL1614" s="72">
        <v>0</v>
      </c>
      <c r="AM1614" s="71">
        <v>0.99</v>
      </c>
      <c r="AN1614" s="76">
        <v>1</v>
      </c>
      <c r="AO1614" s="76">
        <v>1</v>
      </c>
      <c r="AP1614" s="76">
        <v>1</v>
      </c>
      <c r="AQ1614" s="76">
        <v>1</v>
      </c>
      <c r="AR1614" s="96">
        <v>0.110069253262963</v>
      </c>
      <c r="AS1614" s="80">
        <v>0</v>
      </c>
      <c r="AT1614" s="80">
        <v>0</v>
      </c>
      <c r="AU1614" s="80">
        <v>0</v>
      </c>
      <c r="AV1614" s="80">
        <v>0</v>
      </c>
      <c r="AW1614" s="36"/>
      <c r="AX1614" s="34"/>
    </row>
    <row r="1615" ht="14.5" spans="1:50">
      <c r="A1615" s="32"/>
      <c r="B1615" s="36"/>
      <c r="C1615" s="91" t="s">
        <v>1473</v>
      </c>
      <c r="D1615" s="69" t="s">
        <v>27</v>
      </c>
      <c r="E1615" s="107" t="s">
        <v>1664</v>
      </c>
      <c r="F1615" s="107" t="s">
        <v>1664</v>
      </c>
      <c r="G1615" s="107" t="s">
        <v>1664</v>
      </c>
      <c r="H1615" s="107" t="s">
        <v>1664</v>
      </c>
      <c r="I1615" s="71">
        <v>0.9</v>
      </c>
      <c r="J1615" s="72">
        <v>0</v>
      </c>
      <c r="K1615" s="72">
        <v>0</v>
      </c>
      <c r="L1615" s="73">
        <v>0</v>
      </c>
      <c r="M1615" s="72">
        <v>0</v>
      </c>
      <c r="N1615" s="74">
        <v>0.9</v>
      </c>
      <c r="O1615" s="72">
        <v>0</v>
      </c>
      <c r="P1615" s="72">
        <v>0</v>
      </c>
      <c r="Q1615" s="72">
        <v>0</v>
      </c>
      <c r="R1615" s="72">
        <v>0</v>
      </c>
      <c r="S1615" s="74">
        <v>0.9</v>
      </c>
      <c r="T1615" s="72">
        <v>0</v>
      </c>
      <c r="U1615" s="72">
        <v>0</v>
      </c>
      <c r="V1615" s="72">
        <v>0</v>
      </c>
      <c r="W1615" s="72">
        <v>0</v>
      </c>
      <c r="X1615" s="74">
        <v>0.92</v>
      </c>
      <c r="Y1615" s="74">
        <v>0</v>
      </c>
      <c r="Z1615" s="74">
        <v>0</v>
      </c>
      <c r="AA1615" s="74">
        <v>0</v>
      </c>
      <c r="AB1615" s="74">
        <v>0</v>
      </c>
      <c r="AC1615" s="74">
        <v>0.92</v>
      </c>
      <c r="AD1615" s="72">
        <v>1</v>
      </c>
      <c r="AE1615" s="72">
        <v>1</v>
      </c>
      <c r="AF1615" s="72">
        <v>1</v>
      </c>
      <c r="AG1615" s="72">
        <v>0.999136814846785</v>
      </c>
      <c r="AH1615" s="74">
        <v>0.92</v>
      </c>
      <c r="AI1615" s="72">
        <v>0</v>
      </c>
      <c r="AJ1615" s="72">
        <v>1</v>
      </c>
      <c r="AK1615" s="72">
        <v>0</v>
      </c>
      <c r="AL1615" s="72">
        <v>1</v>
      </c>
      <c r="AM1615" s="71">
        <v>0.99</v>
      </c>
      <c r="AN1615" s="76">
        <v>0</v>
      </c>
      <c r="AO1615" s="76">
        <v>1</v>
      </c>
      <c r="AP1615" s="76">
        <v>0</v>
      </c>
      <c r="AQ1615" s="76">
        <v>1</v>
      </c>
      <c r="AR1615" s="96">
        <v>0.110069253262963</v>
      </c>
      <c r="AS1615" s="80">
        <v>0</v>
      </c>
      <c r="AT1615" s="80">
        <v>0</v>
      </c>
      <c r="AU1615" s="80">
        <v>0</v>
      </c>
      <c r="AV1615" s="80">
        <v>0</v>
      </c>
      <c r="AW1615" s="36"/>
      <c r="AX1615" s="34"/>
    </row>
    <row r="1616" ht="14.5" spans="1:50">
      <c r="A1616" s="32"/>
      <c r="B1616" s="36"/>
      <c r="C1616" s="91" t="s">
        <v>1473</v>
      </c>
      <c r="D1616" s="69" t="s">
        <v>27</v>
      </c>
      <c r="E1616" s="107" t="s">
        <v>1665</v>
      </c>
      <c r="F1616" s="107" t="s">
        <v>1665</v>
      </c>
      <c r="G1616" s="107" t="s">
        <v>1665</v>
      </c>
      <c r="H1616" s="107" t="s">
        <v>1665</v>
      </c>
      <c r="I1616" s="71">
        <v>0.9</v>
      </c>
      <c r="J1616" s="72">
        <v>0</v>
      </c>
      <c r="K1616" s="72">
        <v>0</v>
      </c>
      <c r="L1616" s="73">
        <v>0</v>
      </c>
      <c r="M1616" s="72">
        <v>0</v>
      </c>
      <c r="N1616" s="74">
        <v>0.9</v>
      </c>
      <c r="O1616" s="72">
        <v>0</v>
      </c>
      <c r="P1616" s="72">
        <v>0</v>
      </c>
      <c r="Q1616" s="72">
        <v>0</v>
      </c>
      <c r="R1616" s="72">
        <v>0</v>
      </c>
      <c r="S1616" s="74">
        <v>0.9</v>
      </c>
      <c r="T1616" s="72">
        <v>0</v>
      </c>
      <c r="U1616" s="72">
        <v>0</v>
      </c>
      <c r="V1616" s="72">
        <v>0</v>
      </c>
      <c r="W1616" s="72">
        <v>0</v>
      </c>
      <c r="X1616" s="74">
        <v>0.92</v>
      </c>
      <c r="Y1616" s="74">
        <v>0</v>
      </c>
      <c r="Z1616" s="74">
        <v>0</v>
      </c>
      <c r="AA1616" s="74">
        <v>0</v>
      </c>
      <c r="AB1616" s="74">
        <v>0</v>
      </c>
      <c r="AC1616" s="74">
        <v>0.92</v>
      </c>
      <c r="AD1616" s="72">
        <v>1</v>
      </c>
      <c r="AE1616" s="72">
        <v>1</v>
      </c>
      <c r="AF1616" s="72">
        <v>0.934065934065934</v>
      </c>
      <c r="AG1616" s="72">
        <v>0.862068965517241</v>
      </c>
      <c r="AH1616" s="74">
        <v>0.92</v>
      </c>
      <c r="AI1616" s="72">
        <v>0</v>
      </c>
      <c r="AJ1616" s="72">
        <v>0</v>
      </c>
      <c r="AK1616" s="72">
        <v>0</v>
      </c>
      <c r="AL1616" s="72">
        <v>0</v>
      </c>
      <c r="AM1616" s="71">
        <v>0.99</v>
      </c>
      <c r="AN1616" s="76">
        <v>1</v>
      </c>
      <c r="AO1616" s="76">
        <v>1</v>
      </c>
      <c r="AP1616" s="76">
        <v>1</v>
      </c>
      <c r="AQ1616" s="76">
        <v>1</v>
      </c>
      <c r="AR1616" s="96">
        <v>0.110069253262963</v>
      </c>
      <c r="AS1616" s="80">
        <v>0</v>
      </c>
      <c r="AT1616" s="80">
        <v>0</v>
      </c>
      <c r="AU1616" s="80">
        <v>0</v>
      </c>
      <c r="AV1616" s="80">
        <v>0</v>
      </c>
      <c r="AW1616" s="36"/>
      <c r="AX1616" s="34"/>
    </row>
    <row r="1617" ht="14.5" spans="1:50">
      <c r="A1617" s="32"/>
      <c r="B1617" s="36"/>
      <c r="C1617" s="91" t="s">
        <v>1473</v>
      </c>
      <c r="D1617" s="69" t="s">
        <v>27</v>
      </c>
      <c r="E1617" s="107" t="s">
        <v>1666</v>
      </c>
      <c r="F1617" s="107" t="s">
        <v>1666</v>
      </c>
      <c r="G1617" s="107" t="s">
        <v>1666</v>
      </c>
      <c r="H1617" s="107" t="s">
        <v>1666</v>
      </c>
      <c r="I1617" s="71">
        <v>0.9</v>
      </c>
      <c r="J1617" s="72">
        <v>0</v>
      </c>
      <c r="K1617" s="72">
        <v>0</v>
      </c>
      <c r="L1617" s="73">
        <v>0</v>
      </c>
      <c r="M1617" s="72">
        <v>0</v>
      </c>
      <c r="N1617" s="74">
        <v>0.9</v>
      </c>
      <c r="O1617" s="72">
        <v>0</v>
      </c>
      <c r="P1617" s="72">
        <v>0</v>
      </c>
      <c r="Q1617" s="72">
        <v>0</v>
      </c>
      <c r="R1617" s="72">
        <v>0</v>
      </c>
      <c r="S1617" s="74">
        <v>0.9</v>
      </c>
      <c r="T1617" s="72">
        <v>0</v>
      </c>
      <c r="U1617" s="72">
        <v>0</v>
      </c>
      <c r="V1617" s="72">
        <v>0</v>
      </c>
      <c r="W1617" s="72">
        <v>0</v>
      </c>
      <c r="X1617" s="74">
        <v>0.92</v>
      </c>
      <c r="Y1617" s="74">
        <v>0</v>
      </c>
      <c r="Z1617" s="74">
        <v>0</v>
      </c>
      <c r="AA1617" s="74">
        <v>0</v>
      </c>
      <c r="AB1617" s="74">
        <v>0</v>
      </c>
      <c r="AC1617" s="74">
        <v>0.92</v>
      </c>
      <c r="AD1617" s="72">
        <v>1</v>
      </c>
      <c r="AE1617" s="72">
        <v>1</v>
      </c>
      <c r="AF1617" s="72">
        <v>0.985714285714286</v>
      </c>
      <c r="AG1617" s="72">
        <v>0.998110831234257</v>
      </c>
      <c r="AH1617" s="74">
        <v>0.92</v>
      </c>
      <c r="AI1617" s="72">
        <v>0</v>
      </c>
      <c r="AJ1617" s="72">
        <v>0</v>
      </c>
      <c r="AK1617" s="72">
        <v>0</v>
      </c>
      <c r="AL1617" s="72">
        <v>0</v>
      </c>
      <c r="AM1617" s="71">
        <v>0.99</v>
      </c>
      <c r="AN1617" s="76">
        <v>1</v>
      </c>
      <c r="AO1617" s="76">
        <v>1</v>
      </c>
      <c r="AP1617" s="76">
        <v>1</v>
      </c>
      <c r="AQ1617" s="76">
        <v>1</v>
      </c>
      <c r="AR1617" s="96">
        <v>0.110069253262963</v>
      </c>
      <c r="AS1617" s="80">
        <v>0</v>
      </c>
      <c r="AT1617" s="80">
        <v>0</v>
      </c>
      <c r="AU1617" s="80">
        <v>0</v>
      </c>
      <c r="AV1617" s="80">
        <v>0</v>
      </c>
      <c r="AW1617" s="36"/>
      <c r="AX1617" s="34"/>
    </row>
    <row r="1618" ht="14.5" spans="1:50">
      <c r="A1618" s="32"/>
      <c r="B1618" s="36"/>
      <c r="C1618" s="91" t="s">
        <v>1473</v>
      </c>
      <c r="D1618" s="69" t="s">
        <v>27</v>
      </c>
      <c r="E1618" s="107" t="s">
        <v>1667</v>
      </c>
      <c r="F1618" s="107" t="s">
        <v>1667</v>
      </c>
      <c r="G1618" s="107" t="s">
        <v>1667</v>
      </c>
      <c r="H1618" s="107" t="s">
        <v>1667</v>
      </c>
      <c r="I1618" s="71">
        <v>0.9</v>
      </c>
      <c r="J1618" s="72">
        <v>0</v>
      </c>
      <c r="K1618" s="72">
        <v>0</v>
      </c>
      <c r="L1618" s="73">
        <v>0</v>
      </c>
      <c r="M1618" s="72">
        <v>0</v>
      </c>
      <c r="N1618" s="74">
        <v>0.9</v>
      </c>
      <c r="O1618" s="72">
        <v>0</v>
      </c>
      <c r="P1618" s="72">
        <v>0</v>
      </c>
      <c r="Q1618" s="72">
        <v>0</v>
      </c>
      <c r="R1618" s="72">
        <v>0</v>
      </c>
      <c r="S1618" s="74">
        <v>0.9</v>
      </c>
      <c r="T1618" s="72">
        <v>1</v>
      </c>
      <c r="U1618" s="72">
        <v>0</v>
      </c>
      <c r="V1618" s="72">
        <v>0</v>
      </c>
      <c r="W1618" s="72">
        <v>1</v>
      </c>
      <c r="X1618" s="74">
        <v>0.92</v>
      </c>
      <c r="Y1618" s="74">
        <v>0</v>
      </c>
      <c r="Z1618" s="74">
        <v>0</v>
      </c>
      <c r="AA1618" s="74">
        <v>0</v>
      </c>
      <c r="AB1618" s="74">
        <v>0</v>
      </c>
      <c r="AC1618" s="74">
        <v>0.92</v>
      </c>
      <c r="AD1618" s="72">
        <v>0.963576158940397</v>
      </c>
      <c r="AE1618" s="72">
        <v>0.87292817679558</v>
      </c>
      <c r="AF1618" s="72">
        <v>1</v>
      </c>
      <c r="AG1618" s="72">
        <v>0.982486865148862</v>
      </c>
      <c r="AH1618" s="74">
        <v>0.92</v>
      </c>
      <c r="AI1618" s="72">
        <v>1</v>
      </c>
      <c r="AJ1618" s="72">
        <v>0</v>
      </c>
      <c r="AK1618" s="72">
        <v>0</v>
      </c>
      <c r="AL1618" s="72">
        <v>1</v>
      </c>
      <c r="AM1618" s="71">
        <v>0.99</v>
      </c>
      <c r="AN1618" s="76">
        <v>1</v>
      </c>
      <c r="AO1618" s="76">
        <v>1</v>
      </c>
      <c r="AP1618" s="76">
        <v>1</v>
      </c>
      <c r="AQ1618" s="76">
        <v>1</v>
      </c>
      <c r="AR1618" s="96">
        <v>0.110069253262963</v>
      </c>
      <c r="AS1618" s="80">
        <v>0</v>
      </c>
      <c r="AT1618" s="80">
        <v>0</v>
      </c>
      <c r="AU1618" s="80">
        <v>0</v>
      </c>
      <c r="AV1618" s="80">
        <v>0</v>
      </c>
      <c r="AW1618" s="36"/>
      <c r="AX1618" s="34"/>
    </row>
    <row r="1619" ht="14.5" spans="1:50">
      <c r="A1619" s="32"/>
      <c r="B1619" s="36"/>
      <c r="C1619" s="91" t="s">
        <v>1473</v>
      </c>
      <c r="D1619" s="69" t="s">
        <v>27</v>
      </c>
      <c r="E1619" s="107" t="s">
        <v>1668</v>
      </c>
      <c r="F1619" s="107" t="s">
        <v>1668</v>
      </c>
      <c r="G1619" s="107" t="s">
        <v>1668</v>
      </c>
      <c r="H1619" s="107" t="s">
        <v>1668</v>
      </c>
      <c r="I1619" s="71">
        <v>0.9</v>
      </c>
      <c r="J1619" s="72">
        <v>0.977272727272727</v>
      </c>
      <c r="K1619" s="72">
        <v>0.954545454545455</v>
      </c>
      <c r="L1619" s="73">
        <v>0.953488372093023</v>
      </c>
      <c r="M1619" s="72">
        <v>0.969924812030075</v>
      </c>
      <c r="N1619" s="74">
        <v>0.9</v>
      </c>
      <c r="O1619" s="72">
        <v>0.95822864321608</v>
      </c>
      <c r="P1619" s="72">
        <v>0.952886999645767</v>
      </c>
      <c r="Q1619" s="72">
        <v>0.955388471177945</v>
      </c>
      <c r="R1619" s="72">
        <v>0.951809631426767</v>
      </c>
      <c r="S1619" s="74">
        <v>0.9</v>
      </c>
      <c r="T1619" s="72">
        <v>0.546168341708543</v>
      </c>
      <c r="U1619" s="72">
        <v>0.55154091392136</v>
      </c>
      <c r="V1619" s="72">
        <v>0.538095238095238</v>
      </c>
      <c r="W1619" s="72">
        <v>0.526504702715278</v>
      </c>
      <c r="X1619" s="74">
        <v>0.92</v>
      </c>
      <c r="Y1619" s="74">
        <v>0.865042174320525</v>
      </c>
      <c r="Z1619" s="74">
        <v>0.837855090967124</v>
      </c>
      <c r="AA1619" s="74">
        <v>0.844964164466239</v>
      </c>
      <c r="AB1619" s="74">
        <v>0.847704418255449</v>
      </c>
      <c r="AC1619" s="74">
        <v>0.92</v>
      </c>
      <c r="AD1619" s="72">
        <v>0.933333333333333</v>
      </c>
      <c r="AE1619" s="72">
        <v>0.833333333333333</v>
      </c>
      <c r="AF1619" s="72">
        <v>0.888888888888889</v>
      </c>
      <c r="AG1619" s="72">
        <v>0.91</v>
      </c>
      <c r="AH1619" s="74">
        <v>0.92</v>
      </c>
      <c r="AI1619" s="72">
        <v>0.89789394509214</v>
      </c>
      <c r="AJ1619" s="72">
        <v>0.882846592816381</v>
      </c>
      <c r="AK1619" s="72">
        <v>0.90454682324601</v>
      </c>
      <c r="AL1619" s="72">
        <v>0.898778895630136</v>
      </c>
      <c r="AM1619" s="71">
        <v>0.99</v>
      </c>
      <c r="AN1619" s="76">
        <v>0</v>
      </c>
      <c r="AO1619" s="76">
        <v>0</v>
      </c>
      <c r="AP1619" s="76">
        <v>0</v>
      </c>
      <c r="AQ1619" s="76">
        <v>1</v>
      </c>
      <c r="AR1619" s="96">
        <v>0.110069253262963</v>
      </c>
      <c r="AS1619" s="80">
        <v>0.125</v>
      </c>
      <c r="AT1619" s="80">
        <v>0.027027027027027</v>
      </c>
      <c r="AU1619" s="80">
        <v>0.0227272727272727</v>
      </c>
      <c r="AV1619" s="80">
        <v>0.0974025974025974</v>
      </c>
      <c r="AW1619" s="36"/>
      <c r="AX1619" s="34"/>
    </row>
    <row r="1620" ht="14.5" spans="1:50">
      <c r="A1620" s="32"/>
      <c r="B1620" s="36"/>
      <c r="C1620" s="91" t="s">
        <v>1473</v>
      </c>
      <c r="D1620" s="69" t="s">
        <v>27</v>
      </c>
      <c r="E1620" s="107" t="s">
        <v>1669</v>
      </c>
      <c r="F1620" s="107" t="s">
        <v>1669</v>
      </c>
      <c r="G1620" s="107" t="s">
        <v>1669</v>
      </c>
      <c r="H1620" s="107" t="s">
        <v>1669</v>
      </c>
      <c r="I1620" s="71">
        <v>0.9</v>
      </c>
      <c r="J1620" s="72">
        <v>0</v>
      </c>
      <c r="K1620" s="72">
        <v>0</v>
      </c>
      <c r="L1620" s="73">
        <v>0</v>
      </c>
      <c r="M1620" s="72">
        <v>0</v>
      </c>
      <c r="N1620" s="74">
        <v>0.9</v>
      </c>
      <c r="O1620" s="72">
        <v>0</v>
      </c>
      <c r="P1620" s="72">
        <v>0</v>
      </c>
      <c r="Q1620" s="72">
        <v>0</v>
      </c>
      <c r="R1620" s="72">
        <v>0</v>
      </c>
      <c r="S1620" s="74">
        <v>0.9</v>
      </c>
      <c r="T1620" s="72">
        <v>0</v>
      </c>
      <c r="U1620" s="72">
        <v>0</v>
      </c>
      <c r="V1620" s="72">
        <v>0</v>
      </c>
      <c r="W1620" s="72">
        <v>1</v>
      </c>
      <c r="X1620" s="74">
        <v>0.92</v>
      </c>
      <c r="Y1620" s="74">
        <v>0</v>
      </c>
      <c r="Z1620" s="74">
        <v>0</v>
      </c>
      <c r="AA1620" s="74">
        <v>0</v>
      </c>
      <c r="AB1620" s="74">
        <v>0</v>
      </c>
      <c r="AC1620" s="74">
        <v>0.92</v>
      </c>
      <c r="AD1620" s="72">
        <v>0.887931034482759</v>
      </c>
      <c r="AE1620" s="72">
        <v>0.845132743362832</v>
      </c>
      <c r="AF1620" s="72">
        <v>0.9182156133829</v>
      </c>
      <c r="AG1620" s="72">
        <v>0.904044750430293</v>
      </c>
      <c r="AH1620" s="74">
        <v>0.92</v>
      </c>
      <c r="AI1620" s="72">
        <v>0</v>
      </c>
      <c r="AJ1620" s="72">
        <v>0</v>
      </c>
      <c r="AK1620" s="72">
        <v>0</v>
      </c>
      <c r="AL1620" s="72">
        <v>1</v>
      </c>
      <c r="AM1620" s="71">
        <v>0.99</v>
      </c>
      <c r="AN1620" s="76">
        <v>1</v>
      </c>
      <c r="AO1620" s="76">
        <v>1</v>
      </c>
      <c r="AP1620" s="76">
        <v>1</v>
      </c>
      <c r="AQ1620" s="76">
        <v>1</v>
      </c>
      <c r="AR1620" s="96">
        <v>0.110069253262963</v>
      </c>
      <c r="AS1620" s="80">
        <v>0</v>
      </c>
      <c r="AT1620" s="80">
        <v>0</v>
      </c>
      <c r="AU1620" s="80">
        <v>0</v>
      </c>
      <c r="AV1620" s="80">
        <v>0</v>
      </c>
      <c r="AW1620" s="36"/>
      <c r="AX1620" s="34"/>
    </row>
    <row r="1621" ht="14.5" spans="1:50">
      <c r="A1621" s="32"/>
      <c r="B1621" s="36"/>
      <c r="C1621" s="91" t="s">
        <v>1473</v>
      </c>
      <c r="D1621" s="69" t="s">
        <v>27</v>
      </c>
      <c r="E1621" s="107" t="s">
        <v>1670</v>
      </c>
      <c r="F1621" s="107" t="s">
        <v>1670</v>
      </c>
      <c r="G1621" s="107" t="s">
        <v>1670</v>
      </c>
      <c r="H1621" s="107" t="s">
        <v>1670</v>
      </c>
      <c r="I1621" s="71">
        <v>0.9</v>
      </c>
      <c r="J1621" s="72">
        <v>0</v>
      </c>
      <c r="K1621" s="72">
        <v>0</v>
      </c>
      <c r="L1621" s="73">
        <v>0</v>
      </c>
      <c r="M1621" s="72">
        <v>0</v>
      </c>
      <c r="N1621" s="74">
        <v>0.9</v>
      </c>
      <c r="O1621" s="72">
        <v>0</v>
      </c>
      <c r="P1621" s="72">
        <v>0</v>
      </c>
      <c r="Q1621" s="72">
        <v>0</v>
      </c>
      <c r="R1621" s="72">
        <v>0</v>
      </c>
      <c r="S1621" s="74">
        <v>0.9</v>
      </c>
      <c r="T1621" s="72">
        <v>0</v>
      </c>
      <c r="U1621" s="72">
        <v>0</v>
      </c>
      <c r="V1621" s="72">
        <v>0</v>
      </c>
      <c r="W1621" s="72">
        <v>0</v>
      </c>
      <c r="X1621" s="74">
        <v>0.92</v>
      </c>
      <c r="Y1621" s="74">
        <v>0</v>
      </c>
      <c r="Z1621" s="74">
        <v>0</v>
      </c>
      <c r="AA1621" s="74">
        <v>0</v>
      </c>
      <c r="AB1621" s="74">
        <v>0</v>
      </c>
      <c r="AC1621" s="74">
        <v>0.92</v>
      </c>
      <c r="AD1621" s="72">
        <v>0.995454545454545</v>
      </c>
      <c r="AE1621" s="72">
        <v>0.995327102803738</v>
      </c>
      <c r="AF1621" s="72">
        <v>1</v>
      </c>
      <c r="AG1621" s="72">
        <v>0.997927461139896</v>
      </c>
      <c r="AH1621" s="74">
        <v>0.92</v>
      </c>
      <c r="AI1621" s="72">
        <v>0</v>
      </c>
      <c r="AJ1621" s="72">
        <v>0</v>
      </c>
      <c r="AK1621" s="72">
        <v>0</v>
      </c>
      <c r="AL1621" s="72">
        <v>0</v>
      </c>
      <c r="AM1621" s="71">
        <v>0.99</v>
      </c>
      <c r="AN1621" s="76">
        <v>1</v>
      </c>
      <c r="AO1621" s="76">
        <v>1</v>
      </c>
      <c r="AP1621" s="76">
        <v>1</v>
      </c>
      <c r="AQ1621" s="76">
        <v>1</v>
      </c>
      <c r="AR1621" s="96">
        <v>0.110069253262963</v>
      </c>
      <c r="AS1621" s="80">
        <v>0</v>
      </c>
      <c r="AT1621" s="80">
        <v>0</v>
      </c>
      <c r="AU1621" s="80">
        <v>0</v>
      </c>
      <c r="AV1621" s="80">
        <v>0</v>
      </c>
      <c r="AW1621" s="36"/>
      <c r="AX1621" s="34"/>
    </row>
    <row r="1622" ht="14.5" spans="1:50">
      <c r="A1622" s="32"/>
      <c r="B1622" s="36"/>
      <c r="C1622" s="91" t="s">
        <v>1473</v>
      </c>
      <c r="D1622" s="69" t="s">
        <v>27</v>
      </c>
      <c r="E1622" s="107" t="s">
        <v>1671</v>
      </c>
      <c r="F1622" s="107" t="s">
        <v>1671</v>
      </c>
      <c r="G1622" s="107" t="s">
        <v>1671</v>
      </c>
      <c r="H1622" s="107" t="s">
        <v>1671</v>
      </c>
      <c r="I1622" s="71">
        <v>0.9</v>
      </c>
      <c r="J1622" s="72">
        <v>0</v>
      </c>
      <c r="K1622" s="72">
        <v>0</v>
      </c>
      <c r="L1622" s="73">
        <v>0</v>
      </c>
      <c r="M1622" s="72">
        <v>0</v>
      </c>
      <c r="N1622" s="74">
        <v>0.9</v>
      </c>
      <c r="O1622" s="72">
        <v>0</v>
      </c>
      <c r="P1622" s="72">
        <v>0</v>
      </c>
      <c r="Q1622" s="72">
        <v>0</v>
      </c>
      <c r="R1622" s="72">
        <v>0</v>
      </c>
      <c r="S1622" s="74">
        <v>0.9</v>
      </c>
      <c r="T1622" s="72">
        <v>1</v>
      </c>
      <c r="U1622" s="72">
        <v>1</v>
      </c>
      <c r="V1622" s="72">
        <v>1</v>
      </c>
      <c r="W1622" s="72">
        <v>1</v>
      </c>
      <c r="X1622" s="74">
        <v>0.92</v>
      </c>
      <c r="Y1622" s="74">
        <v>0</v>
      </c>
      <c r="Z1622" s="74">
        <v>0</v>
      </c>
      <c r="AA1622" s="74">
        <v>0</v>
      </c>
      <c r="AB1622" s="74">
        <v>1</v>
      </c>
      <c r="AC1622" s="74">
        <v>0.92</v>
      </c>
      <c r="AD1622" s="72">
        <v>0.998407643312102</v>
      </c>
      <c r="AE1622" s="72">
        <v>0.998371335504886</v>
      </c>
      <c r="AF1622" s="72">
        <v>0.996726677577741</v>
      </c>
      <c r="AG1622" s="72">
        <v>0.998124467178176</v>
      </c>
      <c r="AH1622" s="74">
        <v>0.92</v>
      </c>
      <c r="AI1622" s="72">
        <v>0.666666666666667</v>
      </c>
      <c r="AJ1622" s="72">
        <v>1</v>
      </c>
      <c r="AK1622" s="72">
        <v>1</v>
      </c>
      <c r="AL1622" s="72">
        <v>0.961538461538462</v>
      </c>
      <c r="AM1622" s="71">
        <v>0.99</v>
      </c>
      <c r="AN1622" s="76">
        <v>1</v>
      </c>
      <c r="AO1622" s="76">
        <v>1</v>
      </c>
      <c r="AP1622" s="76">
        <v>1</v>
      </c>
      <c r="AQ1622" s="76">
        <v>1</v>
      </c>
      <c r="AR1622" s="96">
        <v>0.110069253262963</v>
      </c>
      <c r="AS1622" s="80">
        <v>0</v>
      </c>
      <c r="AT1622" s="80">
        <v>0</v>
      </c>
      <c r="AU1622" s="80">
        <v>0</v>
      </c>
      <c r="AV1622" s="80">
        <v>0</v>
      </c>
      <c r="AW1622" s="36"/>
      <c r="AX1622" s="34"/>
    </row>
    <row r="1623" ht="14.5" spans="1:50">
      <c r="A1623" s="32"/>
      <c r="B1623" s="36"/>
      <c r="C1623" s="91" t="s">
        <v>1473</v>
      </c>
      <c r="D1623" s="69" t="s">
        <v>27</v>
      </c>
      <c r="E1623" s="107" t="s">
        <v>1672</v>
      </c>
      <c r="F1623" s="107" t="s">
        <v>1672</v>
      </c>
      <c r="G1623" s="107" t="s">
        <v>1672</v>
      </c>
      <c r="H1623" s="107" t="s">
        <v>1672</v>
      </c>
      <c r="I1623" s="71">
        <v>0.9</v>
      </c>
      <c r="J1623" s="72">
        <v>0.90625</v>
      </c>
      <c r="K1623" s="72">
        <v>0.970588235294118</v>
      </c>
      <c r="L1623" s="73">
        <v>1</v>
      </c>
      <c r="M1623" s="72">
        <v>0.968354430379747</v>
      </c>
      <c r="N1623" s="74">
        <v>0.9</v>
      </c>
      <c r="O1623" s="72">
        <v>0.949662487945998</v>
      </c>
      <c r="P1623" s="72">
        <v>0.867231638418079</v>
      </c>
      <c r="Q1623" s="72">
        <v>0.903024326101249</v>
      </c>
      <c r="R1623" s="72">
        <v>0.893861427309112</v>
      </c>
      <c r="S1623" s="74">
        <v>0.9</v>
      </c>
      <c r="T1623" s="72">
        <v>0.984763741562199</v>
      </c>
      <c r="U1623" s="72">
        <v>0.989877589453861</v>
      </c>
      <c r="V1623" s="72">
        <v>0.982577251808021</v>
      </c>
      <c r="W1623" s="72">
        <v>0.99059202661261</v>
      </c>
      <c r="X1623" s="74">
        <v>0.92</v>
      </c>
      <c r="Y1623" s="74">
        <v>0.294117647058824</v>
      </c>
      <c r="Z1623" s="74">
        <v>0.272727272727273</v>
      </c>
      <c r="AA1623" s="74">
        <v>0.333333333333333</v>
      </c>
      <c r="AB1623" s="74">
        <v>0.415584415584416</v>
      </c>
      <c r="AC1623" s="74">
        <v>0.92</v>
      </c>
      <c r="AD1623" s="72">
        <v>1</v>
      </c>
      <c r="AE1623" s="72">
        <v>1</v>
      </c>
      <c r="AF1623" s="72">
        <v>1</v>
      </c>
      <c r="AG1623" s="72">
        <v>0.96</v>
      </c>
      <c r="AH1623" s="74">
        <v>0.92</v>
      </c>
      <c r="AI1623" s="72">
        <v>0.989234909650135</v>
      </c>
      <c r="AJ1623" s="72">
        <v>0.994131455399061</v>
      </c>
      <c r="AK1623" s="72">
        <v>0.991469816272966</v>
      </c>
      <c r="AL1623" s="72">
        <v>0.99375</v>
      </c>
      <c r="AM1623" s="71">
        <v>0.99</v>
      </c>
      <c r="AN1623" s="76">
        <v>1</v>
      </c>
      <c r="AO1623" s="76">
        <v>1</v>
      </c>
      <c r="AP1623" s="76">
        <v>1</v>
      </c>
      <c r="AQ1623" s="76">
        <v>1</v>
      </c>
      <c r="AR1623" s="96">
        <v>0.110069253262963</v>
      </c>
      <c r="AS1623" s="80">
        <v>0</v>
      </c>
      <c r="AT1623" s="80">
        <v>0</v>
      </c>
      <c r="AU1623" s="80">
        <v>0.171428571428571</v>
      </c>
      <c r="AV1623" s="80">
        <v>0.0586206896551724</v>
      </c>
      <c r="AW1623" s="36"/>
      <c r="AX1623" s="34"/>
    </row>
    <row r="1624" ht="14.5" spans="1:50">
      <c r="A1624" s="32"/>
      <c r="B1624" s="36"/>
      <c r="C1624" s="91" t="s">
        <v>1473</v>
      </c>
      <c r="D1624" s="69" t="s">
        <v>27</v>
      </c>
      <c r="E1624" s="107" t="s">
        <v>1673</v>
      </c>
      <c r="F1624" s="107" t="s">
        <v>1673</v>
      </c>
      <c r="G1624" s="107" t="s">
        <v>1673</v>
      </c>
      <c r="H1624" s="107" t="s">
        <v>1673</v>
      </c>
      <c r="I1624" s="71">
        <v>0.9</v>
      </c>
      <c r="J1624" s="72">
        <v>0</v>
      </c>
      <c r="K1624" s="72">
        <v>0</v>
      </c>
      <c r="L1624" s="73">
        <v>0</v>
      </c>
      <c r="M1624" s="72">
        <v>0</v>
      </c>
      <c r="N1624" s="74">
        <v>0.9</v>
      </c>
      <c r="O1624" s="72">
        <v>0</v>
      </c>
      <c r="P1624" s="72">
        <v>0</v>
      </c>
      <c r="Q1624" s="72">
        <v>0</v>
      </c>
      <c r="R1624" s="72">
        <v>0</v>
      </c>
      <c r="S1624" s="74">
        <v>0.9</v>
      </c>
      <c r="T1624" s="72">
        <v>0</v>
      </c>
      <c r="U1624" s="72">
        <v>0</v>
      </c>
      <c r="V1624" s="72">
        <v>1</v>
      </c>
      <c r="W1624" s="72">
        <v>1</v>
      </c>
      <c r="X1624" s="74">
        <v>0.92</v>
      </c>
      <c r="Y1624" s="74">
        <v>0</v>
      </c>
      <c r="Z1624" s="74">
        <v>0</v>
      </c>
      <c r="AA1624" s="74">
        <v>0</v>
      </c>
      <c r="AB1624" s="74">
        <v>0</v>
      </c>
      <c r="AC1624" s="74">
        <v>0.92</v>
      </c>
      <c r="AD1624" s="72">
        <v>1</v>
      </c>
      <c r="AE1624" s="72">
        <v>1</v>
      </c>
      <c r="AF1624" s="72">
        <v>0.859424920127795</v>
      </c>
      <c r="AG1624" s="72">
        <v>0.969443075406604</v>
      </c>
      <c r="AH1624" s="74">
        <v>0.92</v>
      </c>
      <c r="AI1624" s="72">
        <v>0</v>
      </c>
      <c r="AJ1624" s="72">
        <v>0</v>
      </c>
      <c r="AK1624" s="72">
        <v>1</v>
      </c>
      <c r="AL1624" s="72">
        <v>1</v>
      </c>
      <c r="AM1624" s="71">
        <v>0.99</v>
      </c>
      <c r="AN1624" s="76">
        <v>1</v>
      </c>
      <c r="AO1624" s="76">
        <v>1</v>
      </c>
      <c r="AP1624" s="76">
        <v>1</v>
      </c>
      <c r="AQ1624" s="76">
        <v>1</v>
      </c>
      <c r="AR1624" s="96">
        <v>0.110069253262963</v>
      </c>
      <c r="AS1624" s="80">
        <v>0</v>
      </c>
      <c r="AT1624" s="80">
        <v>0</v>
      </c>
      <c r="AU1624" s="80">
        <v>0</v>
      </c>
      <c r="AV1624" s="80">
        <v>0</v>
      </c>
      <c r="AW1624" s="36"/>
      <c r="AX1624" s="34"/>
    </row>
    <row r="1625" ht="14.5" spans="1:50">
      <c r="A1625" s="32"/>
      <c r="B1625" s="36"/>
      <c r="C1625" s="91" t="s">
        <v>1473</v>
      </c>
      <c r="D1625" s="69" t="s">
        <v>27</v>
      </c>
      <c r="E1625" s="107" t="s">
        <v>1674</v>
      </c>
      <c r="F1625" s="107" t="s">
        <v>1674</v>
      </c>
      <c r="G1625" s="107" t="s">
        <v>1674</v>
      </c>
      <c r="H1625" s="107" t="s">
        <v>1674</v>
      </c>
      <c r="I1625" s="71">
        <v>0.9</v>
      </c>
      <c r="J1625" s="72">
        <v>0</v>
      </c>
      <c r="K1625" s="72">
        <v>0</v>
      </c>
      <c r="L1625" s="73">
        <v>0</v>
      </c>
      <c r="M1625" s="72">
        <v>0</v>
      </c>
      <c r="N1625" s="74">
        <v>0.9</v>
      </c>
      <c r="O1625" s="72">
        <v>0</v>
      </c>
      <c r="P1625" s="72">
        <v>0</v>
      </c>
      <c r="Q1625" s="72">
        <v>0</v>
      </c>
      <c r="R1625" s="72">
        <v>0</v>
      </c>
      <c r="S1625" s="74">
        <v>0.9</v>
      </c>
      <c r="T1625" s="72">
        <v>0</v>
      </c>
      <c r="U1625" s="72">
        <v>0</v>
      </c>
      <c r="V1625" s="72">
        <v>0</v>
      </c>
      <c r="W1625" s="72">
        <v>1</v>
      </c>
      <c r="X1625" s="74">
        <v>0.92</v>
      </c>
      <c r="Y1625" s="74">
        <v>0</v>
      </c>
      <c r="Z1625" s="74">
        <v>0</v>
      </c>
      <c r="AA1625" s="74">
        <v>0</v>
      </c>
      <c r="AB1625" s="74">
        <v>0</v>
      </c>
      <c r="AC1625" s="74">
        <v>0.92</v>
      </c>
      <c r="AD1625" s="72">
        <v>1</v>
      </c>
      <c r="AE1625" s="72">
        <v>0.858267716535433</v>
      </c>
      <c r="AF1625" s="72">
        <v>0.993288590604027</v>
      </c>
      <c r="AG1625" s="72">
        <v>0.98265042451089</v>
      </c>
      <c r="AH1625" s="74">
        <v>0.92</v>
      </c>
      <c r="AI1625" s="72">
        <v>0</v>
      </c>
      <c r="AJ1625" s="72">
        <v>0</v>
      </c>
      <c r="AK1625" s="72">
        <v>0</v>
      </c>
      <c r="AL1625" s="72">
        <v>1</v>
      </c>
      <c r="AM1625" s="71">
        <v>0.99</v>
      </c>
      <c r="AN1625" s="76">
        <v>1</v>
      </c>
      <c r="AO1625" s="76">
        <v>1</v>
      </c>
      <c r="AP1625" s="76">
        <v>1</v>
      </c>
      <c r="AQ1625" s="76">
        <v>1</v>
      </c>
      <c r="AR1625" s="96">
        <v>0.110069253262963</v>
      </c>
      <c r="AS1625" s="80">
        <v>0</v>
      </c>
      <c r="AT1625" s="80">
        <v>0</v>
      </c>
      <c r="AU1625" s="80">
        <v>0</v>
      </c>
      <c r="AV1625" s="80">
        <v>0</v>
      </c>
      <c r="AW1625" s="36"/>
      <c r="AX1625" s="34"/>
    </row>
    <row r="1626" ht="14.5" spans="1:50">
      <c r="A1626" s="32"/>
      <c r="B1626" s="36"/>
      <c r="C1626" s="91" t="s">
        <v>1473</v>
      </c>
      <c r="D1626" s="69" t="s">
        <v>27</v>
      </c>
      <c r="E1626" s="107" t="s">
        <v>1675</v>
      </c>
      <c r="F1626" s="107" t="s">
        <v>1675</v>
      </c>
      <c r="G1626" s="107" t="s">
        <v>1675</v>
      </c>
      <c r="H1626" s="107" t="s">
        <v>1675</v>
      </c>
      <c r="I1626" s="71">
        <v>0.9</v>
      </c>
      <c r="J1626" s="72">
        <v>0</v>
      </c>
      <c r="K1626" s="72">
        <v>0</v>
      </c>
      <c r="L1626" s="73">
        <v>0</v>
      </c>
      <c r="M1626" s="72">
        <v>0</v>
      </c>
      <c r="N1626" s="74">
        <v>0.9</v>
      </c>
      <c r="O1626" s="72">
        <v>0</v>
      </c>
      <c r="P1626" s="72">
        <v>0</v>
      </c>
      <c r="Q1626" s="72">
        <v>0</v>
      </c>
      <c r="R1626" s="72">
        <v>0</v>
      </c>
      <c r="S1626" s="74">
        <v>0.9</v>
      </c>
      <c r="T1626" s="72">
        <v>0</v>
      </c>
      <c r="U1626" s="72">
        <v>0</v>
      </c>
      <c r="V1626" s="72">
        <v>0</v>
      </c>
      <c r="W1626" s="72">
        <v>0</v>
      </c>
      <c r="X1626" s="74">
        <v>0.92</v>
      </c>
      <c r="Y1626" s="74">
        <v>0</v>
      </c>
      <c r="Z1626" s="74">
        <v>0</v>
      </c>
      <c r="AA1626" s="74">
        <v>0</v>
      </c>
      <c r="AB1626" s="74">
        <v>0</v>
      </c>
      <c r="AC1626" s="74">
        <v>0.92</v>
      </c>
      <c r="AD1626" s="72">
        <v>0.918840579710145</v>
      </c>
      <c r="AE1626" s="72">
        <v>0.924914675767918</v>
      </c>
      <c r="AF1626" s="72">
        <v>1</v>
      </c>
      <c r="AG1626" s="72">
        <v>0.981192221868027</v>
      </c>
      <c r="AH1626" s="74">
        <v>0.92</v>
      </c>
      <c r="AI1626" s="72">
        <v>1</v>
      </c>
      <c r="AJ1626" s="72">
        <v>0</v>
      </c>
      <c r="AK1626" s="72">
        <v>0</v>
      </c>
      <c r="AL1626" s="72">
        <v>0.75</v>
      </c>
      <c r="AM1626" s="71">
        <v>0.99</v>
      </c>
      <c r="AN1626" s="76">
        <v>1</v>
      </c>
      <c r="AO1626" s="76">
        <v>1</v>
      </c>
      <c r="AP1626" s="76">
        <v>1</v>
      </c>
      <c r="AQ1626" s="76">
        <v>1</v>
      </c>
      <c r="AR1626" s="96">
        <v>0.110069253262963</v>
      </c>
      <c r="AS1626" s="80">
        <v>0</v>
      </c>
      <c r="AT1626" s="80">
        <v>0</v>
      </c>
      <c r="AU1626" s="80">
        <v>0</v>
      </c>
      <c r="AV1626" s="80">
        <v>0</v>
      </c>
      <c r="AW1626" s="36"/>
      <c r="AX1626" s="34"/>
    </row>
    <row r="1627" ht="14.5" spans="1:50">
      <c r="A1627" s="32"/>
      <c r="B1627" s="36"/>
      <c r="C1627" s="91" t="s">
        <v>1473</v>
      </c>
      <c r="D1627" s="69" t="s">
        <v>27</v>
      </c>
      <c r="E1627" s="107" t="s">
        <v>1676</v>
      </c>
      <c r="F1627" s="107" t="s">
        <v>1676</v>
      </c>
      <c r="G1627" s="107" t="s">
        <v>1676</v>
      </c>
      <c r="H1627" s="107" t="s">
        <v>1676</v>
      </c>
      <c r="I1627" s="71">
        <v>0.9</v>
      </c>
      <c r="J1627" s="72">
        <v>0</v>
      </c>
      <c r="K1627" s="72">
        <v>0</v>
      </c>
      <c r="L1627" s="73">
        <v>0</v>
      </c>
      <c r="M1627" s="72">
        <v>0</v>
      </c>
      <c r="N1627" s="74">
        <v>0.9</v>
      </c>
      <c r="O1627" s="72">
        <v>0</v>
      </c>
      <c r="P1627" s="72">
        <v>0</v>
      </c>
      <c r="Q1627" s="72">
        <v>0</v>
      </c>
      <c r="R1627" s="72">
        <v>0</v>
      </c>
      <c r="S1627" s="74">
        <v>0.9</v>
      </c>
      <c r="T1627" s="72">
        <v>0</v>
      </c>
      <c r="U1627" s="72">
        <v>0</v>
      </c>
      <c r="V1627" s="72">
        <v>0</v>
      </c>
      <c r="W1627" s="72">
        <v>0</v>
      </c>
      <c r="X1627" s="74">
        <v>0.92</v>
      </c>
      <c r="Y1627" s="74">
        <v>0</v>
      </c>
      <c r="Z1627" s="74">
        <v>0</v>
      </c>
      <c r="AA1627" s="74">
        <v>0</v>
      </c>
      <c r="AB1627" s="74">
        <v>0</v>
      </c>
      <c r="AC1627" s="74">
        <v>0.92</v>
      </c>
      <c r="AD1627" s="72">
        <v>1</v>
      </c>
      <c r="AE1627" s="72">
        <v>0.992258064516129</v>
      </c>
      <c r="AF1627" s="72">
        <v>0.977596741344195</v>
      </c>
      <c r="AG1627" s="72">
        <v>0.995775729646697</v>
      </c>
      <c r="AH1627" s="74">
        <v>0.92</v>
      </c>
      <c r="AI1627" s="72">
        <v>0</v>
      </c>
      <c r="AJ1627" s="72">
        <v>0</v>
      </c>
      <c r="AK1627" s="72">
        <v>0</v>
      </c>
      <c r="AL1627" s="72">
        <v>0</v>
      </c>
      <c r="AM1627" s="71">
        <v>0.99</v>
      </c>
      <c r="AN1627" s="76">
        <v>1</v>
      </c>
      <c r="AO1627" s="76">
        <v>1</v>
      </c>
      <c r="AP1627" s="76">
        <v>0</v>
      </c>
      <c r="AQ1627" s="76">
        <v>1</v>
      </c>
      <c r="AR1627" s="96">
        <v>0.110069253262963</v>
      </c>
      <c r="AS1627" s="80">
        <v>0</v>
      </c>
      <c r="AT1627" s="80">
        <v>0</v>
      </c>
      <c r="AU1627" s="80">
        <v>0</v>
      </c>
      <c r="AV1627" s="80">
        <v>0</v>
      </c>
      <c r="AW1627" s="36"/>
      <c r="AX1627" s="34"/>
    </row>
    <row r="1628" ht="14.5" spans="1:50">
      <c r="A1628" s="32"/>
      <c r="B1628" s="36"/>
      <c r="C1628" s="91" t="s">
        <v>1473</v>
      </c>
      <c r="D1628" s="69" t="s">
        <v>27</v>
      </c>
      <c r="E1628" s="107" t="s">
        <v>1677</v>
      </c>
      <c r="F1628" s="107" t="s">
        <v>1677</v>
      </c>
      <c r="G1628" s="107" t="s">
        <v>1677</v>
      </c>
      <c r="H1628" s="107" t="s">
        <v>1677</v>
      </c>
      <c r="I1628" s="71">
        <v>0.9</v>
      </c>
      <c r="J1628" s="72">
        <v>0</v>
      </c>
      <c r="K1628" s="72">
        <v>0</v>
      </c>
      <c r="L1628" s="73">
        <v>0</v>
      </c>
      <c r="M1628" s="72">
        <v>0</v>
      </c>
      <c r="N1628" s="74">
        <v>0.9</v>
      </c>
      <c r="O1628" s="72">
        <v>0</v>
      </c>
      <c r="P1628" s="72">
        <v>0</v>
      </c>
      <c r="Q1628" s="72">
        <v>0</v>
      </c>
      <c r="R1628" s="72">
        <v>0</v>
      </c>
      <c r="S1628" s="74">
        <v>0.9</v>
      </c>
      <c r="T1628" s="72">
        <v>0</v>
      </c>
      <c r="U1628" s="72">
        <v>0</v>
      </c>
      <c r="V1628" s="72">
        <v>0</v>
      </c>
      <c r="W1628" s="72">
        <v>1</v>
      </c>
      <c r="X1628" s="74">
        <v>0.92</v>
      </c>
      <c r="Y1628" s="74">
        <v>0</v>
      </c>
      <c r="Z1628" s="74">
        <v>0</v>
      </c>
      <c r="AA1628" s="74">
        <v>0</v>
      </c>
      <c r="AB1628" s="74">
        <v>0</v>
      </c>
      <c r="AC1628" s="74">
        <v>0.92</v>
      </c>
      <c r="AD1628" s="72">
        <v>0.94212962962963</v>
      </c>
      <c r="AE1628" s="72">
        <v>0.927234927234927</v>
      </c>
      <c r="AF1628" s="72">
        <v>0.906091370558376</v>
      </c>
      <c r="AG1628" s="72">
        <v>0.946949602122016</v>
      </c>
      <c r="AH1628" s="74">
        <v>0.92</v>
      </c>
      <c r="AI1628" s="72">
        <v>0</v>
      </c>
      <c r="AJ1628" s="72">
        <v>0</v>
      </c>
      <c r="AK1628" s="72">
        <v>0</v>
      </c>
      <c r="AL1628" s="72">
        <v>0.8</v>
      </c>
      <c r="AM1628" s="71">
        <v>0.99</v>
      </c>
      <c r="AN1628" s="76">
        <v>1</v>
      </c>
      <c r="AO1628" s="76">
        <v>1</v>
      </c>
      <c r="AP1628" s="76">
        <v>1</v>
      </c>
      <c r="AQ1628" s="76">
        <v>1</v>
      </c>
      <c r="AR1628" s="96">
        <v>0.110069253262963</v>
      </c>
      <c r="AS1628" s="80">
        <v>0</v>
      </c>
      <c r="AT1628" s="80">
        <v>0</v>
      </c>
      <c r="AU1628" s="80">
        <v>0</v>
      </c>
      <c r="AV1628" s="80">
        <v>0</v>
      </c>
      <c r="AW1628" s="36"/>
      <c r="AX1628" s="34"/>
    </row>
    <row r="1629" ht="14.5" spans="1:50">
      <c r="A1629" s="32"/>
      <c r="B1629" s="36"/>
      <c r="C1629" s="91" t="s">
        <v>1473</v>
      </c>
      <c r="D1629" s="69" t="s">
        <v>27</v>
      </c>
      <c r="E1629" s="107" t="s">
        <v>1678</v>
      </c>
      <c r="F1629" s="107" t="s">
        <v>1678</v>
      </c>
      <c r="G1629" s="107" t="s">
        <v>1678</v>
      </c>
      <c r="H1629" s="107" t="s">
        <v>1678</v>
      </c>
      <c r="I1629" s="71">
        <v>0.9</v>
      </c>
      <c r="J1629" s="72">
        <v>0.884615384615385</v>
      </c>
      <c r="K1629" s="72">
        <v>0.709677419354839</v>
      </c>
      <c r="L1629" s="73">
        <v>0.724137931034483</v>
      </c>
      <c r="M1629" s="72">
        <v>0.779026217228464</v>
      </c>
      <c r="N1629" s="74">
        <v>0.9</v>
      </c>
      <c r="O1629" s="72">
        <v>0.969099627064465</v>
      </c>
      <c r="P1629" s="72">
        <v>0.982049797336422</v>
      </c>
      <c r="Q1629" s="72">
        <v>0.973927670311186</v>
      </c>
      <c r="R1629" s="72">
        <v>0.977242302543507</v>
      </c>
      <c r="S1629" s="74">
        <v>0.9</v>
      </c>
      <c r="T1629" s="72">
        <v>0.272775705913692</v>
      </c>
      <c r="U1629" s="72">
        <v>0.422698320787493</v>
      </c>
      <c r="V1629" s="72">
        <v>0.393187552565181</v>
      </c>
      <c r="W1629" s="72">
        <v>0.369143239625167</v>
      </c>
      <c r="X1629" s="74">
        <v>0.92</v>
      </c>
      <c r="Y1629" s="74">
        <v>0.475387727579231</v>
      </c>
      <c r="Z1629" s="74">
        <v>0.526476578411405</v>
      </c>
      <c r="AA1629" s="74">
        <v>0.549847094801223</v>
      </c>
      <c r="AB1629" s="74">
        <v>0.598909198113208</v>
      </c>
      <c r="AC1629" s="74">
        <v>0.92</v>
      </c>
      <c r="AD1629" s="72">
        <v>0.99009900990099</v>
      </c>
      <c r="AE1629" s="72">
        <v>0.994736842105263</v>
      </c>
      <c r="AF1629" s="72">
        <v>0.194029850746269</v>
      </c>
      <c r="AG1629" s="72">
        <v>0.820232896652111</v>
      </c>
      <c r="AH1629" s="74">
        <v>0.92</v>
      </c>
      <c r="AI1629" s="72">
        <v>0.566964285714286</v>
      </c>
      <c r="AJ1629" s="72">
        <v>0.641018694120834</v>
      </c>
      <c r="AK1629" s="72">
        <v>0.662101593625498</v>
      </c>
      <c r="AL1629" s="72">
        <v>0.68176192440735</v>
      </c>
      <c r="AM1629" s="71">
        <v>0.99</v>
      </c>
      <c r="AN1629" s="76">
        <v>0</v>
      </c>
      <c r="AO1629" s="76">
        <v>0</v>
      </c>
      <c r="AP1629" s="76">
        <v>1</v>
      </c>
      <c r="AQ1629" s="76">
        <v>1</v>
      </c>
      <c r="AR1629" s="96">
        <v>0.110069253262963</v>
      </c>
      <c r="AS1629" s="80">
        <v>0.0645161290322581</v>
      </c>
      <c r="AT1629" s="80">
        <v>0.0882352941176471</v>
      </c>
      <c r="AU1629" s="80">
        <v>0.125</v>
      </c>
      <c r="AV1629" s="80">
        <v>0.133561643835616</v>
      </c>
      <c r="AW1629" s="36"/>
      <c r="AX1629" s="34"/>
    </row>
    <row r="1630" ht="14.5" spans="1:50">
      <c r="A1630" s="32"/>
      <c r="B1630" s="36"/>
      <c r="C1630" s="91" t="s">
        <v>1473</v>
      </c>
      <c r="D1630" s="69" t="s">
        <v>27</v>
      </c>
      <c r="E1630" s="107" t="s">
        <v>1679</v>
      </c>
      <c r="F1630" s="107" t="s">
        <v>1679</v>
      </c>
      <c r="G1630" s="107" t="s">
        <v>1679</v>
      </c>
      <c r="H1630" s="107" t="s">
        <v>1679</v>
      </c>
      <c r="I1630" s="71">
        <v>0.9</v>
      </c>
      <c r="J1630" s="72">
        <v>0</v>
      </c>
      <c r="K1630" s="72">
        <v>0</v>
      </c>
      <c r="L1630" s="73">
        <v>0</v>
      </c>
      <c r="M1630" s="72">
        <v>0</v>
      </c>
      <c r="N1630" s="74">
        <v>0.9</v>
      </c>
      <c r="O1630" s="72">
        <v>0</v>
      </c>
      <c r="P1630" s="72">
        <v>0</v>
      </c>
      <c r="Q1630" s="72">
        <v>0</v>
      </c>
      <c r="R1630" s="72">
        <v>0</v>
      </c>
      <c r="S1630" s="74">
        <v>0.9</v>
      </c>
      <c r="T1630" s="72">
        <v>0</v>
      </c>
      <c r="U1630" s="72">
        <v>0.666666666666667</v>
      </c>
      <c r="V1630" s="72">
        <v>0</v>
      </c>
      <c r="W1630" s="72">
        <v>0.833333333333333</v>
      </c>
      <c r="X1630" s="74">
        <v>0.92</v>
      </c>
      <c r="Y1630" s="74">
        <v>0</v>
      </c>
      <c r="Z1630" s="74">
        <v>0</v>
      </c>
      <c r="AA1630" s="74">
        <v>0</v>
      </c>
      <c r="AB1630" s="74">
        <v>0</v>
      </c>
      <c r="AC1630" s="74">
        <v>0.92</v>
      </c>
      <c r="AD1630" s="72">
        <v>1</v>
      </c>
      <c r="AE1630" s="72">
        <v>1</v>
      </c>
      <c r="AF1630" s="72">
        <v>0.982795698924731</v>
      </c>
      <c r="AG1630" s="72">
        <v>0.997896397580857</v>
      </c>
      <c r="AH1630" s="74">
        <v>0.92</v>
      </c>
      <c r="AI1630" s="72">
        <v>0</v>
      </c>
      <c r="AJ1630" s="72">
        <v>0.666666666666667</v>
      </c>
      <c r="AK1630" s="72">
        <v>0</v>
      </c>
      <c r="AL1630" s="72">
        <v>0.833333333333333</v>
      </c>
      <c r="AM1630" s="71">
        <v>0.99</v>
      </c>
      <c r="AN1630" s="76">
        <v>1</v>
      </c>
      <c r="AO1630" s="76">
        <v>0</v>
      </c>
      <c r="AP1630" s="76">
        <v>1</v>
      </c>
      <c r="AQ1630" s="76">
        <v>1</v>
      </c>
      <c r="AR1630" s="96">
        <v>0.110069253262963</v>
      </c>
      <c r="AS1630" s="80">
        <v>0</v>
      </c>
      <c r="AT1630" s="80">
        <v>0</v>
      </c>
      <c r="AU1630" s="80">
        <v>0</v>
      </c>
      <c r="AV1630" s="80">
        <v>0</v>
      </c>
      <c r="AW1630" s="36"/>
      <c r="AX1630" s="34"/>
    </row>
    <row r="1631" ht="14.5" spans="1:50">
      <c r="A1631" s="32"/>
      <c r="B1631" s="36"/>
      <c r="C1631" s="91" t="s">
        <v>1473</v>
      </c>
      <c r="D1631" s="69" t="s">
        <v>27</v>
      </c>
      <c r="E1631" s="107" t="s">
        <v>1680</v>
      </c>
      <c r="F1631" s="107" t="s">
        <v>1680</v>
      </c>
      <c r="G1631" s="107" t="s">
        <v>1680</v>
      </c>
      <c r="H1631" s="107" t="s">
        <v>1680</v>
      </c>
      <c r="I1631" s="71">
        <v>0.9</v>
      </c>
      <c r="J1631" s="72">
        <v>0.916666666666667</v>
      </c>
      <c r="K1631" s="72">
        <v>1</v>
      </c>
      <c r="L1631" s="73">
        <v>0.923076923076923</v>
      </c>
      <c r="M1631" s="72">
        <v>0.963302752293578</v>
      </c>
      <c r="N1631" s="74">
        <v>0.9</v>
      </c>
      <c r="O1631" s="72">
        <v>0.988002822865208</v>
      </c>
      <c r="P1631" s="72">
        <v>0.988614800759013</v>
      </c>
      <c r="Q1631" s="72">
        <v>0.989655172413793</v>
      </c>
      <c r="R1631" s="72">
        <v>0.976270053475936</v>
      </c>
      <c r="S1631" s="74">
        <v>0.9</v>
      </c>
      <c r="T1631" s="72">
        <v>0.8969654199012</v>
      </c>
      <c r="U1631" s="72">
        <v>0.915243516761543</v>
      </c>
      <c r="V1631" s="72">
        <v>0.918965517241379</v>
      </c>
      <c r="W1631" s="72">
        <v>0.907085561497326</v>
      </c>
      <c r="X1631" s="74">
        <v>0.92</v>
      </c>
      <c r="Y1631" s="74">
        <v>0</v>
      </c>
      <c r="Z1631" s="74">
        <v>0</v>
      </c>
      <c r="AA1631" s="74">
        <v>0</v>
      </c>
      <c r="AB1631" s="74">
        <v>0</v>
      </c>
      <c r="AC1631" s="74">
        <v>0.92</v>
      </c>
      <c r="AD1631" s="72">
        <v>1</v>
      </c>
      <c r="AE1631" s="72">
        <v>1</v>
      </c>
      <c r="AF1631" s="72">
        <v>1</v>
      </c>
      <c r="AG1631" s="72">
        <v>0.981203007518797</v>
      </c>
      <c r="AH1631" s="74">
        <v>0.92</v>
      </c>
      <c r="AI1631" s="72">
        <v>0.959774170783345</v>
      </c>
      <c r="AJ1631" s="72">
        <v>0.969006957621758</v>
      </c>
      <c r="AK1631" s="72">
        <v>0.981034482758621</v>
      </c>
      <c r="AL1631" s="72">
        <v>0.973262032085562</v>
      </c>
      <c r="AM1631" s="71">
        <v>0.99</v>
      </c>
      <c r="AN1631" s="76">
        <v>1</v>
      </c>
      <c r="AO1631" s="76">
        <v>0</v>
      </c>
      <c r="AP1631" s="76">
        <v>0</v>
      </c>
      <c r="AQ1631" s="76">
        <v>1</v>
      </c>
      <c r="AR1631" s="96">
        <v>0.110069253262963</v>
      </c>
      <c r="AS1631" s="80">
        <v>0.0238095238095238</v>
      </c>
      <c r="AT1631" s="80">
        <v>0</v>
      </c>
      <c r="AU1631" s="80">
        <v>0</v>
      </c>
      <c r="AV1631" s="80">
        <v>0.0569948186528497</v>
      </c>
      <c r="AW1631" s="36"/>
      <c r="AX1631" s="34"/>
    </row>
    <row r="1632" ht="14.5" spans="1:50">
      <c r="A1632" s="32"/>
      <c r="B1632" s="36"/>
      <c r="C1632" s="91" t="s">
        <v>1473</v>
      </c>
      <c r="D1632" s="69" t="s">
        <v>27</v>
      </c>
      <c r="E1632" s="107" t="s">
        <v>1681</v>
      </c>
      <c r="F1632" s="107" t="s">
        <v>1681</v>
      </c>
      <c r="G1632" s="107" t="s">
        <v>1681</v>
      </c>
      <c r="H1632" s="107" t="s">
        <v>1681</v>
      </c>
      <c r="I1632" s="71">
        <v>0.9</v>
      </c>
      <c r="J1632" s="72">
        <v>0.916666666666667</v>
      </c>
      <c r="K1632" s="72">
        <v>0.96</v>
      </c>
      <c r="L1632" s="73">
        <v>1</v>
      </c>
      <c r="M1632" s="72">
        <v>0.94170403587444</v>
      </c>
      <c r="N1632" s="74">
        <v>0.9</v>
      </c>
      <c r="O1632" s="72">
        <v>0.971074380165289</v>
      </c>
      <c r="P1632" s="72">
        <v>0.974712643678161</v>
      </c>
      <c r="Q1632" s="72">
        <v>0.944309927360775</v>
      </c>
      <c r="R1632" s="72">
        <v>0.964882226980728</v>
      </c>
      <c r="S1632" s="74">
        <v>0.9</v>
      </c>
      <c r="T1632" s="72">
        <v>0.462293388429752</v>
      </c>
      <c r="U1632" s="72">
        <v>0.497126436781609</v>
      </c>
      <c r="V1632" s="72">
        <v>0.498385794995964</v>
      </c>
      <c r="W1632" s="72">
        <v>0.450053533190578</v>
      </c>
      <c r="X1632" s="74">
        <v>0.92</v>
      </c>
      <c r="Y1632" s="74">
        <v>0.676156583629893</v>
      </c>
      <c r="Z1632" s="74">
        <v>0.685683530678149</v>
      </c>
      <c r="AA1632" s="74">
        <v>0.673508659397049</v>
      </c>
      <c r="AB1632" s="74">
        <v>0.683777608530084</v>
      </c>
      <c r="AC1632" s="74">
        <v>0.92</v>
      </c>
      <c r="AD1632" s="72">
        <v>1</v>
      </c>
      <c r="AE1632" s="72">
        <v>1</v>
      </c>
      <c r="AF1632" s="72">
        <v>0.590909090909091</v>
      </c>
      <c r="AG1632" s="72">
        <v>0.920245398773006</v>
      </c>
      <c r="AH1632" s="74">
        <v>0.92</v>
      </c>
      <c r="AI1632" s="72">
        <v>0.793175695899431</v>
      </c>
      <c r="AJ1632" s="72">
        <v>0.791330925257016</v>
      </c>
      <c r="AK1632" s="72">
        <v>0.796731864322852</v>
      </c>
      <c r="AL1632" s="72">
        <v>0.797021303336894</v>
      </c>
      <c r="AM1632" s="71">
        <v>0.99</v>
      </c>
      <c r="AN1632" s="76">
        <v>0</v>
      </c>
      <c r="AO1632" s="76">
        <v>0</v>
      </c>
      <c r="AP1632" s="76">
        <v>1</v>
      </c>
      <c r="AQ1632" s="76">
        <v>1</v>
      </c>
      <c r="AR1632" s="96">
        <v>0.110069253262963</v>
      </c>
      <c r="AS1632" s="80">
        <v>0</v>
      </c>
      <c r="AT1632" s="80">
        <v>0.3</v>
      </c>
      <c r="AU1632" s="80">
        <v>0</v>
      </c>
      <c r="AV1632" s="80">
        <v>0.0852713178294574</v>
      </c>
      <c r="AW1632" s="36"/>
      <c r="AX1632" s="34"/>
    </row>
    <row r="1633" ht="14.5" spans="1:50">
      <c r="A1633" s="32"/>
      <c r="B1633" s="36"/>
      <c r="C1633" s="91" t="s">
        <v>1473</v>
      </c>
      <c r="D1633" s="69" t="s">
        <v>27</v>
      </c>
      <c r="E1633" s="107" t="s">
        <v>1682</v>
      </c>
      <c r="F1633" s="107" t="s">
        <v>1682</v>
      </c>
      <c r="G1633" s="107" t="s">
        <v>1682</v>
      </c>
      <c r="H1633" s="107" t="s">
        <v>1682</v>
      </c>
      <c r="I1633" s="71">
        <v>0.9</v>
      </c>
      <c r="J1633" s="72">
        <v>1</v>
      </c>
      <c r="K1633" s="72">
        <v>0.96875</v>
      </c>
      <c r="L1633" s="73">
        <v>0.933333333333333</v>
      </c>
      <c r="M1633" s="72">
        <v>0.968379446640316</v>
      </c>
      <c r="N1633" s="74">
        <v>0.9</v>
      </c>
      <c r="O1633" s="72">
        <v>0.879790940766551</v>
      </c>
      <c r="P1633" s="72">
        <v>0.931565440547476</v>
      </c>
      <c r="Q1633" s="72">
        <v>0.828365384615385</v>
      </c>
      <c r="R1633" s="72">
        <v>0.872467357046375</v>
      </c>
      <c r="S1633" s="74">
        <v>0.9</v>
      </c>
      <c r="T1633" s="72">
        <v>0.874564459930314</v>
      </c>
      <c r="U1633" s="72">
        <v>0.917450812660394</v>
      </c>
      <c r="V1633" s="72">
        <v>0.882692307692308</v>
      </c>
      <c r="W1633" s="72">
        <v>0.895486267447096</v>
      </c>
      <c r="X1633" s="74">
        <v>0.92</v>
      </c>
      <c r="Y1633" s="74">
        <v>0.895940959409594</v>
      </c>
      <c r="Z1633" s="74">
        <v>0.719298245614035</v>
      </c>
      <c r="AA1633" s="74">
        <v>0.780673181324647</v>
      </c>
      <c r="AB1633" s="74">
        <v>0.795126076260763</v>
      </c>
      <c r="AC1633" s="74">
        <v>0.92</v>
      </c>
      <c r="AD1633" s="72">
        <v>0.984962406015038</v>
      </c>
      <c r="AE1633" s="72">
        <v>0.019047619047619</v>
      </c>
      <c r="AF1633" s="72">
        <v>0.635593220338983</v>
      </c>
      <c r="AG1633" s="72">
        <v>0.821092278719397</v>
      </c>
      <c r="AH1633" s="74">
        <v>0.92</v>
      </c>
      <c r="AI1633" s="72">
        <v>0.921676958076048</v>
      </c>
      <c r="AJ1633" s="72">
        <v>0.867768595041322</v>
      </c>
      <c r="AK1633" s="72">
        <v>0.8814380418154</v>
      </c>
      <c r="AL1633" s="72">
        <v>0.89554905782976</v>
      </c>
      <c r="AM1633" s="71">
        <v>0.99</v>
      </c>
      <c r="AN1633" s="76">
        <v>1</v>
      </c>
      <c r="AO1633" s="76">
        <v>1</v>
      </c>
      <c r="AP1633" s="76">
        <v>0</v>
      </c>
      <c r="AQ1633" s="76">
        <v>1</v>
      </c>
      <c r="AR1633" s="96">
        <v>0.110069253262963</v>
      </c>
      <c r="AS1633" s="80">
        <v>0.0833333333333333</v>
      </c>
      <c r="AT1633" s="80">
        <v>0.0333333333333333</v>
      </c>
      <c r="AU1633" s="80">
        <v>0</v>
      </c>
      <c r="AV1633" s="80">
        <v>0.0492957746478873</v>
      </c>
      <c r="AW1633" s="36"/>
      <c r="AX1633" s="34"/>
    </row>
    <row r="1634" ht="14.5" spans="1:50">
      <c r="A1634" s="32"/>
      <c r="B1634" s="36"/>
      <c r="C1634" s="91" t="s">
        <v>1473</v>
      </c>
      <c r="D1634" s="69" t="s">
        <v>27</v>
      </c>
      <c r="E1634" s="107" t="s">
        <v>1683</v>
      </c>
      <c r="F1634" s="107" t="s">
        <v>1683</v>
      </c>
      <c r="G1634" s="107" t="s">
        <v>1683</v>
      </c>
      <c r="H1634" s="107" t="s">
        <v>1683</v>
      </c>
      <c r="I1634" s="71">
        <v>0.9</v>
      </c>
      <c r="J1634" s="72">
        <v>0.863636363636364</v>
      </c>
      <c r="K1634" s="72">
        <v>0.961538461538462</v>
      </c>
      <c r="L1634" s="73">
        <v>0.923076923076923</v>
      </c>
      <c r="M1634" s="72">
        <v>0.914529914529915</v>
      </c>
      <c r="N1634" s="74">
        <v>0.9</v>
      </c>
      <c r="O1634" s="72">
        <v>0.982839313572543</v>
      </c>
      <c r="P1634" s="72">
        <v>0.965564738292011</v>
      </c>
      <c r="Q1634" s="72">
        <v>0.984386617100372</v>
      </c>
      <c r="R1634" s="72">
        <v>0.97282876064333</v>
      </c>
      <c r="S1634" s="74">
        <v>0.9</v>
      </c>
      <c r="T1634" s="72">
        <v>0.895865834633385</v>
      </c>
      <c r="U1634" s="72">
        <v>0.884022038567493</v>
      </c>
      <c r="V1634" s="72">
        <v>0.919702602230483</v>
      </c>
      <c r="W1634" s="72">
        <v>0.907965941343425</v>
      </c>
      <c r="X1634" s="74">
        <v>0.92</v>
      </c>
      <c r="Y1634" s="74">
        <v>1</v>
      </c>
      <c r="Z1634" s="74">
        <v>0</v>
      </c>
      <c r="AA1634" s="74">
        <v>0</v>
      </c>
      <c r="AB1634" s="74">
        <v>0.0434782608695652</v>
      </c>
      <c r="AC1634" s="74">
        <v>0.92</v>
      </c>
      <c r="AD1634" s="72">
        <v>1</v>
      </c>
      <c r="AE1634" s="72">
        <v>1</v>
      </c>
      <c r="AF1634" s="72">
        <v>0.958620689655172</v>
      </c>
      <c r="AG1634" s="72">
        <v>0.948445171849427</v>
      </c>
      <c r="AH1634" s="74">
        <v>0.92</v>
      </c>
      <c r="AI1634" s="72">
        <v>0.944249512670565</v>
      </c>
      <c r="AJ1634" s="72">
        <v>0.950413223140496</v>
      </c>
      <c r="AK1634" s="72">
        <v>0.965799256505576</v>
      </c>
      <c r="AL1634" s="72">
        <v>0.963248638838475</v>
      </c>
      <c r="AM1634" s="71">
        <v>0.99</v>
      </c>
      <c r="AN1634" s="76">
        <v>1</v>
      </c>
      <c r="AO1634" s="76">
        <v>1</v>
      </c>
      <c r="AP1634" s="76">
        <v>1</v>
      </c>
      <c r="AQ1634" s="76">
        <v>1</v>
      </c>
      <c r="AR1634" s="96">
        <v>0.110069253262963</v>
      </c>
      <c r="AS1634" s="80">
        <v>0</v>
      </c>
      <c r="AT1634" s="80">
        <v>0</v>
      </c>
      <c r="AU1634" s="80">
        <v>0</v>
      </c>
      <c r="AV1634" s="80">
        <v>0.0445544554455446</v>
      </c>
      <c r="AW1634" s="36"/>
      <c r="AX1634" s="34"/>
    </row>
    <row r="1635" ht="14.5" spans="1:50">
      <c r="A1635" s="32"/>
      <c r="B1635" s="36"/>
      <c r="C1635" s="91" t="s">
        <v>1473</v>
      </c>
      <c r="D1635" s="69" t="s">
        <v>27</v>
      </c>
      <c r="E1635" s="107" t="s">
        <v>1684</v>
      </c>
      <c r="F1635" s="107" t="s">
        <v>1684</v>
      </c>
      <c r="G1635" s="107" t="s">
        <v>1684</v>
      </c>
      <c r="H1635" s="107" t="s">
        <v>1684</v>
      </c>
      <c r="I1635" s="71">
        <v>0.9</v>
      </c>
      <c r="J1635" s="72">
        <v>0.942857142857143</v>
      </c>
      <c r="K1635" s="72">
        <v>0.833333333333333</v>
      </c>
      <c r="L1635" s="73">
        <v>0.930232558139535</v>
      </c>
      <c r="M1635" s="72">
        <v>0.900826446280992</v>
      </c>
      <c r="N1635" s="74">
        <v>0.9</v>
      </c>
      <c r="O1635" s="72">
        <v>0.977548682703322</v>
      </c>
      <c r="P1635" s="72">
        <v>0.985749276330439</v>
      </c>
      <c r="Q1635" s="72">
        <v>0.972368751569957</v>
      </c>
      <c r="R1635" s="72">
        <v>0.972920696324952</v>
      </c>
      <c r="S1635" s="74">
        <v>0.9</v>
      </c>
      <c r="T1635" s="72">
        <v>0.943642611683849</v>
      </c>
      <c r="U1635" s="72">
        <v>0.963482520596749</v>
      </c>
      <c r="V1635" s="72">
        <v>0.943732730469731</v>
      </c>
      <c r="W1635" s="72">
        <v>0.955251189293743</v>
      </c>
      <c r="X1635" s="74">
        <v>0.92</v>
      </c>
      <c r="Y1635" s="74">
        <v>0.1</v>
      </c>
      <c r="Z1635" s="74">
        <v>0</v>
      </c>
      <c r="AA1635" s="74">
        <v>0</v>
      </c>
      <c r="AB1635" s="74">
        <v>0.05</v>
      </c>
      <c r="AC1635" s="74">
        <v>0.92</v>
      </c>
      <c r="AD1635" s="72">
        <v>0.555555555555556</v>
      </c>
      <c r="AE1635" s="72">
        <v>0.5</v>
      </c>
      <c r="AF1635" s="72">
        <v>0.666666666666667</v>
      </c>
      <c r="AG1635" s="72">
        <v>0.844155844155844</v>
      </c>
      <c r="AH1635" s="74">
        <v>0.92</v>
      </c>
      <c r="AI1635" s="72">
        <v>0.952228571428571</v>
      </c>
      <c r="AJ1635" s="72">
        <v>0.976423487544484</v>
      </c>
      <c r="AK1635" s="72">
        <v>0.973631341034656</v>
      </c>
      <c r="AL1635" s="72">
        <v>0.974293327760071</v>
      </c>
      <c r="AM1635" s="71">
        <v>0.99</v>
      </c>
      <c r="AN1635" s="76">
        <v>1</v>
      </c>
      <c r="AO1635" s="76">
        <v>1</v>
      </c>
      <c r="AP1635" s="76">
        <v>1</v>
      </c>
      <c r="AQ1635" s="76">
        <v>1</v>
      </c>
      <c r="AR1635" s="96">
        <v>0.110069253262963</v>
      </c>
      <c r="AS1635" s="80">
        <v>0.105263157894737</v>
      </c>
      <c r="AT1635" s="80">
        <v>0</v>
      </c>
      <c r="AU1635" s="80">
        <v>0.1</v>
      </c>
      <c r="AV1635" s="80">
        <v>0.0693877551020408</v>
      </c>
      <c r="AW1635" s="36"/>
      <c r="AX1635" s="34"/>
    </row>
    <row r="1636" ht="14.5" spans="1:50">
      <c r="A1636" s="32"/>
      <c r="B1636" s="36"/>
      <c r="C1636" s="91" t="s">
        <v>1473</v>
      </c>
      <c r="D1636" s="69" t="s">
        <v>27</v>
      </c>
      <c r="E1636" s="107" t="s">
        <v>1685</v>
      </c>
      <c r="F1636" s="107" t="s">
        <v>1685</v>
      </c>
      <c r="G1636" s="107" t="s">
        <v>1685</v>
      </c>
      <c r="H1636" s="107" t="s">
        <v>1685</v>
      </c>
      <c r="I1636" s="71">
        <v>0.9</v>
      </c>
      <c r="J1636" s="72">
        <v>1</v>
      </c>
      <c r="K1636" s="72">
        <v>1</v>
      </c>
      <c r="L1636" s="73">
        <v>1</v>
      </c>
      <c r="M1636" s="72">
        <v>1</v>
      </c>
      <c r="N1636" s="74">
        <v>0.9</v>
      </c>
      <c r="O1636" s="72">
        <v>0.921875</v>
      </c>
      <c r="P1636" s="72">
        <v>0.9547141796585</v>
      </c>
      <c r="Q1636" s="72">
        <v>0.928008407777194</v>
      </c>
      <c r="R1636" s="72">
        <v>0.942422815631937</v>
      </c>
      <c r="S1636" s="74">
        <v>0.9</v>
      </c>
      <c r="T1636" s="72">
        <v>0.638125</v>
      </c>
      <c r="U1636" s="72">
        <v>0.774313288789903</v>
      </c>
      <c r="V1636" s="72">
        <v>0.734104046242775</v>
      </c>
      <c r="W1636" s="72">
        <v>0.739288356763301</v>
      </c>
      <c r="X1636" s="74">
        <v>0.92</v>
      </c>
      <c r="Y1636" s="74">
        <v>0.712962962962963</v>
      </c>
      <c r="Z1636" s="74">
        <v>0.835985312117503</v>
      </c>
      <c r="AA1636" s="74">
        <v>0.811158798283262</v>
      </c>
      <c r="AB1636" s="74">
        <v>0.838363572923936</v>
      </c>
      <c r="AC1636" s="74">
        <v>0.92</v>
      </c>
      <c r="AD1636" s="72">
        <v>1</v>
      </c>
      <c r="AE1636" s="72">
        <v>1</v>
      </c>
      <c r="AF1636" s="72">
        <v>1</v>
      </c>
      <c r="AG1636" s="72">
        <v>0.999080882352941</v>
      </c>
      <c r="AH1636" s="74">
        <v>0.92</v>
      </c>
      <c r="AI1636" s="72">
        <v>0.772955523672884</v>
      </c>
      <c r="AJ1636" s="72">
        <v>0.866823213686682</v>
      </c>
      <c r="AK1636" s="72">
        <v>0.881925522252498</v>
      </c>
      <c r="AL1636" s="72">
        <v>0.881173835465624</v>
      </c>
      <c r="AM1636" s="71">
        <v>0.99</v>
      </c>
      <c r="AN1636" s="76">
        <v>1</v>
      </c>
      <c r="AO1636" s="76">
        <v>0</v>
      </c>
      <c r="AP1636" s="76">
        <v>1</v>
      </c>
      <c r="AQ1636" s="76">
        <v>1</v>
      </c>
      <c r="AR1636" s="96">
        <v>0.110069253262963</v>
      </c>
      <c r="AS1636" s="80">
        <v>0.111111111111111</v>
      </c>
      <c r="AT1636" s="80">
        <v>0.0588235294117647</v>
      </c>
      <c r="AU1636" s="80">
        <v>0.037037037037037</v>
      </c>
      <c r="AV1636" s="80">
        <v>0.0622710622710623</v>
      </c>
      <c r="AW1636" s="36"/>
      <c r="AX1636" s="34"/>
    </row>
    <row r="1637" ht="14.5" spans="1:50">
      <c r="A1637" s="32"/>
      <c r="B1637" s="36"/>
      <c r="C1637" s="91" t="s">
        <v>1473</v>
      </c>
      <c r="D1637" s="69" t="s">
        <v>27</v>
      </c>
      <c r="E1637" s="107" t="s">
        <v>1686</v>
      </c>
      <c r="F1637" s="107" t="s">
        <v>1686</v>
      </c>
      <c r="G1637" s="107" t="s">
        <v>1686</v>
      </c>
      <c r="H1637" s="107" t="s">
        <v>1686</v>
      </c>
      <c r="I1637" s="71">
        <v>0.9</v>
      </c>
      <c r="J1637" s="72">
        <v>1</v>
      </c>
      <c r="K1637" s="72">
        <v>0.916666666666667</v>
      </c>
      <c r="L1637" s="73">
        <v>1</v>
      </c>
      <c r="M1637" s="72">
        <v>0.986725663716814</v>
      </c>
      <c r="N1637" s="74">
        <v>0.9</v>
      </c>
      <c r="O1637" s="72">
        <v>0.883799259009768</v>
      </c>
      <c r="P1637" s="72">
        <v>0.911440516913721</v>
      </c>
      <c r="Q1637" s="72">
        <v>0.896309850564196</v>
      </c>
      <c r="R1637" s="72">
        <v>0.882545719372067</v>
      </c>
      <c r="S1637" s="74">
        <v>0.9</v>
      </c>
      <c r="T1637" s="72">
        <v>0.843718423711687</v>
      </c>
      <c r="U1637" s="72">
        <v>0.858608893956671</v>
      </c>
      <c r="V1637" s="72">
        <v>0.885635864592864</v>
      </c>
      <c r="W1637" s="72">
        <v>0.845241948535362</v>
      </c>
      <c r="X1637" s="74">
        <v>0.92</v>
      </c>
      <c r="Y1637" s="74">
        <v>0.5</v>
      </c>
      <c r="Z1637" s="74">
        <v>0.6</v>
      </c>
      <c r="AA1637" s="74">
        <v>0.8</v>
      </c>
      <c r="AB1637" s="74">
        <v>0.530612244897959</v>
      </c>
      <c r="AC1637" s="74">
        <v>0.92</v>
      </c>
      <c r="AD1637" s="72">
        <v>1</v>
      </c>
      <c r="AE1637" s="72">
        <v>1</v>
      </c>
      <c r="AF1637" s="72">
        <v>1</v>
      </c>
      <c r="AG1637" s="72">
        <v>0.945121951219512</v>
      </c>
      <c r="AH1637" s="74">
        <v>0.92</v>
      </c>
      <c r="AI1637" s="72">
        <v>0.917928018836192</v>
      </c>
      <c r="AJ1637" s="72">
        <v>0.961305007587253</v>
      </c>
      <c r="AK1637" s="72">
        <v>0.976857490864799</v>
      </c>
      <c r="AL1637" s="72">
        <v>0.953853607331745</v>
      </c>
      <c r="AM1637" s="71">
        <v>0.99</v>
      </c>
      <c r="AN1637" s="76">
        <v>0</v>
      </c>
      <c r="AO1637" s="76">
        <v>0</v>
      </c>
      <c r="AP1637" s="76">
        <v>0</v>
      </c>
      <c r="AQ1637" s="76">
        <v>0</v>
      </c>
      <c r="AR1637" s="96">
        <v>0.110069253262963</v>
      </c>
      <c r="AS1637" s="80">
        <v>0</v>
      </c>
      <c r="AT1637" s="80">
        <v>0.0555555555555556</v>
      </c>
      <c r="AU1637" s="80">
        <v>0</v>
      </c>
      <c r="AV1637" s="80">
        <v>0.0506329113924051</v>
      </c>
      <c r="AW1637" s="36"/>
      <c r="AX1637" s="34"/>
    </row>
    <row r="1638" ht="14.5" spans="1:50">
      <c r="A1638" s="32"/>
      <c r="B1638" s="36"/>
      <c r="C1638" s="91" t="s">
        <v>1473</v>
      </c>
      <c r="D1638" s="69" t="s">
        <v>27</v>
      </c>
      <c r="E1638" s="107" t="s">
        <v>1687</v>
      </c>
      <c r="F1638" s="107" t="s">
        <v>1687</v>
      </c>
      <c r="G1638" s="107" t="s">
        <v>1687</v>
      </c>
      <c r="H1638" s="107" t="s">
        <v>1687</v>
      </c>
      <c r="I1638" s="71">
        <v>0.9</v>
      </c>
      <c r="J1638" s="72">
        <v>0.9</v>
      </c>
      <c r="K1638" s="72">
        <v>1</v>
      </c>
      <c r="L1638" s="73">
        <v>1</v>
      </c>
      <c r="M1638" s="72">
        <v>0.979381443298969</v>
      </c>
      <c r="N1638" s="74">
        <v>0.9</v>
      </c>
      <c r="O1638" s="72">
        <v>0.988033298647242</v>
      </c>
      <c r="P1638" s="72">
        <v>0.997093023255814</v>
      </c>
      <c r="Q1638" s="72">
        <v>0.997701149425287</v>
      </c>
      <c r="R1638" s="72">
        <v>0.990298112541894</v>
      </c>
      <c r="S1638" s="74">
        <v>0.9</v>
      </c>
      <c r="T1638" s="72">
        <v>0.894380853277836</v>
      </c>
      <c r="U1638" s="72">
        <v>0.950581395348837</v>
      </c>
      <c r="V1638" s="72">
        <v>0.951149425287356</v>
      </c>
      <c r="W1638" s="72">
        <v>0.929911213029929</v>
      </c>
      <c r="X1638" s="74">
        <v>0.92</v>
      </c>
      <c r="Y1638" s="74">
        <v>0</v>
      </c>
      <c r="Z1638" s="74">
        <v>0</v>
      </c>
      <c r="AA1638" s="74">
        <v>0</v>
      </c>
      <c r="AB1638" s="74">
        <v>0</v>
      </c>
      <c r="AC1638" s="74">
        <v>0.92</v>
      </c>
      <c r="AD1638" s="72">
        <v>1</v>
      </c>
      <c r="AE1638" s="72">
        <v>1</v>
      </c>
      <c r="AF1638" s="72">
        <v>1</v>
      </c>
      <c r="AG1638" s="72">
        <v>0.977112676056338</v>
      </c>
      <c r="AH1638" s="74">
        <v>0.92</v>
      </c>
      <c r="AI1638" s="72">
        <v>0.959417273673257</v>
      </c>
      <c r="AJ1638" s="72">
        <v>0.975290697674419</v>
      </c>
      <c r="AK1638" s="72">
        <v>0.98448275862069</v>
      </c>
      <c r="AL1638" s="72">
        <v>0.973481507614512</v>
      </c>
      <c r="AM1638" s="71">
        <v>0.99</v>
      </c>
      <c r="AN1638" s="76">
        <v>1</v>
      </c>
      <c r="AO1638" s="76">
        <v>1</v>
      </c>
      <c r="AP1638" s="76">
        <v>1</v>
      </c>
      <c r="AQ1638" s="76">
        <v>1</v>
      </c>
      <c r="AR1638" s="96">
        <v>0.110069253262963</v>
      </c>
      <c r="AS1638" s="80">
        <v>0.105263157894737</v>
      </c>
      <c r="AT1638" s="80">
        <v>0.15</v>
      </c>
      <c r="AU1638" s="80">
        <v>0.0869565217391304</v>
      </c>
      <c r="AV1638" s="80">
        <v>0.0641025641025641</v>
      </c>
      <c r="AW1638" s="36"/>
      <c r="AX1638" s="34"/>
    </row>
    <row r="1639" ht="14.5" spans="1:50">
      <c r="A1639" s="32"/>
      <c r="B1639" s="36"/>
      <c r="C1639" s="91" t="s">
        <v>1473</v>
      </c>
      <c r="D1639" s="69" t="s">
        <v>27</v>
      </c>
      <c r="E1639" s="107" t="s">
        <v>1688</v>
      </c>
      <c r="F1639" s="107" t="s">
        <v>1688</v>
      </c>
      <c r="G1639" s="107" t="s">
        <v>1688</v>
      </c>
      <c r="H1639" s="107" t="s">
        <v>1688</v>
      </c>
      <c r="I1639" s="71">
        <v>0.9</v>
      </c>
      <c r="J1639" s="72">
        <v>0.976190476190476</v>
      </c>
      <c r="K1639" s="72">
        <v>1</v>
      </c>
      <c r="L1639" s="73">
        <v>0.94</v>
      </c>
      <c r="M1639" s="72">
        <v>0.976076555023923</v>
      </c>
      <c r="N1639" s="74">
        <v>0.9</v>
      </c>
      <c r="O1639" s="72">
        <v>0.860538116591928</v>
      </c>
      <c r="P1639" s="72">
        <v>0.963093145869947</v>
      </c>
      <c r="Q1639" s="72">
        <v>0.980826693227092</v>
      </c>
      <c r="R1639" s="72">
        <v>0.926769137883324</v>
      </c>
      <c r="S1639" s="74">
        <v>0.9</v>
      </c>
      <c r="T1639" s="72">
        <v>0.796412556053812</v>
      </c>
      <c r="U1639" s="72">
        <v>0.905877758250342</v>
      </c>
      <c r="V1639" s="72">
        <v>0.893177290836653</v>
      </c>
      <c r="W1639" s="72">
        <v>0.87708485321124</v>
      </c>
      <c r="X1639" s="74">
        <v>0.92</v>
      </c>
      <c r="Y1639" s="74">
        <v>0</v>
      </c>
      <c r="Z1639" s="74">
        <v>0</v>
      </c>
      <c r="AA1639" s="74">
        <v>0</v>
      </c>
      <c r="AB1639" s="74">
        <v>1</v>
      </c>
      <c r="AC1639" s="74">
        <v>0.92</v>
      </c>
      <c r="AD1639" s="72">
        <v>0.987623762376238</v>
      </c>
      <c r="AE1639" s="72">
        <v>0.936254980079681</v>
      </c>
      <c r="AF1639" s="72">
        <v>0.99443413729128</v>
      </c>
      <c r="AG1639" s="72">
        <v>0.942105263157895</v>
      </c>
      <c r="AH1639" s="74">
        <v>0.92</v>
      </c>
      <c r="AI1639" s="72">
        <v>0.902242152466368</v>
      </c>
      <c r="AJ1639" s="72">
        <v>0.934387814879906</v>
      </c>
      <c r="AK1639" s="72">
        <v>0.947958167330677</v>
      </c>
      <c r="AL1639" s="72">
        <v>0.935726504326826</v>
      </c>
      <c r="AM1639" s="71">
        <v>0.99</v>
      </c>
      <c r="AN1639" s="76">
        <v>1</v>
      </c>
      <c r="AO1639" s="76">
        <v>1</v>
      </c>
      <c r="AP1639" s="76">
        <v>1</v>
      </c>
      <c r="AQ1639" s="76">
        <v>1</v>
      </c>
      <c r="AR1639" s="96">
        <v>0.110069253262963</v>
      </c>
      <c r="AS1639" s="80">
        <v>0.0222222222222222</v>
      </c>
      <c r="AT1639" s="80">
        <v>0</v>
      </c>
      <c r="AU1639" s="80">
        <v>0.0454545454545455</v>
      </c>
      <c r="AV1639" s="80">
        <v>0.0429042904290429</v>
      </c>
      <c r="AW1639" s="36"/>
      <c r="AX1639" s="34"/>
    </row>
    <row r="1640" ht="14.5" spans="1:50">
      <c r="A1640" s="32"/>
      <c r="B1640" s="36"/>
      <c r="C1640" s="91" t="s">
        <v>1473</v>
      </c>
      <c r="D1640" s="69" t="s">
        <v>27</v>
      </c>
      <c r="E1640" s="107" t="s">
        <v>1689</v>
      </c>
      <c r="F1640" s="107" t="s">
        <v>1689</v>
      </c>
      <c r="G1640" s="107" t="s">
        <v>1689</v>
      </c>
      <c r="H1640" s="107" t="s">
        <v>1689</v>
      </c>
      <c r="I1640" s="71">
        <v>0.9</v>
      </c>
      <c r="J1640" s="72">
        <v>0.952380952380952</v>
      </c>
      <c r="K1640" s="72">
        <v>1</v>
      </c>
      <c r="L1640" s="73">
        <v>0.96969696969697</v>
      </c>
      <c r="M1640" s="72">
        <v>0.94488188976378</v>
      </c>
      <c r="N1640" s="74">
        <v>0.9</v>
      </c>
      <c r="O1640" s="72">
        <v>0.898611111111111</v>
      </c>
      <c r="P1640" s="72">
        <v>0.917490729295426</v>
      </c>
      <c r="Q1640" s="72">
        <v>0.949035311248635</v>
      </c>
      <c r="R1640" s="72">
        <v>0.913527061956607</v>
      </c>
      <c r="S1640" s="74">
        <v>0.9</v>
      </c>
      <c r="T1640" s="72">
        <v>0.822222222222222</v>
      </c>
      <c r="U1640" s="72">
        <v>0.835908529048208</v>
      </c>
      <c r="V1640" s="72">
        <v>0.863851474335639</v>
      </c>
      <c r="W1640" s="72">
        <v>0.837980731573588</v>
      </c>
      <c r="X1640" s="74">
        <v>0.92</v>
      </c>
      <c r="Y1640" s="74">
        <v>0</v>
      </c>
      <c r="Z1640" s="74">
        <v>0</v>
      </c>
      <c r="AA1640" s="74">
        <v>0</v>
      </c>
      <c r="AB1640" s="74">
        <v>0</v>
      </c>
      <c r="AC1640" s="74">
        <v>0.92</v>
      </c>
      <c r="AD1640" s="72">
        <v>1</v>
      </c>
      <c r="AE1640" s="72">
        <v>0.928571428571429</v>
      </c>
      <c r="AF1640" s="72">
        <v>0.986842105263158</v>
      </c>
      <c r="AG1640" s="72">
        <v>0.973168214654283</v>
      </c>
      <c r="AH1640" s="74">
        <v>0.92</v>
      </c>
      <c r="AI1640" s="72">
        <v>0.860812217979868</v>
      </c>
      <c r="AJ1640" s="72">
        <v>0.928924598269468</v>
      </c>
      <c r="AK1640" s="72">
        <v>0.912267928649436</v>
      </c>
      <c r="AL1640" s="72">
        <v>0.905306442138242</v>
      </c>
      <c r="AM1640" s="71">
        <v>0.99</v>
      </c>
      <c r="AN1640" s="76">
        <v>1</v>
      </c>
      <c r="AO1640" s="76">
        <v>1</v>
      </c>
      <c r="AP1640" s="76">
        <v>1</v>
      </c>
      <c r="AQ1640" s="76">
        <v>1</v>
      </c>
      <c r="AR1640" s="96">
        <v>0.110069253262963</v>
      </c>
      <c r="AS1640" s="80">
        <v>0.0833333333333333</v>
      </c>
      <c r="AT1640" s="80">
        <v>0.0588235294117647</v>
      </c>
      <c r="AU1640" s="80">
        <v>0.214285714285714</v>
      </c>
      <c r="AV1640" s="80">
        <v>0.0731707317073171</v>
      </c>
      <c r="AW1640" s="36"/>
      <c r="AX1640" s="34"/>
    </row>
    <row r="1641" ht="14.5" spans="1:50">
      <c r="A1641" s="32"/>
      <c r="B1641" s="36"/>
      <c r="C1641" s="91" t="s">
        <v>1473</v>
      </c>
      <c r="D1641" s="69" t="s">
        <v>27</v>
      </c>
      <c r="E1641" s="107" t="s">
        <v>1690</v>
      </c>
      <c r="F1641" s="107" t="s">
        <v>1690</v>
      </c>
      <c r="G1641" s="107" t="s">
        <v>1690</v>
      </c>
      <c r="H1641" s="107" t="s">
        <v>1690</v>
      </c>
      <c r="I1641" s="71">
        <v>0.9</v>
      </c>
      <c r="J1641" s="72">
        <v>0.958333333333333</v>
      </c>
      <c r="K1641" s="72">
        <v>0.923076923076923</v>
      </c>
      <c r="L1641" s="73">
        <v>0.916666666666667</v>
      </c>
      <c r="M1641" s="72">
        <v>0.952991452991453</v>
      </c>
      <c r="N1641" s="74">
        <v>0.9</v>
      </c>
      <c r="O1641" s="72">
        <v>0.917745620715918</v>
      </c>
      <c r="P1641" s="72">
        <v>0.953859804791482</v>
      </c>
      <c r="Q1641" s="72">
        <v>0.942122186495177</v>
      </c>
      <c r="R1641" s="72">
        <v>0.924043261231281</v>
      </c>
      <c r="S1641" s="74">
        <v>0.9</v>
      </c>
      <c r="T1641" s="72">
        <v>0.606245239908606</v>
      </c>
      <c r="U1641" s="72">
        <v>0.785270629991127</v>
      </c>
      <c r="V1641" s="72">
        <v>0.714469453376206</v>
      </c>
      <c r="W1641" s="72">
        <v>0.689434276206323</v>
      </c>
      <c r="X1641" s="74">
        <v>0.92</v>
      </c>
      <c r="Y1641" s="74">
        <v>0.83681592039801</v>
      </c>
      <c r="Z1641" s="74">
        <v>0.878315132605304</v>
      </c>
      <c r="AA1641" s="74">
        <v>0.86468085106383</v>
      </c>
      <c r="AB1641" s="74">
        <v>0.870606372045221</v>
      </c>
      <c r="AC1641" s="74">
        <v>0.92</v>
      </c>
      <c r="AD1641" s="72">
        <v>0.976470588235294</v>
      </c>
      <c r="AE1641" s="72">
        <v>0.971428571428571</v>
      </c>
      <c r="AF1641" s="72">
        <v>1</v>
      </c>
      <c r="AG1641" s="72">
        <v>0.985507246376812</v>
      </c>
      <c r="AH1641" s="74">
        <v>0.92</v>
      </c>
      <c r="AI1641" s="72">
        <v>0.84641932700604</v>
      </c>
      <c r="AJ1641" s="72">
        <v>0.897467828974678</v>
      </c>
      <c r="AK1641" s="72">
        <v>0.895353091840468</v>
      </c>
      <c r="AL1641" s="72">
        <v>0.894601778022179</v>
      </c>
      <c r="AM1641" s="71">
        <v>0.99</v>
      </c>
      <c r="AN1641" s="76">
        <v>1</v>
      </c>
      <c r="AO1641" s="76">
        <v>1</v>
      </c>
      <c r="AP1641" s="76">
        <v>1</v>
      </c>
      <c r="AQ1641" s="76">
        <v>1</v>
      </c>
      <c r="AR1641" s="96">
        <v>0.110069253262963</v>
      </c>
      <c r="AS1641" s="80">
        <v>0.0571428571428571</v>
      </c>
      <c r="AT1641" s="80">
        <v>0</v>
      </c>
      <c r="AU1641" s="80">
        <v>0.0645161290322581</v>
      </c>
      <c r="AV1641" s="80">
        <v>0.0585774058577406</v>
      </c>
      <c r="AW1641" s="36"/>
      <c r="AX1641" s="34"/>
    </row>
    <row r="1642" ht="14.5" spans="1:50">
      <c r="A1642" s="32"/>
      <c r="B1642" s="36"/>
      <c r="C1642" s="91" t="s">
        <v>1473</v>
      </c>
      <c r="D1642" s="69" t="s">
        <v>27</v>
      </c>
      <c r="E1642" s="107" t="s">
        <v>1691</v>
      </c>
      <c r="F1642" s="107" t="s">
        <v>1691</v>
      </c>
      <c r="G1642" s="107" t="s">
        <v>1691</v>
      </c>
      <c r="H1642" s="107" t="s">
        <v>1691</v>
      </c>
      <c r="I1642" s="71">
        <v>0.9</v>
      </c>
      <c r="J1642" s="72">
        <v>0.967741935483871</v>
      </c>
      <c r="K1642" s="72">
        <v>0.939393939393939</v>
      </c>
      <c r="L1642" s="73">
        <v>0.942857142857143</v>
      </c>
      <c r="M1642" s="72">
        <v>0.970491803278689</v>
      </c>
      <c r="N1642" s="74">
        <v>0.9</v>
      </c>
      <c r="O1642" s="72">
        <v>0.583081570996979</v>
      </c>
      <c r="P1642" s="72">
        <v>0.727623456790123</v>
      </c>
      <c r="Q1642" s="72">
        <v>0.749478079331942</v>
      </c>
      <c r="R1642" s="72">
        <v>0.78269633010078</v>
      </c>
      <c r="S1642" s="74">
        <v>0.9</v>
      </c>
      <c r="T1642" s="72">
        <v>0.505203088284659</v>
      </c>
      <c r="U1642" s="72">
        <v>0.578703703703704</v>
      </c>
      <c r="V1642" s="72">
        <v>0.654637637936177</v>
      </c>
      <c r="W1642" s="72">
        <v>0.62156303479749</v>
      </c>
      <c r="X1642" s="74">
        <v>0.92</v>
      </c>
      <c r="Y1642" s="74">
        <v>0.65466816647919</v>
      </c>
      <c r="Z1642" s="74">
        <v>0.704590818363273</v>
      </c>
      <c r="AA1642" s="74">
        <v>0.750665483584738</v>
      </c>
      <c r="AB1642" s="74">
        <v>0.759962549008134</v>
      </c>
      <c r="AC1642" s="74">
        <v>0.92</v>
      </c>
      <c r="AD1642" s="72">
        <v>0.515151515151515</v>
      </c>
      <c r="AE1642" s="72">
        <v>1</v>
      </c>
      <c r="AF1642" s="72">
        <v>1</v>
      </c>
      <c r="AG1642" s="72">
        <v>0.863468634686347</v>
      </c>
      <c r="AH1642" s="74">
        <v>0.92</v>
      </c>
      <c r="AI1642" s="72">
        <v>0.719781374816061</v>
      </c>
      <c r="AJ1642" s="72">
        <v>0.788348371910553</v>
      </c>
      <c r="AK1642" s="72">
        <v>0.842095883086794</v>
      </c>
      <c r="AL1642" s="72">
        <v>0.835579514824798</v>
      </c>
      <c r="AM1642" s="71">
        <v>0.99</v>
      </c>
      <c r="AN1642" s="76">
        <v>0</v>
      </c>
      <c r="AO1642" s="76">
        <v>0</v>
      </c>
      <c r="AP1642" s="76">
        <v>0</v>
      </c>
      <c r="AQ1642" s="76">
        <v>1</v>
      </c>
      <c r="AR1642" s="96">
        <v>0.110069253262963</v>
      </c>
      <c r="AS1642" s="80">
        <v>0.107142857142857</v>
      </c>
      <c r="AT1642" s="80">
        <v>0.0967741935483871</v>
      </c>
      <c r="AU1642" s="80">
        <v>0.0344827586206897</v>
      </c>
      <c r="AV1642" s="80">
        <v>0.140845070422535</v>
      </c>
      <c r="AW1642" s="36"/>
      <c r="AX1642" s="34"/>
    </row>
    <row r="1643" ht="14.5" spans="1:50">
      <c r="A1643" s="32"/>
      <c r="B1643" s="36"/>
      <c r="C1643" s="91" t="s">
        <v>1473</v>
      </c>
      <c r="D1643" s="69" t="s">
        <v>27</v>
      </c>
      <c r="E1643" s="107" t="s">
        <v>1692</v>
      </c>
      <c r="F1643" s="107" t="s">
        <v>1692</v>
      </c>
      <c r="G1643" s="107" t="s">
        <v>1692</v>
      </c>
      <c r="H1643" s="107" t="s">
        <v>1692</v>
      </c>
      <c r="I1643" s="71">
        <v>0.9</v>
      </c>
      <c r="J1643" s="72">
        <v>0.870967741935484</v>
      </c>
      <c r="K1643" s="72">
        <v>0.967741935483871</v>
      </c>
      <c r="L1643" s="73">
        <v>0.939393939393939</v>
      </c>
      <c r="M1643" s="72">
        <v>0.966329966329966</v>
      </c>
      <c r="N1643" s="74">
        <v>0.9</v>
      </c>
      <c r="O1643" s="72">
        <v>0.843537414965986</v>
      </c>
      <c r="P1643" s="72">
        <v>0.872990717681684</v>
      </c>
      <c r="Q1643" s="72">
        <v>0.948536445379759</v>
      </c>
      <c r="R1643" s="72">
        <v>0.90141307919816</v>
      </c>
      <c r="S1643" s="74">
        <v>0.9</v>
      </c>
      <c r="T1643" s="72">
        <v>0.82532367785824</v>
      </c>
      <c r="U1643" s="72">
        <v>0.781525922571881</v>
      </c>
      <c r="V1643" s="72">
        <v>0.819399273005548</v>
      </c>
      <c r="W1643" s="72">
        <v>0.802927273186885</v>
      </c>
      <c r="X1643" s="74">
        <v>0.92</v>
      </c>
      <c r="Y1643" s="74">
        <v>0.75</v>
      </c>
      <c r="Z1643" s="74">
        <v>0.166666666666667</v>
      </c>
      <c r="AA1643" s="74">
        <v>0</v>
      </c>
      <c r="AB1643" s="74">
        <v>0.134146341463415</v>
      </c>
      <c r="AC1643" s="74">
        <v>0.92</v>
      </c>
      <c r="AD1643" s="72">
        <v>0.979591836734694</v>
      </c>
      <c r="AE1643" s="72">
        <v>0.870967741935484</v>
      </c>
      <c r="AF1643" s="72">
        <v>0.9</v>
      </c>
      <c r="AG1643" s="72">
        <v>0.948220064724919</v>
      </c>
      <c r="AH1643" s="74">
        <v>0.92</v>
      </c>
      <c r="AI1643" s="72">
        <v>0.950668713001535</v>
      </c>
      <c r="AJ1643" s="72">
        <v>0.955294648904945</v>
      </c>
      <c r="AK1643" s="72">
        <v>0.951726769700439</v>
      </c>
      <c r="AL1643" s="72">
        <v>0.957612587624187</v>
      </c>
      <c r="AM1643" s="71">
        <v>0.99</v>
      </c>
      <c r="AN1643" s="76">
        <v>1</v>
      </c>
      <c r="AO1643" s="76">
        <v>1</v>
      </c>
      <c r="AP1643" s="76">
        <v>1</v>
      </c>
      <c r="AQ1643" s="76">
        <v>1</v>
      </c>
      <c r="AR1643" s="96">
        <v>0.110069253262963</v>
      </c>
      <c r="AS1643" s="80">
        <v>0.153846153846154</v>
      </c>
      <c r="AT1643" s="80">
        <v>0</v>
      </c>
      <c r="AU1643" s="80">
        <v>0.05</v>
      </c>
      <c r="AV1643" s="80">
        <v>0.0926829268292683</v>
      </c>
      <c r="AW1643" s="36"/>
      <c r="AX1643" s="34"/>
    </row>
    <row r="1644" ht="14.5" spans="1:50">
      <c r="A1644" s="32"/>
      <c r="B1644" s="36"/>
      <c r="C1644" s="91" t="s">
        <v>1473</v>
      </c>
      <c r="D1644" s="69" t="s">
        <v>27</v>
      </c>
      <c r="E1644" s="107" t="s">
        <v>1693</v>
      </c>
      <c r="F1644" s="107" t="s">
        <v>1693</v>
      </c>
      <c r="G1644" s="107" t="s">
        <v>1693</v>
      </c>
      <c r="H1644" s="107" t="s">
        <v>1693</v>
      </c>
      <c r="I1644" s="71">
        <v>0.9</v>
      </c>
      <c r="J1644" s="72">
        <v>0.928571428571429</v>
      </c>
      <c r="K1644" s="72">
        <v>0.909090909090909</v>
      </c>
      <c r="L1644" s="73">
        <v>0.911111111111111</v>
      </c>
      <c r="M1644" s="72">
        <v>0.903307888040712</v>
      </c>
      <c r="N1644" s="74">
        <v>0.9</v>
      </c>
      <c r="O1644" s="72">
        <v>0.902373488580385</v>
      </c>
      <c r="P1644" s="72">
        <v>0.87932821895086</v>
      </c>
      <c r="Q1644" s="72">
        <v>0.904260528893242</v>
      </c>
      <c r="R1644" s="72">
        <v>0.81329130277505</v>
      </c>
      <c r="S1644" s="74">
        <v>0.9</v>
      </c>
      <c r="T1644" s="72">
        <v>0.761755485893417</v>
      </c>
      <c r="U1644" s="72">
        <v>0.771926187020527</v>
      </c>
      <c r="V1644" s="72">
        <v>0.78305582761998</v>
      </c>
      <c r="W1644" s="72">
        <v>0.723554338277092</v>
      </c>
      <c r="X1644" s="74">
        <v>0.92</v>
      </c>
      <c r="Y1644" s="74">
        <v>0</v>
      </c>
      <c r="Z1644" s="74">
        <v>0</v>
      </c>
      <c r="AA1644" s="74">
        <v>0</v>
      </c>
      <c r="AB1644" s="74">
        <v>0</v>
      </c>
      <c r="AC1644" s="74">
        <v>0.92</v>
      </c>
      <c r="AD1644" s="72">
        <v>0.995833333333333</v>
      </c>
      <c r="AE1644" s="72">
        <v>0.991891891891892</v>
      </c>
      <c r="AF1644" s="72">
        <v>0.972457627118644</v>
      </c>
      <c r="AG1644" s="72">
        <v>0.987747653806048</v>
      </c>
      <c r="AH1644" s="74">
        <v>0.92</v>
      </c>
      <c r="AI1644" s="72">
        <v>0.826690550828482</v>
      </c>
      <c r="AJ1644" s="72">
        <v>0.888451171470039</v>
      </c>
      <c r="AK1644" s="72">
        <v>0.898139079333986</v>
      </c>
      <c r="AL1644" s="72">
        <v>0.865200764818356</v>
      </c>
      <c r="AM1644" s="71">
        <v>0.99</v>
      </c>
      <c r="AN1644" s="76">
        <v>1</v>
      </c>
      <c r="AO1644" s="76">
        <v>1</v>
      </c>
      <c r="AP1644" s="76">
        <v>1</v>
      </c>
      <c r="AQ1644" s="76">
        <v>1</v>
      </c>
      <c r="AR1644" s="96">
        <v>0.110069253262963</v>
      </c>
      <c r="AS1644" s="80">
        <v>0.205128205128205</v>
      </c>
      <c r="AT1644" s="80">
        <v>0.151515151515152</v>
      </c>
      <c r="AU1644" s="80">
        <v>0.107142857142857</v>
      </c>
      <c r="AV1644" s="80">
        <v>0.109375</v>
      </c>
      <c r="AW1644" s="36"/>
      <c r="AX1644" s="34"/>
    </row>
    <row r="1645" ht="14.5" spans="1:50">
      <c r="A1645" s="32"/>
      <c r="B1645" s="36"/>
      <c r="C1645" s="91" t="s">
        <v>1473</v>
      </c>
      <c r="D1645" s="69" t="s">
        <v>27</v>
      </c>
      <c r="E1645" s="107" t="s">
        <v>1694</v>
      </c>
      <c r="F1645" s="107" t="s">
        <v>1694</v>
      </c>
      <c r="G1645" s="107" t="s">
        <v>1694</v>
      </c>
      <c r="H1645" s="107" t="s">
        <v>1694</v>
      </c>
      <c r="I1645" s="71">
        <v>0.9</v>
      </c>
      <c r="J1645" s="72">
        <v>1</v>
      </c>
      <c r="K1645" s="72">
        <v>0.966666666666667</v>
      </c>
      <c r="L1645" s="73">
        <v>1</v>
      </c>
      <c r="M1645" s="72">
        <v>0.971311475409836</v>
      </c>
      <c r="N1645" s="74">
        <v>0.9</v>
      </c>
      <c r="O1645" s="72">
        <v>0.751369112814896</v>
      </c>
      <c r="P1645" s="72">
        <v>0.867982726711906</v>
      </c>
      <c r="Q1645" s="72">
        <v>0.799625468164794</v>
      </c>
      <c r="R1645" s="72">
        <v>0.810343707361445</v>
      </c>
      <c r="S1645" s="74">
        <v>0.9</v>
      </c>
      <c r="T1645" s="72">
        <v>0.826670317634173</v>
      </c>
      <c r="U1645" s="72">
        <v>0.880320789636027</v>
      </c>
      <c r="V1645" s="72">
        <v>0.820926966292135</v>
      </c>
      <c r="W1645" s="72">
        <v>0.797186667532974</v>
      </c>
      <c r="X1645" s="74">
        <v>0.92</v>
      </c>
      <c r="Y1645" s="74">
        <v>1</v>
      </c>
      <c r="Z1645" s="74">
        <v>0</v>
      </c>
      <c r="AA1645" s="74">
        <v>0.333333333333333</v>
      </c>
      <c r="AB1645" s="74">
        <v>0.266666666666667</v>
      </c>
      <c r="AC1645" s="74">
        <v>0.92</v>
      </c>
      <c r="AD1645" s="72">
        <v>1</v>
      </c>
      <c r="AE1645" s="72">
        <v>1</v>
      </c>
      <c r="AF1645" s="72">
        <v>1</v>
      </c>
      <c r="AG1645" s="72">
        <v>0.990176817288802</v>
      </c>
      <c r="AH1645" s="74">
        <v>0.92</v>
      </c>
      <c r="AI1645" s="72">
        <v>0.950205198358413</v>
      </c>
      <c r="AJ1645" s="72">
        <v>0.970724191063174</v>
      </c>
      <c r="AK1645" s="72">
        <v>0.975222066386162</v>
      </c>
      <c r="AL1645" s="72">
        <v>0.962069636257537</v>
      </c>
      <c r="AM1645" s="71">
        <v>0.99</v>
      </c>
      <c r="AN1645" s="76">
        <v>1</v>
      </c>
      <c r="AO1645" s="76">
        <v>1</v>
      </c>
      <c r="AP1645" s="76">
        <v>1</v>
      </c>
      <c r="AQ1645" s="76">
        <v>1</v>
      </c>
      <c r="AR1645" s="96">
        <v>0.110069253262963</v>
      </c>
      <c r="AS1645" s="80">
        <v>0.105263157894737</v>
      </c>
      <c r="AT1645" s="80">
        <v>0</v>
      </c>
      <c r="AU1645" s="80">
        <v>0</v>
      </c>
      <c r="AV1645" s="80">
        <v>0.0305343511450382</v>
      </c>
      <c r="AW1645" s="36"/>
      <c r="AX1645" s="34"/>
    </row>
    <row r="1646" ht="14.5" spans="1:50">
      <c r="A1646" s="32"/>
      <c r="B1646" s="36"/>
      <c r="C1646" s="91" t="s">
        <v>1473</v>
      </c>
      <c r="D1646" s="69" t="s">
        <v>27</v>
      </c>
      <c r="E1646" s="107" t="s">
        <v>1695</v>
      </c>
      <c r="F1646" s="107" t="s">
        <v>1695</v>
      </c>
      <c r="G1646" s="107" t="s">
        <v>1695</v>
      </c>
      <c r="H1646" s="107" t="s">
        <v>1695</v>
      </c>
      <c r="I1646" s="71">
        <v>0.9</v>
      </c>
      <c r="J1646" s="72">
        <v>0.962962962962963</v>
      </c>
      <c r="K1646" s="72">
        <v>0.923076923076923</v>
      </c>
      <c r="L1646" s="73">
        <v>0.961538461538462</v>
      </c>
      <c r="M1646" s="72">
        <v>0.943478260869565</v>
      </c>
      <c r="N1646" s="74">
        <v>0.9</v>
      </c>
      <c r="O1646" s="72">
        <v>0.992154065620542</v>
      </c>
      <c r="P1646" s="72">
        <v>0.984089101034208</v>
      </c>
      <c r="Q1646" s="72">
        <v>0.961642355483522</v>
      </c>
      <c r="R1646" s="72">
        <v>0.950678359943033</v>
      </c>
      <c r="S1646" s="74">
        <v>0.9</v>
      </c>
      <c r="T1646" s="72">
        <v>0.823823109843081</v>
      </c>
      <c r="U1646" s="72">
        <v>0.862370723945903</v>
      </c>
      <c r="V1646" s="72">
        <v>0.809292274446245</v>
      </c>
      <c r="W1646" s="72">
        <v>0.690053219398846</v>
      </c>
      <c r="X1646" s="74">
        <v>0.92</v>
      </c>
      <c r="Y1646" s="74">
        <v>0.828345070422535</v>
      </c>
      <c r="Z1646" s="74">
        <v>0.812837837837838</v>
      </c>
      <c r="AA1646" s="74">
        <v>0.860288534548216</v>
      </c>
      <c r="AB1646" s="74">
        <v>0.853222603358007</v>
      </c>
      <c r="AC1646" s="74">
        <v>0.92</v>
      </c>
      <c r="AD1646" s="72">
        <v>0.529411764705882</v>
      </c>
      <c r="AE1646" s="72">
        <v>0.625</v>
      </c>
      <c r="AF1646" s="72">
        <v>1</v>
      </c>
      <c r="AG1646" s="72">
        <v>0.805970149253731</v>
      </c>
      <c r="AH1646" s="74">
        <v>0.92</v>
      </c>
      <c r="AI1646" s="72">
        <v>0.876674546887313</v>
      </c>
      <c r="AJ1646" s="72">
        <v>0.871439006574142</v>
      </c>
      <c r="AK1646" s="72">
        <v>0.91516871649322</v>
      </c>
      <c r="AL1646" s="72">
        <v>0.902848256670486</v>
      </c>
      <c r="AM1646" s="71">
        <v>0.99</v>
      </c>
      <c r="AN1646" s="76">
        <v>0</v>
      </c>
      <c r="AO1646" s="76">
        <v>0</v>
      </c>
      <c r="AP1646" s="76">
        <v>1</v>
      </c>
      <c r="AQ1646" s="76">
        <v>1</v>
      </c>
      <c r="AR1646" s="96">
        <v>0.110069253262963</v>
      </c>
      <c r="AS1646" s="80">
        <v>0</v>
      </c>
      <c r="AT1646" s="80">
        <v>0.0666666666666667</v>
      </c>
      <c r="AU1646" s="80">
        <v>0.0714285714285714</v>
      </c>
      <c r="AV1646" s="80">
        <v>0.0523255813953488</v>
      </c>
      <c r="AW1646" s="36"/>
      <c r="AX1646" s="34"/>
    </row>
    <row r="1647" ht="14.5" spans="1:50">
      <c r="A1647" s="32"/>
      <c r="B1647" s="36"/>
      <c r="C1647" s="91" t="s">
        <v>1473</v>
      </c>
      <c r="D1647" s="69" t="s">
        <v>27</v>
      </c>
      <c r="E1647" s="107" t="s">
        <v>1696</v>
      </c>
      <c r="F1647" s="107" t="s">
        <v>1696</v>
      </c>
      <c r="G1647" s="107" t="s">
        <v>1696</v>
      </c>
      <c r="H1647" s="107" t="s">
        <v>1696</v>
      </c>
      <c r="I1647" s="71">
        <v>0.9</v>
      </c>
      <c r="J1647" s="72">
        <v>0.956521739130435</v>
      </c>
      <c r="K1647" s="72">
        <v>0.928571428571429</v>
      </c>
      <c r="L1647" s="73">
        <v>1</v>
      </c>
      <c r="M1647" s="72">
        <v>0.96</v>
      </c>
      <c r="N1647" s="74">
        <v>0.9</v>
      </c>
      <c r="O1647" s="72">
        <v>0.976175931582163</v>
      </c>
      <c r="P1647" s="72">
        <v>0.971371504660453</v>
      </c>
      <c r="Q1647" s="72">
        <v>0.965363681345868</v>
      </c>
      <c r="R1647" s="72">
        <v>0.968424396442185</v>
      </c>
      <c r="S1647" s="74">
        <v>0.9</v>
      </c>
      <c r="T1647" s="72">
        <v>0.522296884544899</v>
      </c>
      <c r="U1647" s="72">
        <v>0.64647137150466</v>
      </c>
      <c r="V1647" s="72">
        <v>0.663532904502721</v>
      </c>
      <c r="W1647" s="72">
        <v>0.596569250317662</v>
      </c>
      <c r="X1647" s="74">
        <v>0.92</v>
      </c>
      <c r="Y1647" s="74">
        <v>0.510586319218241</v>
      </c>
      <c r="Z1647" s="74">
        <v>0.784083898827884</v>
      </c>
      <c r="AA1647" s="74">
        <v>0.794889038332212</v>
      </c>
      <c r="AB1647" s="74">
        <v>0.725395904153884</v>
      </c>
      <c r="AC1647" s="74">
        <v>0.92</v>
      </c>
      <c r="AD1647" s="72">
        <v>0</v>
      </c>
      <c r="AE1647" s="72">
        <v>0.75</v>
      </c>
      <c r="AF1647" s="72">
        <v>0.166666666666667</v>
      </c>
      <c r="AG1647" s="72">
        <v>0.5234375</v>
      </c>
      <c r="AH1647" s="74">
        <v>0.92</v>
      </c>
      <c r="AI1647" s="72">
        <v>0.639092495636998</v>
      </c>
      <c r="AJ1647" s="72">
        <v>0.830345710627401</v>
      </c>
      <c r="AK1647" s="72">
        <v>0.868586088939567</v>
      </c>
      <c r="AL1647" s="72">
        <v>0.804566702624955</v>
      </c>
      <c r="AM1647" s="71">
        <v>0.99</v>
      </c>
      <c r="AN1647" s="76">
        <v>1</v>
      </c>
      <c r="AO1647" s="76">
        <v>1</v>
      </c>
      <c r="AP1647" s="76">
        <v>1</v>
      </c>
      <c r="AQ1647" s="76">
        <v>1</v>
      </c>
      <c r="AR1647" s="96">
        <v>0.110069253262963</v>
      </c>
      <c r="AS1647" s="80">
        <v>0.176470588235294</v>
      </c>
      <c r="AT1647" s="80">
        <v>0.0526315789473684</v>
      </c>
      <c r="AU1647" s="80">
        <v>0.12</v>
      </c>
      <c r="AV1647" s="80">
        <v>0.0625</v>
      </c>
      <c r="AW1647" s="36"/>
      <c r="AX1647" s="34"/>
    </row>
    <row r="1648" ht="14.5" spans="1:50">
      <c r="A1648" s="32"/>
      <c r="B1648" s="36"/>
      <c r="C1648" s="91" t="s">
        <v>1473</v>
      </c>
      <c r="D1648" s="69" t="s">
        <v>27</v>
      </c>
      <c r="E1648" s="107" t="s">
        <v>1697</v>
      </c>
      <c r="F1648" s="107" t="s">
        <v>1697</v>
      </c>
      <c r="G1648" s="107" t="s">
        <v>1697</v>
      </c>
      <c r="H1648" s="107" t="s">
        <v>1697</v>
      </c>
      <c r="I1648" s="71">
        <v>0.9</v>
      </c>
      <c r="J1648" s="72">
        <v>0.84</v>
      </c>
      <c r="K1648" s="72">
        <v>0.84</v>
      </c>
      <c r="L1648" s="73">
        <v>0.925925925925926</v>
      </c>
      <c r="M1648" s="72">
        <v>0.930612244897959</v>
      </c>
      <c r="N1648" s="74">
        <v>0.9</v>
      </c>
      <c r="O1648" s="72">
        <v>0.582247736807242</v>
      </c>
      <c r="P1648" s="72">
        <v>0.753174603174603</v>
      </c>
      <c r="Q1648" s="72">
        <v>0.80327868852459</v>
      </c>
      <c r="R1648" s="72">
        <v>0.770380359993395</v>
      </c>
      <c r="S1648" s="74">
        <v>0.9</v>
      </c>
      <c r="T1648" s="72">
        <v>0.599249282402296</v>
      </c>
      <c r="U1648" s="72">
        <v>0.652645502645503</v>
      </c>
      <c r="V1648" s="72">
        <v>0.669150521609538</v>
      </c>
      <c r="W1648" s="72">
        <v>0.622254637529587</v>
      </c>
      <c r="X1648" s="74">
        <v>0.92</v>
      </c>
      <c r="Y1648" s="74">
        <v>1</v>
      </c>
      <c r="Z1648" s="74">
        <v>0</v>
      </c>
      <c r="AA1648" s="74">
        <v>0</v>
      </c>
      <c r="AB1648" s="74">
        <v>0.0185185185185185</v>
      </c>
      <c r="AC1648" s="74">
        <v>0.92</v>
      </c>
      <c r="AD1648" s="72">
        <v>1</v>
      </c>
      <c r="AE1648" s="72">
        <v>0.837837837837838</v>
      </c>
      <c r="AF1648" s="72">
        <v>1</v>
      </c>
      <c r="AG1648" s="72">
        <v>0.970501474926254</v>
      </c>
      <c r="AH1648" s="74">
        <v>0.92</v>
      </c>
      <c r="AI1648" s="72">
        <v>0.840618101545254</v>
      </c>
      <c r="AJ1648" s="72">
        <v>0.875956716811824</v>
      </c>
      <c r="AK1648" s="72">
        <v>0.903486394557823</v>
      </c>
      <c r="AL1648" s="72">
        <v>0.878478995521609</v>
      </c>
      <c r="AM1648" s="71">
        <v>0.99</v>
      </c>
      <c r="AN1648" s="76">
        <v>0</v>
      </c>
      <c r="AO1648" s="76">
        <v>1</v>
      </c>
      <c r="AP1648" s="76">
        <v>1</v>
      </c>
      <c r="AQ1648" s="76">
        <v>1</v>
      </c>
      <c r="AR1648" s="96">
        <v>0.110069253262963</v>
      </c>
      <c r="AS1648" s="80">
        <v>0.0869565217391304</v>
      </c>
      <c r="AT1648" s="80">
        <v>0.137931034482759</v>
      </c>
      <c r="AU1648" s="80">
        <v>0.05</v>
      </c>
      <c r="AV1648" s="80">
        <v>0.0899470899470899</v>
      </c>
      <c r="AW1648" s="36"/>
      <c r="AX1648" s="34"/>
    </row>
    <row r="1649" ht="14.5" spans="1:50">
      <c r="A1649" s="32"/>
      <c r="B1649" s="36"/>
      <c r="C1649" s="91" t="s">
        <v>1473</v>
      </c>
      <c r="D1649" s="69" t="s">
        <v>27</v>
      </c>
      <c r="E1649" s="107" t="s">
        <v>1698</v>
      </c>
      <c r="F1649" s="107" t="s">
        <v>1698</v>
      </c>
      <c r="G1649" s="107" t="s">
        <v>1698</v>
      </c>
      <c r="H1649" s="107" t="s">
        <v>1698</v>
      </c>
      <c r="I1649" s="71">
        <v>0.9</v>
      </c>
      <c r="J1649" s="72">
        <v>0.911764705882353</v>
      </c>
      <c r="K1649" s="72">
        <v>0.974358974358974</v>
      </c>
      <c r="L1649" s="73">
        <v>0.945945945945946</v>
      </c>
      <c r="M1649" s="72">
        <v>0.947368421052632</v>
      </c>
      <c r="N1649" s="74">
        <v>0.9</v>
      </c>
      <c r="O1649" s="72">
        <v>0.962302391568707</v>
      </c>
      <c r="P1649" s="72">
        <v>0.95608417200366</v>
      </c>
      <c r="Q1649" s="72">
        <v>0.965505913272011</v>
      </c>
      <c r="R1649" s="72">
        <v>0.945420272470225</v>
      </c>
      <c r="S1649" s="74">
        <v>0.9</v>
      </c>
      <c r="T1649" s="72">
        <v>0.406566680178354</v>
      </c>
      <c r="U1649" s="72">
        <v>0.502287282708143</v>
      </c>
      <c r="V1649" s="72">
        <v>0.540735873850197</v>
      </c>
      <c r="W1649" s="72">
        <v>0.437794533459001</v>
      </c>
      <c r="X1649" s="74">
        <v>0.92</v>
      </c>
      <c r="Y1649" s="74">
        <v>0.632097334878331</v>
      </c>
      <c r="Z1649" s="74">
        <v>0.727272727272727</v>
      </c>
      <c r="AA1649" s="74">
        <v>0.770562770562771</v>
      </c>
      <c r="AB1649" s="74">
        <v>0.667196136984561</v>
      </c>
      <c r="AC1649" s="74">
        <v>0.92</v>
      </c>
      <c r="AD1649" s="72">
        <v>1</v>
      </c>
      <c r="AE1649" s="72">
        <v>1</v>
      </c>
      <c r="AF1649" s="72">
        <v>0.857142857142857</v>
      </c>
      <c r="AG1649" s="72">
        <v>0.921951219512195</v>
      </c>
      <c r="AH1649" s="74">
        <v>0.92</v>
      </c>
      <c r="AI1649" s="72">
        <v>0.719360991893181</v>
      </c>
      <c r="AJ1649" s="72">
        <v>0.785698666083534</v>
      </c>
      <c r="AK1649" s="72">
        <v>0.84640522875817</v>
      </c>
      <c r="AL1649" s="72">
        <v>0.768811843215464</v>
      </c>
      <c r="AM1649" s="71">
        <v>0.99</v>
      </c>
      <c r="AN1649" s="76">
        <v>0</v>
      </c>
      <c r="AO1649" s="76">
        <v>0</v>
      </c>
      <c r="AP1649" s="76">
        <v>0</v>
      </c>
      <c r="AQ1649" s="76">
        <v>1</v>
      </c>
      <c r="AR1649" s="96">
        <v>0.110069253262963</v>
      </c>
      <c r="AS1649" s="80">
        <v>0.176470588235294</v>
      </c>
      <c r="AT1649" s="80">
        <v>0.0294117647058824</v>
      </c>
      <c r="AU1649" s="80">
        <v>0.0689655172413793</v>
      </c>
      <c r="AV1649" s="80">
        <v>0.0855855855855856</v>
      </c>
      <c r="AW1649" s="36"/>
      <c r="AX1649" s="34"/>
    </row>
    <row r="1650" ht="14.5" spans="1:50">
      <c r="A1650" s="32"/>
      <c r="B1650" s="36"/>
      <c r="C1650" s="91" t="s">
        <v>1473</v>
      </c>
      <c r="D1650" s="69" t="s">
        <v>27</v>
      </c>
      <c r="E1650" s="107" t="s">
        <v>1699</v>
      </c>
      <c r="F1650" s="107" t="s">
        <v>1699</v>
      </c>
      <c r="G1650" s="107" t="s">
        <v>1699</v>
      </c>
      <c r="H1650" s="107" t="s">
        <v>1699</v>
      </c>
      <c r="I1650" s="71">
        <v>0.9</v>
      </c>
      <c r="J1650" s="72">
        <v>0.828571428571429</v>
      </c>
      <c r="K1650" s="72">
        <v>0.911764705882353</v>
      </c>
      <c r="L1650" s="73">
        <v>0.921052631578947</v>
      </c>
      <c r="M1650" s="72">
        <v>0.867069486404834</v>
      </c>
      <c r="N1650" s="74">
        <v>0.9</v>
      </c>
      <c r="O1650" s="72">
        <v>0.872749653792891</v>
      </c>
      <c r="P1650" s="72">
        <v>0.976778474014007</v>
      </c>
      <c r="Q1650" s="72">
        <v>0.85337772229158</v>
      </c>
      <c r="R1650" s="72">
        <v>0.896976253987204</v>
      </c>
      <c r="S1650" s="74">
        <v>0.9</v>
      </c>
      <c r="T1650" s="72">
        <v>0.702415756270195</v>
      </c>
      <c r="U1650" s="72">
        <v>0.774235164025065</v>
      </c>
      <c r="V1650" s="72">
        <v>0.799972256901096</v>
      </c>
      <c r="W1650" s="72">
        <v>0.731761457964148</v>
      </c>
      <c r="X1650" s="74">
        <v>0.92</v>
      </c>
      <c r="Y1650" s="74">
        <v>0</v>
      </c>
      <c r="Z1650" s="74">
        <v>0</v>
      </c>
      <c r="AA1650" s="74">
        <v>0</v>
      </c>
      <c r="AB1650" s="74">
        <v>0</v>
      </c>
      <c r="AC1650" s="74">
        <v>0.92</v>
      </c>
      <c r="AD1650" s="72">
        <v>1</v>
      </c>
      <c r="AE1650" s="72">
        <v>0.866666666666667</v>
      </c>
      <c r="AF1650" s="72">
        <v>0.972972972972973</v>
      </c>
      <c r="AG1650" s="72">
        <v>0.929539295392954</v>
      </c>
      <c r="AH1650" s="74">
        <v>0.92</v>
      </c>
      <c r="AI1650" s="72">
        <v>0.898815931108719</v>
      </c>
      <c r="AJ1650" s="72">
        <v>0.922807663964628</v>
      </c>
      <c r="AK1650" s="72">
        <v>0.933693993619087</v>
      </c>
      <c r="AL1650" s="72">
        <v>0.942761759110746</v>
      </c>
      <c r="AM1650" s="71">
        <v>0.99</v>
      </c>
      <c r="AN1650" s="76">
        <v>1</v>
      </c>
      <c r="AO1650" s="76">
        <v>0</v>
      </c>
      <c r="AP1650" s="76">
        <v>1</v>
      </c>
      <c r="AQ1650" s="76">
        <v>1</v>
      </c>
      <c r="AR1650" s="96">
        <v>0.110069253262963</v>
      </c>
      <c r="AS1650" s="80">
        <v>0.12</v>
      </c>
      <c r="AT1650" s="80">
        <v>0.0588235294117647</v>
      </c>
      <c r="AU1650" s="80">
        <v>0.0555555555555556</v>
      </c>
      <c r="AV1650" s="80">
        <v>0.0929368029739777</v>
      </c>
      <c r="AW1650" s="36"/>
      <c r="AX1650" s="34"/>
    </row>
    <row r="1651" ht="14.5" spans="1:50">
      <c r="A1651" s="32"/>
      <c r="B1651" s="36"/>
      <c r="C1651" s="91" t="s">
        <v>1473</v>
      </c>
      <c r="D1651" s="69" t="s">
        <v>27</v>
      </c>
      <c r="E1651" s="107" t="s">
        <v>1700</v>
      </c>
      <c r="F1651" s="107" t="s">
        <v>1700</v>
      </c>
      <c r="G1651" s="107" t="s">
        <v>1700</v>
      </c>
      <c r="H1651" s="107" t="s">
        <v>1700</v>
      </c>
      <c r="I1651" s="71">
        <v>0.9</v>
      </c>
      <c r="J1651" s="72">
        <v>0.833333333333333</v>
      </c>
      <c r="K1651" s="72">
        <v>0.75</v>
      </c>
      <c r="L1651" s="73">
        <v>0.85</v>
      </c>
      <c r="M1651" s="72">
        <v>0.828651685393258</v>
      </c>
      <c r="N1651" s="74">
        <v>0.9</v>
      </c>
      <c r="O1651" s="72">
        <v>0.980891719745223</v>
      </c>
      <c r="P1651" s="72">
        <v>0.988262608022701</v>
      </c>
      <c r="Q1651" s="72">
        <v>0.983159722222222</v>
      </c>
      <c r="R1651" s="72">
        <v>0.986168814094136</v>
      </c>
      <c r="S1651" s="74">
        <v>0.9</v>
      </c>
      <c r="T1651" s="72">
        <v>0.831210191082803</v>
      </c>
      <c r="U1651" s="72">
        <v>0.87088868824971</v>
      </c>
      <c r="V1651" s="72">
        <v>0.889756944444444</v>
      </c>
      <c r="W1651" s="72">
        <v>0.889525812954685</v>
      </c>
      <c r="X1651" s="74">
        <v>0.92</v>
      </c>
      <c r="Y1651" s="74">
        <v>0</v>
      </c>
      <c r="Z1651" s="74">
        <v>0</v>
      </c>
      <c r="AA1651" s="74">
        <v>0</v>
      </c>
      <c r="AB1651" s="74">
        <v>0</v>
      </c>
      <c r="AC1651" s="74">
        <v>0.92</v>
      </c>
      <c r="AD1651" s="72">
        <v>1</v>
      </c>
      <c r="AE1651" s="72">
        <v>1</v>
      </c>
      <c r="AF1651" s="72">
        <v>0.4</v>
      </c>
      <c r="AG1651" s="72">
        <v>0.954545454545455</v>
      </c>
      <c r="AH1651" s="74">
        <v>0.92</v>
      </c>
      <c r="AI1651" s="72">
        <v>0.906134763660744</v>
      </c>
      <c r="AJ1651" s="72">
        <v>0.944150651360764</v>
      </c>
      <c r="AK1651" s="72">
        <v>0.962526023594726</v>
      </c>
      <c r="AL1651" s="72">
        <v>0.956882197255184</v>
      </c>
      <c r="AM1651" s="71">
        <v>0.99</v>
      </c>
      <c r="AN1651" s="76">
        <v>0</v>
      </c>
      <c r="AO1651" s="76">
        <v>0</v>
      </c>
      <c r="AP1651" s="76">
        <v>0</v>
      </c>
      <c r="AQ1651" s="76">
        <v>0</v>
      </c>
      <c r="AR1651" s="96">
        <v>0.110069253262963</v>
      </c>
      <c r="AS1651" s="80">
        <v>0.0232558139534884</v>
      </c>
      <c r="AT1651" s="80">
        <v>0.027027027027027</v>
      </c>
      <c r="AU1651" s="80">
        <v>0.075</v>
      </c>
      <c r="AV1651" s="80">
        <v>0.0551948051948052</v>
      </c>
      <c r="AW1651" s="36"/>
      <c r="AX1651" s="34"/>
    </row>
    <row r="1652" ht="14.5" spans="1:50">
      <c r="A1652" s="32"/>
      <c r="B1652" s="36"/>
      <c r="C1652" s="91" t="s">
        <v>1473</v>
      </c>
      <c r="D1652" s="69" t="s">
        <v>27</v>
      </c>
      <c r="E1652" s="107" t="s">
        <v>1701</v>
      </c>
      <c r="F1652" s="107" t="s">
        <v>1701</v>
      </c>
      <c r="G1652" s="107" t="s">
        <v>1701</v>
      </c>
      <c r="H1652" s="107" t="s">
        <v>1701</v>
      </c>
      <c r="I1652" s="71">
        <v>0.9</v>
      </c>
      <c r="J1652" s="72">
        <v>0.896551724137931</v>
      </c>
      <c r="K1652" s="72">
        <v>0.939393939393939</v>
      </c>
      <c r="L1652" s="73">
        <v>0.971428571428571</v>
      </c>
      <c r="M1652" s="72">
        <v>0.933962264150943</v>
      </c>
      <c r="N1652" s="74">
        <v>0.9</v>
      </c>
      <c r="O1652" s="72">
        <v>0.975576662143826</v>
      </c>
      <c r="P1652" s="72">
        <v>0.971153846153846</v>
      </c>
      <c r="Q1652" s="72">
        <v>0.973941368078176</v>
      </c>
      <c r="R1652" s="72">
        <v>0.970769014216675</v>
      </c>
      <c r="S1652" s="74">
        <v>0.9</v>
      </c>
      <c r="T1652" s="72">
        <v>0.71370420624152</v>
      </c>
      <c r="U1652" s="72">
        <v>0.800607287449393</v>
      </c>
      <c r="V1652" s="72">
        <v>0.790445168295331</v>
      </c>
      <c r="W1652" s="72">
        <v>0.73072772486276</v>
      </c>
      <c r="X1652" s="74">
        <v>0.92</v>
      </c>
      <c r="Y1652" s="74">
        <v>0.862022772940388</v>
      </c>
      <c r="Z1652" s="74">
        <v>0.909305621162022</v>
      </c>
      <c r="AA1652" s="74">
        <v>0.906819364914107</v>
      </c>
      <c r="AB1652" s="74">
        <v>0.910094637223975</v>
      </c>
      <c r="AC1652" s="74">
        <v>0.92</v>
      </c>
      <c r="AD1652" s="72">
        <v>1</v>
      </c>
      <c r="AE1652" s="72">
        <v>1</v>
      </c>
      <c r="AF1652" s="72">
        <v>0.982758620689655</v>
      </c>
      <c r="AG1652" s="72">
        <v>0.999400838825644</v>
      </c>
      <c r="AH1652" s="74">
        <v>0.92</v>
      </c>
      <c r="AI1652" s="72">
        <v>0.873650107991361</v>
      </c>
      <c r="AJ1652" s="72">
        <v>0.930141670737665</v>
      </c>
      <c r="AK1652" s="72">
        <v>0.936379163108454</v>
      </c>
      <c r="AL1652" s="72">
        <v>0.929079761318224</v>
      </c>
      <c r="AM1652" s="71">
        <v>0.99</v>
      </c>
      <c r="AN1652" s="76">
        <v>0</v>
      </c>
      <c r="AO1652" s="76">
        <v>0</v>
      </c>
      <c r="AP1652" s="76">
        <v>0</v>
      </c>
      <c r="AQ1652" s="76">
        <v>1</v>
      </c>
      <c r="AR1652" s="96">
        <v>0.110069253262963</v>
      </c>
      <c r="AS1652" s="80">
        <v>0.111111111111111</v>
      </c>
      <c r="AT1652" s="80">
        <v>0.0277777777777778</v>
      </c>
      <c r="AU1652" s="80">
        <v>0.09375</v>
      </c>
      <c r="AV1652" s="80">
        <v>0.1003861003861</v>
      </c>
      <c r="AW1652" s="36"/>
      <c r="AX1652" s="34"/>
    </row>
    <row r="1653" ht="14.5" spans="1:50">
      <c r="A1653" s="32"/>
      <c r="B1653" s="36"/>
      <c r="C1653" s="91" t="s">
        <v>1473</v>
      </c>
      <c r="D1653" s="69" t="s">
        <v>27</v>
      </c>
      <c r="E1653" s="107" t="s">
        <v>1702</v>
      </c>
      <c r="F1653" s="107" t="s">
        <v>1702</v>
      </c>
      <c r="G1653" s="107" t="s">
        <v>1702</v>
      </c>
      <c r="H1653" s="107" t="s">
        <v>1702</v>
      </c>
      <c r="I1653" s="71">
        <v>0.9</v>
      </c>
      <c r="J1653" s="72">
        <v>1</v>
      </c>
      <c r="K1653" s="72">
        <v>1</v>
      </c>
      <c r="L1653" s="73">
        <v>1</v>
      </c>
      <c r="M1653" s="72">
        <v>0.98813056379822</v>
      </c>
      <c r="N1653" s="74">
        <v>0.9</v>
      </c>
      <c r="O1653" s="72">
        <v>0.989256938227395</v>
      </c>
      <c r="P1653" s="72">
        <v>0.995064165844028</v>
      </c>
      <c r="Q1653" s="72">
        <v>0.98750743604997</v>
      </c>
      <c r="R1653" s="72">
        <v>0.991825768835029</v>
      </c>
      <c r="S1653" s="74">
        <v>0.9</v>
      </c>
      <c r="T1653" s="72">
        <v>0.921217547000895</v>
      </c>
      <c r="U1653" s="72">
        <v>0.97137216189536</v>
      </c>
      <c r="V1653" s="72">
        <v>0.930993456276026</v>
      </c>
      <c r="W1653" s="72">
        <v>0.945295529895964</v>
      </c>
      <c r="X1653" s="74">
        <v>0.92</v>
      </c>
      <c r="Y1653" s="74">
        <v>0.875816993464052</v>
      </c>
      <c r="Z1653" s="74">
        <v>0.95160517489219</v>
      </c>
      <c r="AA1653" s="74">
        <v>0.935045317220544</v>
      </c>
      <c r="AB1653" s="74">
        <v>0.940219865998829</v>
      </c>
      <c r="AC1653" s="74">
        <v>0.92</v>
      </c>
      <c r="AD1653" s="72">
        <v>1</v>
      </c>
      <c r="AE1653" s="72">
        <v>1</v>
      </c>
      <c r="AF1653" s="72">
        <v>1</v>
      </c>
      <c r="AG1653" s="72">
        <v>1</v>
      </c>
      <c r="AH1653" s="74">
        <v>0.92</v>
      </c>
      <c r="AI1653" s="72">
        <v>0.917028338013786</v>
      </c>
      <c r="AJ1653" s="72">
        <v>0.969372873116189</v>
      </c>
      <c r="AK1653" s="72">
        <v>0.954076539101497</v>
      </c>
      <c r="AL1653" s="72">
        <v>0.959356271485504</v>
      </c>
      <c r="AM1653" s="71">
        <v>0.99</v>
      </c>
      <c r="AN1653" s="76">
        <v>1</v>
      </c>
      <c r="AO1653" s="76">
        <v>1</v>
      </c>
      <c r="AP1653" s="76">
        <v>1</v>
      </c>
      <c r="AQ1653" s="76">
        <v>1</v>
      </c>
      <c r="AR1653" s="96">
        <v>0.110069253262963</v>
      </c>
      <c r="AS1653" s="80">
        <v>0.0416666666666667</v>
      </c>
      <c r="AT1653" s="80">
        <v>0</v>
      </c>
      <c r="AU1653" s="80">
        <v>0.135135135135135</v>
      </c>
      <c r="AV1653" s="80">
        <v>0.0780669144981413</v>
      </c>
      <c r="AW1653" s="36"/>
      <c r="AX1653" s="34"/>
    </row>
    <row r="1654" ht="14.5" spans="1:50">
      <c r="A1654" s="32"/>
      <c r="B1654" s="36"/>
      <c r="C1654" s="91" t="s">
        <v>1473</v>
      </c>
      <c r="D1654" s="69" t="s">
        <v>27</v>
      </c>
      <c r="E1654" s="107" t="s">
        <v>1703</v>
      </c>
      <c r="F1654" s="107" t="s">
        <v>1703</v>
      </c>
      <c r="G1654" s="107" t="s">
        <v>1703</v>
      </c>
      <c r="H1654" s="107" t="s">
        <v>1703</v>
      </c>
      <c r="I1654" s="71">
        <v>0.9</v>
      </c>
      <c r="J1654" s="72">
        <v>0</v>
      </c>
      <c r="K1654" s="72">
        <v>0</v>
      </c>
      <c r="L1654" s="73">
        <v>0</v>
      </c>
      <c r="M1654" s="72">
        <v>0</v>
      </c>
      <c r="N1654" s="74">
        <v>0.9</v>
      </c>
      <c r="O1654" s="72">
        <v>0</v>
      </c>
      <c r="P1654" s="72">
        <v>0</v>
      </c>
      <c r="Q1654" s="72">
        <v>0</v>
      </c>
      <c r="R1654" s="72">
        <v>0</v>
      </c>
      <c r="S1654" s="74">
        <v>0.9</v>
      </c>
      <c r="T1654" s="72">
        <v>0</v>
      </c>
      <c r="U1654" s="72">
        <v>0</v>
      </c>
      <c r="V1654" s="72">
        <v>0</v>
      </c>
      <c r="W1654" s="72">
        <v>0</v>
      </c>
      <c r="X1654" s="74">
        <v>0.92</v>
      </c>
      <c r="Y1654" s="74">
        <v>0</v>
      </c>
      <c r="Z1654" s="74">
        <v>0</v>
      </c>
      <c r="AA1654" s="74">
        <v>0</v>
      </c>
      <c r="AB1654" s="74">
        <v>0</v>
      </c>
      <c r="AC1654" s="74">
        <v>0.92</v>
      </c>
      <c r="AD1654" s="72">
        <v>0</v>
      </c>
      <c r="AE1654" s="72">
        <v>0</v>
      </c>
      <c r="AF1654" s="72">
        <v>0</v>
      </c>
      <c r="AG1654" s="72">
        <v>0</v>
      </c>
      <c r="AH1654" s="74">
        <v>0.92</v>
      </c>
      <c r="AI1654" s="72">
        <v>0</v>
      </c>
      <c r="AJ1654" s="72">
        <v>0</v>
      </c>
      <c r="AK1654" s="72">
        <v>0</v>
      </c>
      <c r="AL1654" s="72">
        <v>0</v>
      </c>
      <c r="AM1654" s="71">
        <v>0.99</v>
      </c>
      <c r="AN1654" s="76">
        <v>0</v>
      </c>
      <c r="AO1654" s="76">
        <v>0</v>
      </c>
      <c r="AP1654" s="76">
        <v>0</v>
      </c>
      <c r="AQ1654" s="76">
        <v>0</v>
      </c>
      <c r="AR1654" s="96">
        <v>0.110069253262963</v>
      </c>
      <c r="AS1654" s="80">
        <v>0</v>
      </c>
      <c r="AT1654" s="80">
        <v>0</v>
      </c>
      <c r="AU1654" s="80">
        <v>0</v>
      </c>
      <c r="AV1654" s="80">
        <v>0</v>
      </c>
      <c r="AW1654" s="36"/>
      <c r="AX1654" s="34"/>
    </row>
    <row r="1655" ht="14.5" spans="1:50">
      <c r="A1655" s="32"/>
      <c r="B1655" s="36"/>
      <c r="C1655" s="91" t="s">
        <v>1473</v>
      </c>
      <c r="D1655" s="69" t="s">
        <v>27</v>
      </c>
      <c r="E1655" s="107" t="s">
        <v>1704</v>
      </c>
      <c r="F1655" s="107" t="s">
        <v>1704</v>
      </c>
      <c r="G1655" s="107" t="s">
        <v>1704</v>
      </c>
      <c r="H1655" s="107" t="s">
        <v>1704</v>
      </c>
      <c r="I1655" s="71">
        <v>0.9</v>
      </c>
      <c r="J1655" s="72">
        <v>0</v>
      </c>
      <c r="K1655" s="72">
        <v>0</v>
      </c>
      <c r="L1655" s="73">
        <v>0</v>
      </c>
      <c r="M1655" s="72">
        <v>0</v>
      </c>
      <c r="N1655" s="74">
        <v>0.9</v>
      </c>
      <c r="O1655" s="72">
        <v>0</v>
      </c>
      <c r="P1655" s="72">
        <v>0</v>
      </c>
      <c r="Q1655" s="72">
        <v>0</v>
      </c>
      <c r="R1655" s="72">
        <v>0</v>
      </c>
      <c r="S1655" s="74">
        <v>0.9</v>
      </c>
      <c r="T1655" s="72">
        <v>0</v>
      </c>
      <c r="U1655" s="72">
        <v>0</v>
      </c>
      <c r="V1655" s="72">
        <v>0</v>
      </c>
      <c r="W1655" s="72">
        <v>0</v>
      </c>
      <c r="X1655" s="74">
        <v>0.92</v>
      </c>
      <c r="Y1655" s="74">
        <v>0</v>
      </c>
      <c r="Z1655" s="74">
        <v>0</v>
      </c>
      <c r="AA1655" s="74">
        <v>0</v>
      </c>
      <c r="AB1655" s="74">
        <v>0</v>
      </c>
      <c r="AC1655" s="74">
        <v>0.92</v>
      </c>
      <c r="AD1655" s="72">
        <v>0</v>
      </c>
      <c r="AE1655" s="72">
        <v>0</v>
      </c>
      <c r="AF1655" s="72">
        <v>0</v>
      </c>
      <c r="AG1655" s="72">
        <v>0</v>
      </c>
      <c r="AH1655" s="74">
        <v>0.92</v>
      </c>
      <c r="AI1655" s="72">
        <v>0</v>
      </c>
      <c r="AJ1655" s="72">
        <v>0</v>
      </c>
      <c r="AK1655" s="72">
        <v>0</v>
      </c>
      <c r="AL1655" s="72">
        <v>0</v>
      </c>
      <c r="AM1655" s="71">
        <v>0.99</v>
      </c>
      <c r="AN1655" s="76">
        <v>0</v>
      </c>
      <c r="AO1655" s="76">
        <v>0</v>
      </c>
      <c r="AP1655" s="76">
        <v>0</v>
      </c>
      <c r="AQ1655" s="76">
        <v>0</v>
      </c>
      <c r="AR1655" s="96">
        <v>0.110069253262963</v>
      </c>
      <c r="AS1655" s="80">
        <v>0</v>
      </c>
      <c r="AT1655" s="80">
        <v>0</v>
      </c>
      <c r="AU1655" s="80">
        <v>0</v>
      </c>
      <c r="AV1655" s="80">
        <v>0</v>
      </c>
      <c r="AW1655" s="36"/>
      <c r="AX1655" s="34"/>
    </row>
    <row r="1656" ht="14.5" spans="1:50">
      <c r="A1656" s="32"/>
      <c r="B1656" s="36"/>
      <c r="C1656" s="91" t="s">
        <v>1473</v>
      </c>
      <c r="D1656" s="69" t="s">
        <v>27</v>
      </c>
      <c r="E1656" s="107" t="s">
        <v>1705</v>
      </c>
      <c r="F1656" s="107" t="s">
        <v>1705</v>
      </c>
      <c r="G1656" s="107" t="s">
        <v>1705</v>
      </c>
      <c r="H1656" s="107" t="s">
        <v>1705</v>
      </c>
      <c r="I1656" s="71">
        <v>0.9</v>
      </c>
      <c r="J1656" s="72">
        <v>0</v>
      </c>
      <c r="K1656" s="72">
        <v>0</v>
      </c>
      <c r="L1656" s="73">
        <v>0</v>
      </c>
      <c r="M1656" s="72">
        <v>0</v>
      </c>
      <c r="N1656" s="74">
        <v>0.9</v>
      </c>
      <c r="O1656" s="72">
        <v>0</v>
      </c>
      <c r="P1656" s="72">
        <v>0</v>
      </c>
      <c r="Q1656" s="72">
        <v>0</v>
      </c>
      <c r="R1656" s="72">
        <v>0</v>
      </c>
      <c r="S1656" s="74">
        <v>0.9</v>
      </c>
      <c r="T1656" s="72">
        <v>0</v>
      </c>
      <c r="U1656" s="72">
        <v>0</v>
      </c>
      <c r="V1656" s="72">
        <v>0</v>
      </c>
      <c r="W1656" s="72">
        <v>0</v>
      </c>
      <c r="X1656" s="74">
        <v>0.92</v>
      </c>
      <c r="Y1656" s="74">
        <v>0</v>
      </c>
      <c r="Z1656" s="74">
        <v>0</v>
      </c>
      <c r="AA1656" s="74">
        <v>0</v>
      </c>
      <c r="AB1656" s="74">
        <v>0</v>
      </c>
      <c r="AC1656" s="74">
        <v>0.92</v>
      </c>
      <c r="AD1656" s="72">
        <v>0</v>
      </c>
      <c r="AE1656" s="72">
        <v>0</v>
      </c>
      <c r="AF1656" s="72">
        <v>0</v>
      </c>
      <c r="AG1656" s="72">
        <v>0</v>
      </c>
      <c r="AH1656" s="74">
        <v>0.92</v>
      </c>
      <c r="AI1656" s="72">
        <v>0</v>
      </c>
      <c r="AJ1656" s="72">
        <v>0</v>
      </c>
      <c r="AK1656" s="72">
        <v>0</v>
      </c>
      <c r="AL1656" s="72">
        <v>0</v>
      </c>
      <c r="AM1656" s="71">
        <v>0.99</v>
      </c>
      <c r="AN1656" s="76">
        <v>0</v>
      </c>
      <c r="AO1656" s="76">
        <v>0</v>
      </c>
      <c r="AP1656" s="76">
        <v>0</v>
      </c>
      <c r="AQ1656" s="76">
        <v>0</v>
      </c>
      <c r="AR1656" s="96">
        <v>0.110069253262963</v>
      </c>
      <c r="AS1656" s="80">
        <v>0</v>
      </c>
      <c r="AT1656" s="80">
        <v>0</v>
      </c>
      <c r="AU1656" s="80">
        <v>0</v>
      </c>
      <c r="AV1656" s="80">
        <v>0</v>
      </c>
      <c r="AW1656" s="36"/>
      <c r="AX1656" s="34"/>
    </row>
    <row r="1657" ht="14.5" spans="1:50">
      <c r="A1657" s="32"/>
      <c r="B1657" s="36"/>
      <c r="C1657" s="91" t="s">
        <v>1473</v>
      </c>
      <c r="D1657" s="69" t="s">
        <v>27</v>
      </c>
      <c r="E1657" s="107" t="s">
        <v>1706</v>
      </c>
      <c r="F1657" s="107" t="s">
        <v>1706</v>
      </c>
      <c r="G1657" s="107" t="s">
        <v>1706</v>
      </c>
      <c r="H1657" s="107" t="s">
        <v>1706</v>
      </c>
      <c r="I1657" s="71">
        <v>0.9</v>
      </c>
      <c r="J1657" s="72">
        <v>0.869565217391304</v>
      </c>
      <c r="K1657" s="72">
        <v>0.904761904761905</v>
      </c>
      <c r="L1657" s="73">
        <v>0.956521739130435</v>
      </c>
      <c r="M1657" s="72">
        <v>0.900473933649289</v>
      </c>
      <c r="N1657" s="74">
        <v>0.9</v>
      </c>
      <c r="O1657" s="72">
        <v>0.960655737704918</v>
      </c>
      <c r="P1657" s="72">
        <v>0.965273311897106</v>
      </c>
      <c r="Q1657" s="72">
        <v>0.960434782608696</v>
      </c>
      <c r="R1657" s="72">
        <v>0.966862733678877</v>
      </c>
      <c r="S1657" s="74">
        <v>0.9</v>
      </c>
      <c r="T1657" s="72">
        <v>0.689071038251366</v>
      </c>
      <c r="U1657" s="72">
        <v>0.67588424437299</v>
      </c>
      <c r="V1657" s="72">
        <v>0.71304347826087</v>
      </c>
      <c r="W1657" s="72">
        <v>0.661755285073671</v>
      </c>
      <c r="X1657" s="74">
        <v>0.92</v>
      </c>
      <c r="Y1657" s="74">
        <v>0.853823088455772</v>
      </c>
      <c r="Z1657" s="74">
        <v>0.900798175598632</v>
      </c>
      <c r="AA1657" s="74">
        <v>0.908969210174029</v>
      </c>
      <c r="AB1657" s="74">
        <v>0.901096319498825</v>
      </c>
      <c r="AC1657" s="74">
        <v>0.92</v>
      </c>
      <c r="AD1657" s="72">
        <v>0.813953488372093</v>
      </c>
      <c r="AE1657" s="72">
        <v>1</v>
      </c>
      <c r="AF1657" s="72">
        <v>1</v>
      </c>
      <c r="AG1657" s="72">
        <v>0.948936170212766</v>
      </c>
      <c r="AH1657" s="74">
        <v>0.92</v>
      </c>
      <c r="AI1657" s="72">
        <v>0.902970922882427</v>
      </c>
      <c r="AJ1657" s="72">
        <v>0.921171851404409</v>
      </c>
      <c r="AK1657" s="72">
        <v>0.92832674571805</v>
      </c>
      <c r="AL1657" s="72">
        <v>0.926348824786325</v>
      </c>
      <c r="AM1657" s="71">
        <v>0.99</v>
      </c>
      <c r="AN1657" s="76">
        <v>1</v>
      </c>
      <c r="AO1657" s="76">
        <v>1</v>
      </c>
      <c r="AP1657" s="76">
        <v>1</v>
      </c>
      <c r="AQ1657" s="76">
        <v>1</v>
      </c>
      <c r="AR1657" s="96">
        <v>0.110069253262963</v>
      </c>
      <c r="AS1657" s="80">
        <v>0.0384615384615385</v>
      </c>
      <c r="AT1657" s="80">
        <v>0.0625</v>
      </c>
      <c r="AU1657" s="80">
        <v>0</v>
      </c>
      <c r="AV1657" s="80">
        <v>0.0941704035874439</v>
      </c>
      <c r="AW1657" s="36"/>
      <c r="AX1657" s="34"/>
    </row>
    <row r="1658" ht="14.5" spans="1:50">
      <c r="A1658" s="32"/>
      <c r="B1658" s="36"/>
      <c r="C1658" s="91" t="s">
        <v>1473</v>
      </c>
      <c r="D1658" s="69" t="s">
        <v>27</v>
      </c>
      <c r="E1658" s="107" t="s">
        <v>1707</v>
      </c>
      <c r="F1658" s="107" t="s">
        <v>1707</v>
      </c>
      <c r="G1658" s="107" t="s">
        <v>1707</v>
      </c>
      <c r="H1658" s="107" t="s">
        <v>1707</v>
      </c>
      <c r="I1658" s="71">
        <v>0.9</v>
      </c>
      <c r="J1658" s="72">
        <v>0</v>
      </c>
      <c r="K1658" s="72">
        <v>0</v>
      </c>
      <c r="L1658" s="73">
        <v>0</v>
      </c>
      <c r="M1658" s="72">
        <v>0</v>
      </c>
      <c r="N1658" s="74">
        <v>0.9</v>
      </c>
      <c r="O1658" s="72">
        <v>0</v>
      </c>
      <c r="P1658" s="72">
        <v>0</v>
      </c>
      <c r="Q1658" s="72">
        <v>0</v>
      </c>
      <c r="R1658" s="72">
        <v>0</v>
      </c>
      <c r="S1658" s="74">
        <v>0.9</v>
      </c>
      <c r="T1658" s="72">
        <v>0</v>
      </c>
      <c r="U1658" s="72">
        <v>0</v>
      </c>
      <c r="V1658" s="72">
        <v>0</v>
      </c>
      <c r="W1658" s="72">
        <v>0</v>
      </c>
      <c r="X1658" s="74">
        <v>0.92</v>
      </c>
      <c r="Y1658" s="74">
        <v>0</v>
      </c>
      <c r="Z1658" s="74">
        <v>0</v>
      </c>
      <c r="AA1658" s="74">
        <v>0</v>
      </c>
      <c r="AB1658" s="74">
        <v>0</v>
      </c>
      <c r="AC1658" s="74">
        <v>0.92</v>
      </c>
      <c r="AD1658" s="72">
        <v>1</v>
      </c>
      <c r="AE1658" s="72">
        <v>1</v>
      </c>
      <c r="AF1658" s="72">
        <v>1</v>
      </c>
      <c r="AG1658" s="72">
        <v>0.998276456394347</v>
      </c>
      <c r="AH1658" s="74">
        <v>0.92</v>
      </c>
      <c r="AI1658" s="72">
        <v>0</v>
      </c>
      <c r="AJ1658" s="72">
        <v>0</v>
      </c>
      <c r="AK1658" s="72">
        <v>0</v>
      </c>
      <c r="AL1658" s="72">
        <v>0</v>
      </c>
      <c r="AM1658" s="71">
        <v>0.99</v>
      </c>
      <c r="AN1658" s="76">
        <v>1</v>
      </c>
      <c r="AO1658" s="76">
        <v>1</v>
      </c>
      <c r="AP1658" s="76">
        <v>1</v>
      </c>
      <c r="AQ1658" s="76">
        <v>1</v>
      </c>
      <c r="AR1658" s="96">
        <v>0.110069253262963</v>
      </c>
      <c r="AS1658" s="80">
        <v>0</v>
      </c>
      <c r="AT1658" s="80">
        <v>0</v>
      </c>
      <c r="AU1658" s="80">
        <v>0</v>
      </c>
      <c r="AV1658" s="80">
        <v>0</v>
      </c>
      <c r="AW1658" s="36"/>
      <c r="AX1658" s="34"/>
    </row>
    <row r="1659" ht="14.5" spans="1:50">
      <c r="A1659" s="32"/>
      <c r="B1659" s="36"/>
      <c r="C1659" s="91" t="s">
        <v>1473</v>
      </c>
      <c r="D1659" s="69" t="s">
        <v>27</v>
      </c>
      <c r="E1659" s="107" t="s">
        <v>1708</v>
      </c>
      <c r="F1659" s="107" t="s">
        <v>1708</v>
      </c>
      <c r="G1659" s="107" t="s">
        <v>1708</v>
      </c>
      <c r="H1659" s="107" t="s">
        <v>1708</v>
      </c>
      <c r="I1659" s="71">
        <v>0.9</v>
      </c>
      <c r="J1659" s="72">
        <v>0.681818181818182</v>
      </c>
      <c r="K1659" s="72">
        <v>0.757575757575758</v>
      </c>
      <c r="L1659" s="73">
        <v>0.794117647058823</v>
      </c>
      <c r="M1659" s="72">
        <v>0.766550522648084</v>
      </c>
      <c r="N1659" s="74">
        <v>0.9</v>
      </c>
      <c r="O1659" s="72">
        <v>0.97769368651663</v>
      </c>
      <c r="P1659" s="72">
        <v>0.97921034241789</v>
      </c>
      <c r="Q1659" s="72">
        <v>0.97936660268714</v>
      </c>
      <c r="R1659" s="72">
        <v>0.987173857780037</v>
      </c>
      <c r="S1659" s="74">
        <v>0.9</v>
      </c>
      <c r="T1659" s="72">
        <v>0.725751842262498</v>
      </c>
      <c r="U1659" s="72">
        <v>0.757337526205451</v>
      </c>
      <c r="V1659" s="72">
        <v>0.785028790786948</v>
      </c>
      <c r="W1659" s="72">
        <v>0.768690346883594</v>
      </c>
      <c r="X1659" s="74">
        <v>0.92</v>
      </c>
      <c r="Y1659" s="74">
        <v>0.2</v>
      </c>
      <c r="Z1659" s="74">
        <v>0</v>
      </c>
      <c r="AA1659" s="74">
        <v>0</v>
      </c>
      <c r="AB1659" s="74">
        <v>0.0833333333333333</v>
      </c>
      <c r="AC1659" s="74">
        <v>0.92</v>
      </c>
      <c r="AD1659" s="72">
        <v>1</v>
      </c>
      <c r="AE1659" s="72">
        <v>0.894736842105263</v>
      </c>
      <c r="AF1659" s="72">
        <v>0.9</v>
      </c>
      <c r="AG1659" s="72">
        <v>0.78448275862069</v>
      </c>
      <c r="AH1659" s="74">
        <v>0.92</v>
      </c>
      <c r="AI1659" s="72">
        <v>0.781734978113808</v>
      </c>
      <c r="AJ1659" s="72">
        <v>0.854152128401954</v>
      </c>
      <c r="AK1659" s="72">
        <v>0.867146282973621</v>
      </c>
      <c r="AL1659" s="72">
        <v>0.860538168379721</v>
      </c>
      <c r="AM1659" s="71">
        <v>0.99</v>
      </c>
      <c r="AN1659" s="76">
        <v>0</v>
      </c>
      <c r="AO1659" s="76">
        <v>0</v>
      </c>
      <c r="AP1659" s="76">
        <v>0</v>
      </c>
      <c r="AQ1659" s="76">
        <v>1</v>
      </c>
      <c r="AR1659" s="96">
        <v>0.110069253262963</v>
      </c>
      <c r="AS1659" s="80">
        <v>0.0625</v>
      </c>
      <c r="AT1659" s="80">
        <v>0.242424242424242</v>
      </c>
      <c r="AU1659" s="80">
        <v>0</v>
      </c>
      <c r="AV1659" s="80">
        <v>0.0855855855855856</v>
      </c>
      <c r="AW1659" s="36"/>
      <c r="AX1659" s="34"/>
    </row>
    <row r="1660" ht="14.5" spans="1:50">
      <c r="A1660" s="32"/>
      <c r="B1660" s="36"/>
      <c r="C1660" s="91" t="s">
        <v>1473</v>
      </c>
      <c r="D1660" s="69" t="s">
        <v>27</v>
      </c>
      <c r="E1660" s="107" t="s">
        <v>1709</v>
      </c>
      <c r="F1660" s="107" t="s">
        <v>1709</v>
      </c>
      <c r="G1660" s="107" t="s">
        <v>1709</v>
      </c>
      <c r="H1660" s="107" t="s">
        <v>1709</v>
      </c>
      <c r="I1660" s="71">
        <v>0.9</v>
      </c>
      <c r="J1660" s="72">
        <v>1</v>
      </c>
      <c r="K1660" s="72">
        <v>1</v>
      </c>
      <c r="L1660" s="73">
        <v>1</v>
      </c>
      <c r="M1660" s="72">
        <v>0.994505494505495</v>
      </c>
      <c r="N1660" s="74">
        <v>0.9</v>
      </c>
      <c r="O1660" s="72">
        <v>0.981404958677686</v>
      </c>
      <c r="P1660" s="72">
        <v>0.989342806394316</v>
      </c>
      <c r="Q1660" s="72">
        <v>0.948979591836735</v>
      </c>
      <c r="R1660" s="72">
        <v>0.967519751502465</v>
      </c>
      <c r="S1660" s="74">
        <v>0.9</v>
      </c>
      <c r="T1660" s="72">
        <v>0.932334710743802</v>
      </c>
      <c r="U1660" s="72">
        <v>0.963291888691533</v>
      </c>
      <c r="V1660" s="72">
        <v>0.892857142857143</v>
      </c>
      <c r="W1660" s="72">
        <v>0.93152812478898</v>
      </c>
      <c r="X1660" s="74">
        <v>0.92</v>
      </c>
      <c r="Y1660" s="74">
        <v>0.89850136239782</v>
      </c>
      <c r="Z1660" s="74">
        <v>0.959905660377358</v>
      </c>
      <c r="AA1660" s="74">
        <v>0.957073170731707</v>
      </c>
      <c r="AB1660" s="74">
        <v>0.948915155440414</v>
      </c>
      <c r="AC1660" s="74">
        <v>0.92</v>
      </c>
      <c r="AD1660" s="72">
        <v>1</v>
      </c>
      <c r="AE1660" s="72">
        <v>1</v>
      </c>
      <c r="AF1660" s="72">
        <v>1</v>
      </c>
      <c r="AG1660" s="72">
        <v>0.970149253731343</v>
      </c>
      <c r="AH1660" s="74">
        <v>0.92</v>
      </c>
      <c r="AI1660" s="72">
        <v>0.934801762114537</v>
      </c>
      <c r="AJ1660" s="72">
        <v>0.975480059084195</v>
      </c>
      <c r="AK1660" s="72">
        <v>0.96203587818106</v>
      </c>
      <c r="AL1660" s="72">
        <v>0.964593301435407</v>
      </c>
      <c r="AM1660" s="71">
        <v>0.99</v>
      </c>
      <c r="AN1660" s="76">
        <v>1</v>
      </c>
      <c r="AO1660" s="76">
        <v>0</v>
      </c>
      <c r="AP1660" s="76">
        <v>1</v>
      </c>
      <c r="AQ1660" s="76">
        <v>1</v>
      </c>
      <c r="AR1660" s="96">
        <v>0.110069253262963</v>
      </c>
      <c r="AS1660" s="80">
        <v>0.133333333333333</v>
      </c>
      <c r="AT1660" s="80">
        <v>0.0588235294117647</v>
      </c>
      <c r="AU1660" s="80">
        <v>0.0869565217391304</v>
      </c>
      <c r="AV1660" s="80">
        <v>0.0721649484536082</v>
      </c>
      <c r="AW1660" s="36"/>
      <c r="AX1660" s="34"/>
    </row>
    <row r="1661" ht="14.5" spans="1:50">
      <c r="A1661" s="32"/>
      <c r="B1661" s="36"/>
      <c r="C1661" s="91" t="s">
        <v>1473</v>
      </c>
      <c r="D1661" s="69" t="s">
        <v>27</v>
      </c>
      <c r="E1661" s="107" t="s">
        <v>1710</v>
      </c>
      <c r="F1661" s="107" t="s">
        <v>1710</v>
      </c>
      <c r="G1661" s="107" t="s">
        <v>1710</v>
      </c>
      <c r="H1661" s="107" t="s">
        <v>1710</v>
      </c>
      <c r="I1661" s="71">
        <v>0.9</v>
      </c>
      <c r="J1661" s="72">
        <v>0</v>
      </c>
      <c r="K1661" s="72">
        <v>0</v>
      </c>
      <c r="L1661" s="73">
        <v>0</v>
      </c>
      <c r="M1661" s="72">
        <v>0</v>
      </c>
      <c r="N1661" s="74">
        <v>0.9</v>
      </c>
      <c r="O1661" s="72">
        <v>0</v>
      </c>
      <c r="P1661" s="72">
        <v>0</v>
      </c>
      <c r="Q1661" s="72">
        <v>0</v>
      </c>
      <c r="R1661" s="72">
        <v>0</v>
      </c>
      <c r="S1661" s="74">
        <v>0.9</v>
      </c>
      <c r="T1661" s="72">
        <v>0</v>
      </c>
      <c r="U1661" s="72">
        <v>0</v>
      </c>
      <c r="V1661" s="72">
        <v>0</v>
      </c>
      <c r="W1661" s="72">
        <v>0</v>
      </c>
      <c r="X1661" s="74">
        <v>0.92</v>
      </c>
      <c r="Y1661" s="74">
        <v>0</v>
      </c>
      <c r="Z1661" s="74">
        <v>0</v>
      </c>
      <c r="AA1661" s="74">
        <v>0</v>
      </c>
      <c r="AB1661" s="74">
        <v>0</v>
      </c>
      <c r="AC1661" s="74">
        <v>0.92</v>
      </c>
      <c r="AD1661" s="72">
        <v>0.99812382739212</v>
      </c>
      <c r="AE1661" s="72">
        <v>1</v>
      </c>
      <c r="AF1661" s="72">
        <v>1</v>
      </c>
      <c r="AG1661" s="72">
        <v>0.951241740715425</v>
      </c>
      <c r="AH1661" s="74">
        <v>0.92</v>
      </c>
      <c r="AI1661" s="72">
        <v>0</v>
      </c>
      <c r="AJ1661" s="72">
        <v>0</v>
      </c>
      <c r="AK1661" s="72">
        <v>0</v>
      </c>
      <c r="AL1661" s="72">
        <v>0</v>
      </c>
      <c r="AM1661" s="71">
        <v>0.99</v>
      </c>
      <c r="AN1661" s="76">
        <v>1</v>
      </c>
      <c r="AO1661" s="76">
        <v>0</v>
      </c>
      <c r="AP1661" s="76">
        <v>0</v>
      </c>
      <c r="AQ1661" s="76">
        <v>1</v>
      </c>
      <c r="AR1661" s="96">
        <v>0.110069253262963</v>
      </c>
      <c r="AS1661" s="80">
        <v>0</v>
      </c>
      <c r="AT1661" s="80">
        <v>0</v>
      </c>
      <c r="AU1661" s="80">
        <v>0</v>
      </c>
      <c r="AV1661" s="80">
        <v>0</v>
      </c>
      <c r="AW1661" s="36"/>
      <c r="AX1661" s="34"/>
    </row>
    <row r="1662" ht="14.5" spans="1:50">
      <c r="A1662" s="32"/>
      <c r="B1662" s="36"/>
      <c r="C1662" s="91" t="s">
        <v>1473</v>
      </c>
      <c r="D1662" s="69" t="s">
        <v>27</v>
      </c>
      <c r="E1662" s="107" t="s">
        <v>1711</v>
      </c>
      <c r="F1662" s="107" t="s">
        <v>1711</v>
      </c>
      <c r="G1662" s="107" t="s">
        <v>1711</v>
      </c>
      <c r="H1662" s="107" t="s">
        <v>1711</v>
      </c>
      <c r="I1662" s="71">
        <v>0.9</v>
      </c>
      <c r="J1662" s="72">
        <v>0</v>
      </c>
      <c r="K1662" s="72">
        <v>0</v>
      </c>
      <c r="L1662" s="73">
        <v>0</v>
      </c>
      <c r="M1662" s="72">
        <v>0</v>
      </c>
      <c r="N1662" s="74">
        <v>0.9</v>
      </c>
      <c r="O1662" s="72">
        <v>0</v>
      </c>
      <c r="P1662" s="72">
        <v>0</v>
      </c>
      <c r="Q1662" s="72">
        <v>0</v>
      </c>
      <c r="R1662" s="72">
        <v>0</v>
      </c>
      <c r="S1662" s="74">
        <v>0.9</v>
      </c>
      <c r="T1662" s="72">
        <v>0</v>
      </c>
      <c r="U1662" s="72">
        <v>0</v>
      </c>
      <c r="V1662" s="72">
        <v>0</v>
      </c>
      <c r="W1662" s="72">
        <v>0</v>
      </c>
      <c r="X1662" s="74">
        <v>0.92</v>
      </c>
      <c r="Y1662" s="74">
        <v>0</v>
      </c>
      <c r="Z1662" s="74">
        <v>0</v>
      </c>
      <c r="AA1662" s="74">
        <v>0</v>
      </c>
      <c r="AB1662" s="74">
        <v>0</v>
      </c>
      <c r="AC1662" s="74">
        <v>0.92</v>
      </c>
      <c r="AD1662" s="72">
        <v>0.999439775910364</v>
      </c>
      <c r="AE1662" s="72">
        <v>0.999520153550864</v>
      </c>
      <c r="AF1662" s="72">
        <v>0.999498243853487</v>
      </c>
      <c r="AG1662" s="72">
        <v>0.997845373891001</v>
      </c>
      <c r="AH1662" s="74">
        <v>0.92</v>
      </c>
      <c r="AI1662" s="72">
        <v>0</v>
      </c>
      <c r="AJ1662" s="72">
        <v>0</v>
      </c>
      <c r="AK1662" s="72">
        <v>0</v>
      </c>
      <c r="AL1662" s="72">
        <v>0</v>
      </c>
      <c r="AM1662" s="71">
        <v>0.99</v>
      </c>
      <c r="AN1662" s="76">
        <v>1</v>
      </c>
      <c r="AO1662" s="76">
        <v>1</v>
      </c>
      <c r="AP1662" s="76">
        <v>1</v>
      </c>
      <c r="AQ1662" s="76">
        <v>1</v>
      </c>
      <c r="AR1662" s="96">
        <v>0.110069253262963</v>
      </c>
      <c r="AS1662" s="80">
        <v>0</v>
      </c>
      <c r="AT1662" s="80">
        <v>0</v>
      </c>
      <c r="AU1662" s="80">
        <v>0</v>
      </c>
      <c r="AV1662" s="80">
        <v>0</v>
      </c>
      <c r="AW1662" s="36"/>
      <c r="AX1662" s="34"/>
    </row>
    <row r="1663" ht="14.5" spans="1:50">
      <c r="A1663" s="32"/>
      <c r="B1663" s="36"/>
      <c r="C1663" s="91" t="s">
        <v>1473</v>
      </c>
      <c r="D1663" s="69" t="s">
        <v>27</v>
      </c>
      <c r="E1663" s="107" t="s">
        <v>1712</v>
      </c>
      <c r="F1663" s="107" t="s">
        <v>1712</v>
      </c>
      <c r="G1663" s="107" t="s">
        <v>1712</v>
      </c>
      <c r="H1663" s="107" t="s">
        <v>1712</v>
      </c>
      <c r="I1663" s="71">
        <v>0.9</v>
      </c>
      <c r="J1663" s="72">
        <v>0.571428571428571</v>
      </c>
      <c r="K1663" s="72">
        <v>0.882352941176471</v>
      </c>
      <c r="L1663" s="73">
        <v>0.645161290322581</v>
      </c>
      <c r="M1663" s="72">
        <v>0.636636636636637</v>
      </c>
      <c r="N1663" s="74">
        <v>0.9</v>
      </c>
      <c r="O1663" s="72">
        <v>0.794063079777365</v>
      </c>
      <c r="P1663" s="72">
        <v>0.731830417227456</v>
      </c>
      <c r="Q1663" s="72">
        <v>0.858928992686954</v>
      </c>
      <c r="R1663" s="72">
        <v>0.847930768182438</v>
      </c>
      <c r="S1663" s="74">
        <v>0.9</v>
      </c>
      <c r="T1663" s="72">
        <v>0.656565656565657</v>
      </c>
      <c r="U1663" s="72">
        <v>0.641655450874832</v>
      </c>
      <c r="V1663" s="72">
        <v>0.760792639773532</v>
      </c>
      <c r="W1663" s="72">
        <v>0.727297506019171</v>
      </c>
      <c r="X1663" s="74">
        <v>0.92</v>
      </c>
      <c r="Y1663" s="74">
        <v>1</v>
      </c>
      <c r="Z1663" s="74">
        <v>1</v>
      </c>
      <c r="AA1663" s="74">
        <v>0.555555555555556</v>
      </c>
      <c r="AB1663" s="74">
        <v>0.446808510638298</v>
      </c>
      <c r="AC1663" s="74">
        <v>0.92</v>
      </c>
      <c r="AD1663" s="72">
        <v>0.694444444444444</v>
      </c>
      <c r="AE1663" s="72">
        <v>0.642857142857143</v>
      </c>
      <c r="AF1663" s="72">
        <v>0.790697674418605</v>
      </c>
      <c r="AG1663" s="72">
        <v>0.789808917197452</v>
      </c>
      <c r="AH1663" s="74">
        <v>0.92</v>
      </c>
      <c r="AI1663" s="72">
        <v>0.735348550277606</v>
      </c>
      <c r="AJ1663" s="72">
        <v>0.770640659155877</v>
      </c>
      <c r="AK1663" s="72">
        <v>0.84439736346516</v>
      </c>
      <c r="AL1663" s="72">
        <v>0.852384625856514</v>
      </c>
      <c r="AM1663" s="71">
        <v>0.99</v>
      </c>
      <c r="AN1663" s="76">
        <v>1</v>
      </c>
      <c r="AO1663" s="76">
        <v>1</v>
      </c>
      <c r="AP1663" s="76">
        <v>1</v>
      </c>
      <c r="AQ1663" s="76">
        <v>1</v>
      </c>
      <c r="AR1663" s="96">
        <v>0.110069253262963</v>
      </c>
      <c r="AS1663" s="80">
        <v>0.260869565217391</v>
      </c>
      <c r="AT1663" s="80">
        <v>0.0512820512820513</v>
      </c>
      <c r="AU1663" s="80">
        <v>0.0689655172413793</v>
      </c>
      <c r="AV1663" s="80">
        <v>0.0588235294117647</v>
      </c>
      <c r="AW1663" s="36"/>
      <c r="AX1663" s="34"/>
    </row>
    <row r="1664" ht="14.5" spans="1:50">
      <c r="A1664" s="32"/>
      <c r="B1664" s="36"/>
      <c r="C1664" s="91" t="s">
        <v>1473</v>
      </c>
      <c r="D1664" s="69" t="s">
        <v>27</v>
      </c>
      <c r="E1664" s="107" t="s">
        <v>1713</v>
      </c>
      <c r="F1664" s="107" t="s">
        <v>1713</v>
      </c>
      <c r="G1664" s="107" t="s">
        <v>1713</v>
      </c>
      <c r="H1664" s="107" t="s">
        <v>1713</v>
      </c>
      <c r="I1664" s="71">
        <v>0.9</v>
      </c>
      <c r="J1664" s="72">
        <v>0</v>
      </c>
      <c r="K1664" s="72">
        <v>0</v>
      </c>
      <c r="L1664" s="73">
        <v>0</v>
      </c>
      <c r="M1664" s="72">
        <v>0</v>
      </c>
      <c r="N1664" s="74">
        <v>0.9</v>
      </c>
      <c r="O1664" s="72">
        <v>0</v>
      </c>
      <c r="P1664" s="72">
        <v>0</v>
      </c>
      <c r="Q1664" s="72">
        <v>0</v>
      </c>
      <c r="R1664" s="72">
        <v>0</v>
      </c>
      <c r="S1664" s="74">
        <v>0.9</v>
      </c>
      <c r="T1664" s="72">
        <v>0</v>
      </c>
      <c r="U1664" s="72">
        <v>0</v>
      </c>
      <c r="V1664" s="72">
        <v>0</v>
      </c>
      <c r="W1664" s="72">
        <v>0</v>
      </c>
      <c r="X1664" s="74">
        <v>0.92</v>
      </c>
      <c r="Y1664" s="74">
        <v>0</v>
      </c>
      <c r="Z1664" s="74">
        <v>0</v>
      </c>
      <c r="AA1664" s="74">
        <v>0</v>
      </c>
      <c r="AB1664" s="74">
        <v>0</v>
      </c>
      <c r="AC1664" s="74">
        <v>0.92</v>
      </c>
      <c r="AD1664" s="72">
        <v>0.944444444444444</v>
      </c>
      <c r="AE1664" s="72">
        <v>0.740506329113924</v>
      </c>
      <c r="AF1664" s="72">
        <v>0.905829596412556</v>
      </c>
      <c r="AG1664" s="72">
        <v>0.952882483370288</v>
      </c>
      <c r="AH1664" s="74">
        <v>0.92</v>
      </c>
      <c r="AI1664" s="72">
        <v>0.5</v>
      </c>
      <c r="AJ1664" s="72">
        <v>0</v>
      </c>
      <c r="AK1664" s="72">
        <v>0</v>
      </c>
      <c r="AL1664" s="72">
        <v>0.25</v>
      </c>
      <c r="AM1664" s="71">
        <v>0.99</v>
      </c>
      <c r="AN1664" s="76">
        <v>1</v>
      </c>
      <c r="AO1664" s="76">
        <v>1</v>
      </c>
      <c r="AP1664" s="76">
        <v>1</v>
      </c>
      <c r="AQ1664" s="76">
        <v>1</v>
      </c>
      <c r="AR1664" s="96">
        <v>0.110069253262963</v>
      </c>
      <c r="AS1664" s="80">
        <v>0</v>
      </c>
      <c r="AT1664" s="80">
        <v>0</v>
      </c>
      <c r="AU1664" s="80">
        <v>0</v>
      </c>
      <c r="AV1664" s="80">
        <v>0</v>
      </c>
      <c r="AW1664" s="36"/>
      <c r="AX1664" s="34"/>
    </row>
    <row r="1665" ht="14.5" spans="1:50">
      <c r="A1665" s="32"/>
      <c r="B1665" s="36"/>
      <c r="C1665" s="91" t="s">
        <v>1473</v>
      </c>
      <c r="D1665" s="69" t="s">
        <v>27</v>
      </c>
      <c r="E1665" s="107" t="s">
        <v>1714</v>
      </c>
      <c r="F1665" s="107" t="s">
        <v>1714</v>
      </c>
      <c r="G1665" s="107" t="s">
        <v>1714</v>
      </c>
      <c r="H1665" s="107" t="s">
        <v>1714</v>
      </c>
      <c r="I1665" s="71">
        <v>0.9</v>
      </c>
      <c r="J1665" s="72">
        <v>0</v>
      </c>
      <c r="K1665" s="72">
        <v>0</v>
      </c>
      <c r="L1665" s="73">
        <v>0</v>
      </c>
      <c r="M1665" s="72">
        <v>0</v>
      </c>
      <c r="N1665" s="74">
        <v>0.9</v>
      </c>
      <c r="O1665" s="72">
        <v>0</v>
      </c>
      <c r="P1665" s="72">
        <v>0</v>
      </c>
      <c r="Q1665" s="72">
        <v>0</v>
      </c>
      <c r="R1665" s="72">
        <v>0</v>
      </c>
      <c r="S1665" s="74">
        <v>0.9</v>
      </c>
      <c r="T1665" s="72">
        <v>0</v>
      </c>
      <c r="U1665" s="72">
        <v>0</v>
      </c>
      <c r="V1665" s="72">
        <v>0</v>
      </c>
      <c r="W1665" s="72">
        <v>0.75</v>
      </c>
      <c r="X1665" s="74">
        <v>0.92</v>
      </c>
      <c r="Y1665" s="74">
        <v>0</v>
      </c>
      <c r="Z1665" s="74">
        <v>0</v>
      </c>
      <c r="AA1665" s="74">
        <v>0</v>
      </c>
      <c r="AB1665" s="74">
        <v>0</v>
      </c>
      <c r="AC1665" s="74">
        <v>0.92</v>
      </c>
      <c r="AD1665" s="72">
        <v>1</v>
      </c>
      <c r="AE1665" s="72">
        <v>1</v>
      </c>
      <c r="AF1665" s="72">
        <v>0.977272727272727</v>
      </c>
      <c r="AG1665" s="72">
        <v>0.997752808988764</v>
      </c>
      <c r="AH1665" s="74">
        <v>0.92</v>
      </c>
      <c r="AI1665" s="72">
        <v>0</v>
      </c>
      <c r="AJ1665" s="72">
        <v>0</v>
      </c>
      <c r="AK1665" s="72">
        <v>1</v>
      </c>
      <c r="AL1665" s="72">
        <v>1</v>
      </c>
      <c r="AM1665" s="71">
        <v>0.99</v>
      </c>
      <c r="AN1665" s="76">
        <v>1</v>
      </c>
      <c r="AO1665" s="76">
        <v>1</v>
      </c>
      <c r="AP1665" s="76">
        <v>1</v>
      </c>
      <c r="AQ1665" s="76">
        <v>1</v>
      </c>
      <c r="AR1665" s="96">
        <v>0.110069253262963</v>
      </c>
      <c r="AS1665" s="80">
        <v>0</v>
      </c>
      <c r="AT1665" s="80">
        <v>0</v>
      </c>
      <c r="AU1665" s="80">
        <v>0</v>
      </c>
      <c r="AV1665" s="80">
        <v>0</v>
      </c>
      <c r="AW1665" s="36"/>
      <c r="AX1665" s="34"/>
    </row>
    <row r="1666" ht="14.5" spans="1:50">
      <c r="A1666" s="32"/>
      <c r="B1666" s="36"/>
      <c r="C1666" s="91" t="s">
        <v>1473</v>
      </c>
      <c r="D1666" s="69" t="s">
        <v>27</v>
      </c>
      <c r="E1666" s="107" t="s">
        <v>1715</v>
      </c>
      <c r="F1666" s="107" t="s">
        <v>1715</v>
      </c>
      <c r="G1666" s="107" t="s">
        <v>1715</v>
      </c>
      <c r="H1666" s="107" t="s">
        <v>1715</v>
      </c>
      <c r="I1666" s="71">
        <v>0.9</v>
      </c>
      <c r="J1666" s="72">
        <v>0</v>
      </c>
      <c r="K1666" s="72">
        <v>0</v>
      </c>
      <c r="L1666" s="73">
        <v>0</v>
      </c>
      <c r="M1666" s="72">
        <v>0</v>
      </c>
      <c r="N1666" s="74">
        <v>0.9</v>
      </c>
      <c r="O1666" s="72">
        <v>0</v>
      </c>
      <c r="P1666" s="72">
        <v>0</v>
      </c>
      <c r="Q1666" s="72">
        <v>0</v>
      </c>
      <c r="R1666" s="72">
        <v>0</v>
      </c>
      <c r="S1666" s="74">
        <v>0.9</v>
      </c>
      <c r="T1666" s="72">
        <v>0</v>
      </c>
      <c r="U1666" s="72">
        <v>0</v>
      </c>
      <c r="V1666" s="72">
        <v>0</v>
      </c>
      <c r="W1666" s="72">
        <v>1</v>
      </c>
      <c r="X1666" s="74">
        <v>0.92</v>
      </c>
      <c r="Y1666" s="74">
        <v>0</v>
      </c>
      <c r="Z1666" s="74">
        <v>0</v>
      </c>
      <c r="AA1666" s="74">
        <v>0</v>
      </c>
      <c r="AB1666" s="74">
        <v>0</v>
      </c>
      <c r="AC1666" s="74">
        <v>0.92</v>
      </c>
      <c r="AD1666" s="72">
        <v>0.996894409937888</v>
      </c>
      <c r="AE1666" s="72">
        <v>0.996428571428571</v>
      </c>
      <c r="AF1666" s="72">
        <v>1</v>
      </c>
      <c r="AG1666" s="72">
        <v>0.888567293777135</v>
      </c>
      <c r="AH1666" s="74">
        <v>0.92</v>
      </c>
      <c r="AI1666" s="72">
        <v>0</v>
      </c>
      <c r="AJ1666" s="72">
        <v>0</v>
      </c>
      <c r="AK1666" s="72">
        <v>0</v>
      </c>
      <c r="AL1666" s="72">
        <v>0.5</v>
      </c>
      <c r="AM1666" s="71">
        <v>0.99</v>
      </c>
      <c r="AN1666" s="76">
        <v>1</v>
      </c>
      <c r="AO1666" s="76">
        <v>1</v>
      </c>
      <c r="AP1666" s="76">
        <v>1</v>
      </c>
      <c r="AQ1666" s="76">
        <v>1</v>
      </c>
      <c r="AR1666" s="96">
        <v>0.110069253262963</v>
      </c>
      <c r="AS1666" s="80">
        <v>0</v>
      </c>
      <c r="AT1666" s="80">
        <v>0</v>
      </c>
      <c r="AU1666" s="80">
        <v>0</v>
      </c>
      <c r="AV1666" s="80">
        <v>0</v>
      </c>
      <c r="AW1666" s="36"/>
      <c r="AX1666" s="34"/>
    </row>
    <row r="1667" ht="14.5" spans="1:50">
      <c r="A1667" s="32"/>
      <c r="B1667" s="36"/>
      <c r="C1667" s="91" t="s">
        <v>1473</v>
      </c>
      <c r="D1667" s="69" t="s">
        <v>27</v>
      </c>
      <c r="E1667" s="107" t="s">
        <v>1716</v>
      </c>
      <c r="F1667" s="107" t="s">
        <v>1716</v>
      </c>
      <c r="G1667" s="107" t="s">
        <v>1716</v>
      </c>
      <c r="H1667" s="107" t="s">
        <v>1716</v>
      </c>
      <c r="I1667" s="71">
        <v>0.9</v>
      </c>
      <c r="J1667" s="72">
        <v>0.875</v>
      </c>
      <c r="K1667" s="72">
        <v>1</v>
      </c>
      <c r="L1667" s="73">
        <v>0.9</v>
      </c>
      <c r="M1667" s="72">
        <v>0.932432432432432</v>
      </c>
      <c r="N1667" s="74">
        <v>0.9</v>
      </c>
      <c r="O1667" s="72">
        <v>0.338323353293413</v>
      </c>
      <c r="P1667" s="72">
        <v>0.18241469816273</v>
      </c>
      <c r="Q1667" s="72">
        <v>0.129753914988814</v>
      </c>
      <c r="R1667" s="72">
        <v>0.18848167539267</v>
      </c>
      <c r="S1667" s="74">
        <v>0.9</v>
      </c>
      <c r="T1667" s="72">
        <v>0.20059880239521</v>
      </c>
      <c r="U1667" s="72">
        <v>0.145669291338583</v>
      </c>
      <c r="V1667" s="72">
        <v>0.0917225950782998</v>
      </c>
      <c r="W1667" s="72">
        <v>0.0989348257808269</v>
      </c>
      <c r="X1667" s="74">
        <v>0.92</v>
      </c>
      <c r="Y1667" s="74">
        <v>0</v>
      </c>
      <c r="Z1667" s="74">
        <v>0</v>
      </c>
      <c r="AA1667" s="74">
        <v>0</v>
      </c>
      <c r="AB1667" s="74">
        <v>0</v>
      </c>
      <c r="AC1667" s="74">
        <v>0.92</v>
      </c>
      <c r="AD1667" s="72">
        <v>1</v>
      </c>
      <c r="AE1667" s="72">
        <v>0.714285714285714</v>
      </c>
      <c r="AF1667" s="72">
        <v>0.5</v>
      </c>
      <c r="AG1667" s="72">
        <v>0.631578947368421</v>
      </c>
      <c r="AH1667" s="74">
        <v>0.92</v>
      </c>
      <c r="AI1667" s="72">
        <v>0.461077844311377</v>
      </c>
      <c r="AJ1667" s="72">
        <v>0.204161248374512</v>
      </c>
      <c r="AK1667" s="72">
        <v>0.147121535181237</v>
      </c>
      <c r="AL1667" s="72">
        <v>0.243040685224839</v>
      </c>
      <c r="AM1667" s="71">
        <v>0.99</v>
      </c>
      <c r="AN1667" s="76">
        <v>0</v>
      </c>
      <c r="AO1667" s="76">
        <v>0</v>
      </c>
      <c r="AP1667" s="76">
        <v>0</v>
      </c>
      <c r="AQ1667" s="76">
        <v>0</v>
      </c>
      <c r="AR1667" s="96">
        <v>0.110069253262963</v>
      </c>
      <c r="AS1667" s="80">
        <v>0.05</v>
      </c>
      <c r="AT1667" s="80">
        <v>0</v>
      </c>
      <c r="AU1667" s="80">
        <v>0.0606060606060606</v>
      </c>
      <c r="AV1667" s="80">
        <v>0.0545454545454545</v>
      </c>
      <c r="AW1667" s="36"/>
      <c r="AX1667" s="34"/>
    </row>
    <row r="1668" ht="14.5" spans="1:50">
      <c r="A1668" s="32"/>
      <c r="B1668" s="36"/>
      <c r="C1668" s="91" t="s">
        <v>1473</v>
      </c>
      <c r="D1668" s="69" t="s">
        <v>27</v>
      </c>
      <c r="E1668" s="107" t="s">
        <v>1717</v>
      </c>
      <c r="F1668" s="107" t="s">
        <v>1717</v>
      </c>
      <c r="G1668" s="107" t="s">
        <v>1717</v>
      </c>
      <c r="H1668" s="107" t="s">
        <v>1717</v>
      </c>
      <c r="I1668" s="71">
        <v>0.9</v>
      </c>
      <c r="J1668" s="72">
        <v>1</v>
      </c>
      <c r="K1668" s="72">
        <v>1</v>
      </c>
      <c r="L1668" s="73">
        <v>0.90625</v>
      </c>
      <c r="M1668" s="72">
        <v>0.966542750929368</v>
      </c>
      <c r="N1668" s="74">
        <v>0.9</v>
      </c>
      <c r="O1668" s="72">
        <v>0.956119481892678</v>
      </c>
      <c r="P1668" s="72">
        <v>0.988556338028169</v>
      </c>
      <c r="Q1668" s="72">
        <v>0.974879743452699</v>
      </c>
      <c r="R1668" s="72">
        <v>0.963561839581845</v>
      </c>
      <c r="S1668" s="74">
        <v>0.9</v>
      </c>
      <c r="T1668" s="72">
        <v>0.424530795664816</v>
      </c>
      <c r="U1668" s="72">
        <v>0.612235915492958</v>
      </c>
      <c r="V1668" s="72">
        <v>0.512292891501871</v>
      </c>
      <c r="W1668" s="72">
        <v>0.522543526491934</v>
      </c>
      <c r="X1668" s="74">
        <v>0.92</v>
      </c>
      <c r="Y1668" s="74">
        <v>0</v>
      </c>
      <c r="Z1668" s="74">
        <v>0</v>
      </c>
      <c r="AA1668" s="74">
        <v>0</v>
      </c>
      <c r="AB1668" s="74">
        <v>0</v>
      </c>
      <c r="AC1668" s="74">
        <v>0.92</v>
      </c>
      <c r="AD1668" s="72">
        <v>0.897435897435897</v>
      </c>
      <c r="AE1668" s="72">
        <v>1</v>
      </c>
      <c r="AF1668" s="72">
        <v>1</v>
      </c>
      <c r="AG1668" s="72">
        <v>0.990740740740741</v>
      </c>
      <c r="AH1668" s="74">
        <v>0.92</v>
      </c>
      <c r="AI1668" s="72">
        <v>0.84721120803595</v>
      </c>
      <c r="AJ1668" s="72">
        <v>0.915933098591549</v>
      </c>
      <c r="AK1668" s="72">
        <v>0.937733832175307</v>
      </c>
      <c r="AL1668" s="72">
        <v>0.907644868950476</v>
      </c>
      <c r="AM1668" s="71">
        <v>0.99</v>
      </c>
      <c r="AN1668" s="76">
        <v>1</v>
      </c>
      <c r="AO1668" s="76">
        <v>1</v>
      </c>
      <c r="AP1668" s="76">
        <v>1</v>
      </c>
      <c r="AQ1668" s="76">
        <v>1</v>
      </c>
      <c r="AR1668" s="96">
        <v>0.110069253262963</v>
      </c>
      <c r="AS1668" s="80">
        <v>0.0476190476190476</v>
      </c>
      <c r="AT1668" s="80">
        <v>0.133333333333333</v>
      </c>
      <c r="AU1668" s="80">
        <v>0.0555555555555556</v>
      </c>
      <c r="AV1668" s="80">
        <v>0.0821917808219178</v>
      </c>
      <c r="AW1668" s="36"/>
      <c r="AX1668" s="34"/>
    </row>
    <row r="1669" ht="14.5" spans="1:50">
      <c r="A1669" s="32"/>
      <c r="B1669" s="36"/>
      <c r="C1669" s="91" t="s">
        <v>1473</v>
      </c>
      <c r="D1669" s="69" t="s">
        <v>27</v>
      </c>
      <c r="E1669" s="107" t="s">
        <v>1718</v>
      </c>
      <c r="F1669" s="107" t="s">
        <v>1718</v>
      </c>
      <c r="G1669" s="107" t="s">
        <v>1718</v>
      </c>
      <c r="H1669" s="107" t="s">
        <v>1718</v>
      </c>
      <c r="I1669" s="71">
        <v>0.9</v>
      </c>
      <c r="J1669" s="72">
        <v>0</v>
      </c>
      <c r="K1669" s="72">
        <v>0</v>
      </c>
      <c r="L1669" s="73">
        <v>0</v>
      </c>
      <c r="M1669" s="72">
        <v>0</v>
      </c>
      <c r="N1669" s="74">
        <v>0.9</v>
      </c>
      <c r="O1669" s="72">
        <v>0</v>
      </c>
      <c r="P1669" s="72">
        <v>0</v>
      </c>
      <c r="Q1669" s="72">
        <v>0</v>
      </c>
      <c r="R1669" s="72">
        <v>0</v>
      </c>
      <c r="S1669" s="74">
        <v>0.9</v>
      </c>
      <c r="T1669" s="72">
        <v>0</v>
      </c>
      <c r="U1669" s="72">
        <v>0</v>
      </c>
      <c r="V1669" s="72">
        <v>0</v>
      </c>
      <c r="W1669" s="72">
        <v>0</v>
      </c>
      <c r="X1669" s="74">
        <v>0.92</v>
      </c>
      <c r="Y1669" s="74">
        <v>0</v>
      </c>
      <c r="Z1669" s="74">
        <v>0</v>
      </c>
      <c r="AA1669" s="74">
        <v>0</v>
      </c>
      <c r="AB1669" s="74">
        <v>0</v>
      </c>
      <c r="AC1669" s="74">
        <v>0.92</v>
      </c>
      <c r="AD1669" s="72">
        <v>0</v>
      </c>
      <c r="AE1669" s="72">
        <v>0</v>
      </c>
      <c r="AF1669" s="72">
        <v>0</v>
      </c>
      <c r="AG1669" s="72">
        <v>0</v>
      </c>
      <c r="AH1669" s="74">
        <v>0.92</v>
      </c>
      <c r="AI1669" s="72">
        <v>0</v>
      </c>
      <c r="AJ1669" s="72">
        <v>0</v>
      </c>
      <c r="AK1669" s="72">
        <v>0</v>
      </c>
      <c r="AL1669" s="72">
        <v>0</v>
      </c>
      <c r="AM1669" s="71">
        <v>0.99</v>
      </c>
      <c r="AN1669" s="76">
        <v>0</v>
      </c>
      <c r="AO1669" s="76">
        <v>0</v>
      </c>
      <c r="AP1669" s="76">
        <v>0</v>
      </c>
      <c r="AQ1669" s="76">
        <v>0</v>
      </c>
      <c r="AR1669" s="96">
        <v>0.110069253262963</v>
      </c>
      <c r="AS1669" s="80">
        <v>0</v>
      </c>
      <c r="AT1669" s="80">
        <v>0</v>
      </c>
      <c r="AU1669" s="80">
        <v>0</v>
      </c>
      <c r="AV1669" s="80">
        <v>0</v>
      </c>
      <c r="AW1669" s="36"/>
      <c r="AX1669" s="34"/>
    </row>
    <row r="1670" ht="14.5" spans="1:50">
      <c r="A1670" s="32"/>
      <c r="B1670" s="36"/>
      <c r="C1670" s="91" t="s">
        <v>1473</v>
      </c>
      <c r="D1670" s="69" t="s">
        <v>27</v>
      </c>
      <c r="E1670" s="107" t="s">
        <v>1719</v>
      </c>
      <c r="F1670" s="107" t="s">
        <v>1719</v>
      </c>
      <c r="G1670" s="107" t="s">
        <v>1719</v>
      </c>
      <c r="H1670" s="107" t="s">
        <v>1719</v>
      </c>
      <c r="I1670" s="71">
        <v>0.9</v>
      </c>
      <c r="J1670" s="72">
        <v>0</v>
      </c>
      <c r="K1670" s="72">
        <v>0</v>
      </c>
      <c r="L1670" s="73">
        <v>0</v>
      </c>
      <c r="M1670" s="72">
        <v>0</v>
      </c>
      <c r="N1670" s="74">
        <v>0.9</v>
      </c>
      <c r="O1670" s="72">
        <v>0</v>
      </c>
      <c r="P1670" s="72">
        <v>0</v>
      </c>
      <c r="Q1670" s="72">
        <v>0</v>
      </c>
      <c r="R1670" s="72">
        <v>0</v>
      </c>
      <c r="S1670" s="74">
        <v>0.9</v>
      </c>
      <c r="T1670" s="72">
        <v>0</v>
      </c>
      <c r="U1670" s="72">
        <v>0</v>
      </c>
      <c r="V1670" s="72">
        <v>0</v>
      </c>
      <c r="W1670" s="72">
        <v>0</v>
      </c>
      <c r="X1670" s="74">
        <v>0.92</v>
      </c>
      <c r="Y1670" s="74">
        <v>0</v>
      </c>
      <c r="Z1670" s="74">
        <v>0</v>
      </c>
      <c r="AA1670" s="74">
        <v>0</v>
      </c>
      <c r="AB1670" s="74">
        <v>0</v>
      </c>
      <c r="AC1670" s="74">
        <v>0.92</v>
      </c>
      <c r="AD1670" s="72">
        <v>0</v>
      </c>
      <c r="AE1670" s="72">
        <v>0</v>
      </c>
      <c r="AF1670" s="72">
        <v>0</v>
      </c>
      <c r="AG1670" s="72">
        <v>0</v>
      </c>
      <c r="AH1670" s="74">
        <v>0.92</v>
      </c>
      <c r="AI1670" s="72">
        <v>0</v>
      </c>
      <c r="AJ1670" s="72">
        <v>0</v>
      </c>
      <c r="AK1670" s="72">
        <v>0</v>
      </c>
      <c r="AL1670" s="72">
        <v>0</v>
      </c>
      <c r="AM1670" s="71">
        <v>0.99</v>
      </c>
      <c r="AN1670" s="76">
        <v>0</v>
      </c>
      <c r="AO1670" s="76">
        <v>0</v>
      </c>
      <c r="AP1670" s="76">
        <v>0</v>
      </c>
      <c r="AQ1670" s="76">
        <v>0</v>
      </c>
      <c r="AR1670" s="96">
        <v>0.110069253262963</v>
      </c>
      <c r="AS1670" s="80">
        <v>0</v>
      </c>
      <c r="AT1670" s="80">
        <v>0</v>
      </c>
      <c r="AU1670" s="80">
        <v>0</v>
      </c>
      <c r="AV1670" s="80">
        <v>0</v>
      </c>
      <c r="AW1670" s="36"/>
      <c r="AX1670" s="34"/>
    </row>
    <row r="1671" ht="14.5" spans="1:50">
      <c r="A1671" s="32"/>
      <c r="B1671" s="36"/>
      <c r="C1671" s="91" t="s">
        <v>1473</v>
      </c>
      <c r="D1671" s="69" t="s">
        <v>27</v>
      </c>
      <c r="E1671" s="107" t="s">
        <v>1720</v>
      </c>
      <c r="F1671" s="107" t="s">
        <v>1720</v>
      </c>
      <c r="G1671" s="107" t="s">
        <v>1720</v>
      </c>
      <c r="H1671" s="107" t="s">
        <v>1720</v>
      </c>
      <c r="I1671" s="71">
        <v>0.9</v>
      </c>
      <c r="J1671" s="72">
        <v>0</v>
      </c>
      <c r="K1671" s="72">
        <v>0</v>
      </c>
      <c r="L1671" s="73">
        <v>0</v>
      </c>
      <c r="M1671" s="72">
        <v>0</v>
      </c>
      <c r="N1671" s="74">
        <v>0.9</v>
      </c>
      <c r="O1671" s="72">
        <v>0</v>
      </c>
      <c r="P1671" s="72">
        <v>0</v>
      </c>
      <c r="Q1671" s="72">
        <v>0</v>
      </c>
      <c r="R1671" s="72">
        <v>0</v>
      </c>
      <c r="S1671" s="74">
        <v>0.9</v>
      </c>
      <c r="T1671" s="72">
        <v>0.333333333333333</v>
      </c>
      <c r="U1671" s="72">
        <v>0</v>
      </c>
      <c r="V1671" s="72">
        <v>0</v>
      </c>
      <c r="W1671" s="72">
        <v>0.333333333333333</v>
      </c>
      <c r="X1671" s="74">
        <v>0.92</v>
      </c>
      <c r="Y1671" s="74">
        <v>0</v>
      </c>
      <c r="Z1671" s="74">
        <v>0</v>
      </c>
      <c r="AA1671" s="74">
        <v>0</v>
      </c>
      <c r="AB1671" s="74">
        <v>0</v>
      </c>
      <c r="AC1671" s="74">
        <v>0.92</v>
      </c>
      <c r="AD1671" s="72">
        <v>1</v>
      </c>
      <c r="AE1671" s="72">
        <v>0.978540772532189</v>
      </c>
      <c r="AF1671" s="72">
        <v>0.996899224806202</v>
      </c>
      <c r="AG1671" s="72">
        <v>0.985099337748344</v>
      </c>
      <c r="AH1671" s="74">
        <v>0.92</v>
      </c>
      <c r="AI1671" s="72">
        <v>0.666666666666667</v>
      </c>
      <c r="AJ1671" s="72">
        <v>0</v>
      </c>
      <c r="AK1671" s="72">
        <v>0</v>
      </c>
      <c r="AL1671" s="72">
        <v>0.666666666666667</v>
      </c>
      <c r="AM1671" s="71">
        <v>0.99</v>
      </c>
      <c r="AN1671" s="76">
        <v>0</v>
      </c>
      <c r="AO1671" s="76">
        <v>1</v>
      </c>
      <c r="AP1671" s="76">
        <v>1</v>
      </c>
      <c r="AQ1671" s="76">
        <v>1</v>
      </c>
      <c r="AR1671" s="96">
        <v>0.110069253262963</v>
      </c>
      <c r="AS1671" s="80">
        <v>0</v>
      </c>
      <c r="AT1671" s="80">
        <v>0</v>
      </c>
      <c r="AU1671" s="80">
        <v>0</v>
      </c>
      <c r="AV1671" s="80">
        <v>0</v>
      </c>
      <c r="AW1671" s="36"/>
      <c r="AX1671" s="34"/>
    </row>
    <row r="1672" ht="14.5" spans="1:50">
      <c r="A1672" s="32"/>
      <c r="B1672" s="36"/>
      <c r="C1672" s="91" t="s">
        <v>1473</v>
      </c>
      <c r="D1672" s="69" t="s">
        <v>27</v>
      </c>
      <c r="E1672" s="107" t="s">
        <v>1721</v>
      </c>
      <c r="F1672" s="107" t="s">
        <v>1721</v>
      </c>
      <c r="G1672" s="107" t="s">
        <v>1721</v>
      </c>
      <c r="H1672" s="107" t="s">
        <v>1721</v>
      </c>
      <c r="I1672" s="71">
        <v>0.9</v>
      </c>
      <c r="J1672" s="72">
        <v>0</v>
      </c>
      <c r="K1672" s="72">
        <v>0</v>
      </c>
      <c r="L1672" s="73">
        <v>0</v>
      </c>
      <c r="M1672" s="72">
        <v>0</v>
      </c>
      <c r="N1672" s="74">
        <v>0.9</v>
      </c>
      <c r="O1672" s="72">
        <v>0</v>
      </c>
      <c r="P1672" s="72">
        <v>0</v>
      </c>
      <c r="Q1672" s="72">
        <v>0</v>
      </c>
      <c r="R1672" s="72">
        <v>0</v>
      </c>
      <c r="S1672" s="74">
        <v>0.9</v>
      </c>
      <c r="T1672" s="72">
        <v>0</v>
      </c>
      <c r="U1672" s="72">
        <v>0</v>
      </c>
      <c r="V1672" s="72">
        <v>0</v>
      </c>
      <c r="W1672" s="72">
        <v>0</v>
      </c>
      <c r="X1672" s="74">
        <v>0.92</v>
      </c>
      <c r="Y1672" s="74">
        <v>0</v>
      </c>
      <c r="Z1672" s="74">
        <v>0</v>
      </c>
      <c r="AA1672" s="74">
        <v>0</v>
      </c>
      <c r="AB1672" s="74">
        <v>0</v>
      </c>
      <c r="AC1672" s="74">
        <v>0.92</v>
      </c>
      <c r="AD1672" s="72">
        <v>0.960093896713615</v>
      </c>
      <c r="AE1672" s="72">
        <v>0.981941309255079</v>
      </c>
      <c r="AF1672" s="72">
        <v>0.997885835095137</v>
      </c>
      <c r="AG1672" s="72">
        <v>0.984955336154208</v>
      </c>
      <c r="AH1672" s="74">
        <v>0.92</v>
      </c>
      <c r="AI1672" s="72">
        <v>0</v>
      </c>
      <c r="AJ1672" s="72">
        <v>0</v>
      </c>
      <c r="AK1672" s="72">
        <v>0</v>
      </c>
      <c r="AL1672" s="72">
        <v>0</v>
      </c>
      <c r="AM1672" s="71">
        <v>0.99</v>
      </c>
      <c r="AN1672" s="76">
        <v>1</v>
      </c>
      <c r="AO1672" s="76">
        <v>1</v>
      </c>
      <c r="AP1672" s="76">
        <v>1</v>
      </c>
      <c r="AQ1672" s="76">
        <v>1</v>
      </c>
      <c r="AR1672" s="96">
        <v>0.110069253262963</v>
      </c>
      <c r="AS1672" s="80">
        <v>0</v>
      </c>
      <c r="AT1672" s="80">
        <v>0</v>
      </c>
      <c r="AU1672" s="80">
        <v>0</v>
      </c>
      <c r="AV1672" s="80">
        <v>0</v>
      </c>
      <c r="AW1672" s="36"/>
      <c r="AX1672" s="34"/>
    </row>
    <row r="1673" ht="14.5" spans="1:50">
      <c r="A1673" s="32"/>
      <c r="B1673" s="36"/>
      <c r="C1673" s="91" t="s">
        <v>1473</v>
      </c>
      <c r="D1673" s="69" t="s">
        <v>27</v>
      </c>
      <c r="E1673" s="107" t="s">
        <v>1722</v>
      </c>
      <c r="F1673" s="107" t="s">
        <v>1722</v>
      </c>
      <c r="G1673" s="107" t="s">
        <v>1722</v>
      </c>
      <c r="H1673" s="107" t="s">
        <v>1722</v>
      </c>
      <c r="I1673" s="71">
        <v>0.9</v>
      </c>
      <c r="J1673" s="72">
        <v>0</v>
      </c>
      <c r="K1673" s="72">
        <v>0</v>
      </c>
      <c r="L1673" s="73">
        <v>0</v>
      </c>
      <c r="M1673" s="72">
        <v>0</v>
      </c>
      <c r="N1673" s="74">
        <v>0.9</v>
      </c>
      <c r="O1673" s="72">
        <v>0</v>
      </c>
      <c r="P1673" s="72">
        <v>0</v>
      </c>
      <c r="Q1673" s="72">
        <v>0</v>
      </c>
      <c r="R1673" s="72">
        <v>0</v>
      </c>
      <c r="S1673" s="74">
        <v>0.9</v>
      </c>
      <c r="T1673" s="72">
        <v>0.727272727272727</v>
      </c>
      <c r="U1673" s="72">
        <v>1</v>
      </c>
      <c r="V1673" s="72">
        <v>1</v>
      </c>
      <c r="W1673" s="72">
        <v>0.682926829268293</v>
      </c>
      <c r="X1673" s="74">
        <v>0.92</v>
      </c>
      <c r="Y1673" s="74">
        <v>0</v>
      </c>
      <c r="Z1673" s="74">
        <v>0</v>
      </c>
      <c r="AA1673" s="74">
        <v>0</v>
      </c>
      <c r="AB1673" s="74">
        <v>0</v>
      </c>
      <c r="AC1673" s="74">
        <v>0.92</v>
      </c>
      <c r="AD1673" s="72">
        <v>0.997201265514724</v>
      </c>
      <c r="AE1673" s="72">
        <v>0.99668816454593</v>
      </c>
      <c r="AF1673" s="72">
        <v>0.996700243139979</v>
      </c>
      <c r="AG1673" s="72">
        <v>0.988761098415315</v>
      </c>
      <c r="AH1673" s="74">
        <v>0.92</v>
      </c>
      <c r="AI1673" s="72">
        <v>0.818181818181818</v>
      </c>
      <c r="AJ1673" s="72">
        <v>1</v>
      </c>
      <c r="AK1673" s="72">
        <v>1</v>
      </c>
      <c r="AL1673" s="72">
        <v>0.813953488372093</v>
      </c>
      <c r="AM1673" s="71">
        <v>0.99</v>
      </c>
      <c r="AN1673" s="76">
        <v>1</v>
      </c>
      <c r="AO1673" s="76">
        <v>1</v>
      </c>
      <c r="AP1673" s="76">
        <v>1</v>
      </c>
      <c r="AQ1673" s="76">
        <v>1</v>
      </c>
      <c r="AR1673" s="96">
        <v>0.110069253262963</v>
      </c>
      <c r="AS1673" s="80">
        <v>0</v>
      </c>
      <c r="AT1673" s="80">
        <v>0</v>
      </c>
      <c r="AU1673" s="80">
        <v>0</v>
      </c>
      <c r="AV1673" s="80">
        <v>0</v>
      </c>
      <c r="AW1673" s="36"/>
      <c r="AX1673" s="34"/>
    </row>
    <row r="1674" ht="14.5" spans="1:50">
      <c r="A1674" s="32"/>
      <c r="B1674" s="36"/>
      <c r="C1674" s="91" t="s">
        <v>1473</v>
      </c>
      <c r="D1674" s="69" t="s">
        <v>27</v>
      </c>
      <c r="E1674" s="107" t="s">
        <v>1723</v>
      </c>
      <c r="F1674" s="107" t="s">
        <v>1723</v>
      </c>
      <c r="G1674" s="107" t="s">
        <v>1723</v>
      </c>
      <c r="H1674" s="107" t="s">
        <v>1723</v>
      </c>
      <c r="I1674" s="71">
        <v>0.9</v>
      </c>
      <c r="J1674" s="72">
        <v>0.944444444444444</v>
      </c>
      <c r="K1674" s="72">
        <v>1</v>
      </c>
      <c r="L1674" s="73">
        <v>1</v>
      </c>
      <c r="M1674" s="72">
        <v>0.988235294117647</v>
      </c>
      <c r="N1674" s="74">
        <v>0.9</v>
      </c>
      <c r="O1674" s="72">
        <v>0.945402298850575</v>
      </c>
      <c r="P1674" s="72">
        <v>1</v>
      </c>
      <c r="Q1674" s="72">
        <v>0.97766323024055</v>
      </c>
      <c r="R1674" s="72">
        <v>0.964300235829877</v>
      </c>
      <c r="S1674" s="74">
        <v>0.9</v>
      </c>
      <c r="T1674" s="72">
        <v>0.549425287356322</v>
      </c>
      <c r="U1674" s="72">
        <v>0.856627592425609</v>
      </c>
      <c r="V1674" s="72">
        <v>0.630584192439863</v>
      </c>
      <c r="W1674" s="72">
        <v>0.677319671464585</v>
      </c>
      <c r="X1674" s="74">
        <v>0.92</v>
      </c>
      <c r="Y1674" s="74">
        <v>0</v>
      </c>
      <c r="Z1674" s="74">
        <v>0</v>
      </c>
      <c r="AA1674" s="74">
        <v>0</v>
      </c>
      <c r="AB1674" s="74">
        <v>0</v>
      </c>
      <c r="AC1674" s="74">
        <v>0.92</v>
      </c>
      <c r="AD1674" s="72">
        <v>1</v>
      </c>
      <c r="AE1674" s="72">
        <v>1</v>
      </c>
      <c r="AF1674" s="72">
        <v>1</v>
      </c>
      <c r="AG1674" s="72">
        <v>0.990243902439024</v>
      </c>
      <c r="AH1674" s="74">
        <v>0.92</v>
      </c>
      <c r="AI1674" s="72">
        <v>0.894827586206897</v>
      </c>
      <c r="AJ1674" s="72">
        <v>0.944093778178539</v>
      </c>
      <c r="AK1674" s="72">
        <v>0.953035509736541</v>
      </c>
      <c r="AL1674" s="72">
        <v>0.914369358380093</v>
      </c>
      <c r="AM1674" s="71">
        <v>0.99</v>
      </c>
      <c r="AN1674" s="76">
        <v>1</v>
      </c>
      <c r="AO1674" s="76">
        <v>1</v>
      </c>
      <c r="AP1674" s="76">
        <v>1</v>
      </c>
      <c r="AQ1674" s="76">
        <v>1</v>
      </c>
      <c r="AR1674" s="96">
        <v>0.110069253262963</v>
      </c>
      <c r="AS1674" s="80">
        <v>0.0769230769230769</v>
      </c>
      <c r="AT1674" s="80">
        <v>0</v>
      </c>
      <c r="AU1674" s="80">
        <v>0.166666666666667</v>
      </c>
      <c r="AV1674" s="80">
        <v>0.0972222222222222</v>
      </c>
      <c r="AW1674" s="36"/>
      <c r="AX1674" s="34"/>
    </row>
    <row r="1675" ht="14.5" spans="1:50">
      <c r="A1675" s="32"/>
      <c r="B1675" s="36"/>
      <c r="C1675" s="91" t="s">
        <v>1473</v>
      </c>
      <c r="D1675" s="69" t="s">
        <v>27</v>
      </c>
      <c r="E1675" s="107" t="s">
        <v>1724</v>
      </c>
      <c r="F1675" s="107" t="s">
        <v>1724</v>
      </c>
      <c r="G1675" s="107" t="s">
        <v>1724</v>
      </c>
      <c r="H1675" s="107" t="s">
        <v>1724</v>
      </c>
      <c r="I1675" s="71">
        <v>0.9</v>
      </c>
      <c r="J1675" s="72">
        <v>0.428571428571429</v>
      </c>
      <c r="K1675" s="72">
        <v>0</v>
      </c>
      <c r="L1675" s="73">
        <v>0.5</v>
      </c>
      <c r="M1675" s="72">
        <v>0.346938775510204</v>
      </c>
      <c r="N1675" s="74">
        <v>0.9</v>
      </c>
      <c r="O1675" s="72">
        <v>0</v>
      </c>
      <c r="P1675" s="72">
        <v>0</v>
      </c>
      <c r="Q1675" s="72">
        <v>0</v>
      </c>
      <c r="R1675" s="72">
        <v>0.666666666666667</v>
      </c>
      <c r="S1675" s="74">
        <v>0.9</v>
      </c>
      <c r="T1675" s="72">
        <v>0</v>
      </c>
      <c r="U1675" s="72">
        <v>0</v>
      </c>
      <c r="V1675" s="72">
        <v>0</v>
      </c>
      <c r="W1675" s="72">
        <v>0.333333333333333</v>
      </c>
      <c r="X1675" s="74">
        <v>0.92</v>
      </c>
      <c r="Y1675" s="74">
        <v>0</v>
      </c>
      <c r="Z1675" s="74">
        <v>0</v>
      </c>
      <c r="AA1675" s="74">
        <v>0</v>
      </c>
      <c r="AB1675" s="74">
        <v>0</v>
      </c>
      <c r="AC1675" s="74">
        <v>0.92</v>
      </c>
      <c r="AD1675" s="72">
        <v>0</v>
      </c>
      <c r="AE1675" s="72">
        <v>0</v>
      </c>
      <c r="AF1675" s="72">
        <v>1</v>
      </c>
      <c r="AG1675" s="72">
        <v>0.75</v>
      </c>
      <c r="AH1675" s="74">
        <v>0.92</v>
      </c>
      <c r="AI1675" s="72">
        <v>0.556</v>
      </c>
      <c r="AJ1675" s="72">
        <v>0.224899598393574</v>
      </c>
      <c r="AK1675" s="72">
        <v>0.777041942604856</v>
      </c>
      <c r="AL1675" s="72">
        <v>0.617700180614088</v>
      </c>
      <c r="AM1675" s="71">
        <v>0.99</v>
      </c>
      <c r="AN1675" s="76">
        <v>0</v>
      </c>
      <c r="AO1675" s="76">
        <v>0</v>
      </c>
      <c r="AP1675" s="76">
        <v>0</v>
      </c>
      <c r="AQ1675" s="76">
        <v>1</v>
      </c>
      <c r="AR1675" s="96">
        <v>0.110069253262963</v>
      </c>
      <c r="AS1675" s="80">
        <v>0</v>
      </c>
      <c r="AT1675" s="80">
        <v>0.111111111111111</v>
      </c>
      <c r="AU1675" s="80">
        <v>0</v>
      </c>
      <c r="AV1675" s="80">
        <v>0.0677966101694915</v>
      </c>
      <c r="AW1675" s="36"/>
      <c r="AX1675" s="34"/>
    </row>
    <row r="1676" ht="14.5" spans="1:50">
      <c r="A1676" s="32"/>
      <c r="B1676" s="36"/>
      <c r="C1676" s="91" t="s">
        <v>1473</v>
      </c>
      <c r="D1676" s="69" t="s">
        <v>27</v>
      </c>
      <c r="E1676" s="107" t="s">
        <v>1725</v>
      </c>
      <c r="F1676" s="107" t="s">
        <v>1725</v>
      </c>
      <c r="G1676" s="107" t="s">
        <v>1725</v>
      </c>
      <c r="H1676" s="107" t="s">
        <v>1725</v>
      </c>
      <c r="I1676" s="71">
        <v>0.9</v>
      </c>
      <c r="J1676" s="72">
        <v>1</v>
      </c>
      <c r="K1676" s="72">
        <v>1</v>
      </c>
      <c r="L1676" s="73">
        <v>1</v>
      </c>
      <c r="M1676" s="72">
        <v>1</v>
      </c>
      <c r="N1676" s="74">
        <v>0.9</v>
      </c>
      <c r="O1676" s="72">
        <v>0.896867838044309</v>
      </c>
      <c r="P1676" s="72">
        <v>0.971375233354076</v>
      </c>
      <c r="Q1676" s="72">
        <v>0.994016454749439</v>
      </c>
      <c r="R1676" s="72">
        <v>0.948322756119674</v>
      </c>
      <c r="S1676" s="74">
        <v>0.9</v>
      </c>
      <c r="T1676" s="72">
        <v>0.893048128342246</v>
      </c>
      <c r="U1676" s="72">
        <v>0.929682638456752</v>
      </c>
      <c r="V1676" s="72">
        <v>0.982797307404637</v>
      </c>
      <c r="W1676" s="72">
        <v>0.934146542487431</v>
      </c>
      <c r="X1676" s="74">
        <v>0.92</v>
      </c>
      <c r="Y1676" s="74">
        <v>0</v>
      </c>
      <c r="Z1676" s="74">
        <v>0</v>
      </c>
      <c r="AA1676" s="74">
        <v>0</v>
      </c>
      <c r="AB1676" s="74">
        <v>0</v>
      </c>
      <c r="AC1676" s="74">
        <v>0.92</v>
      </c>
      <c r="AD1676" s="72">
        <v>0.566666666666667</v>
      </c>
      <c r="AE1676" s="72">
        <v>0.271428571428571</v>
      </c>
      <c r="AF1676" s="72">
        <v>0.21875</v>
      </c>
      <c r="AG1676" s="72">
        <v>0.29925187032419</v>
      </c>
      <c r="AH1676" s="74">
        <v>0.92</v>
      </c>
      <c r="AI1676" s="72">
        <v>0.967914438502674</v>
      </c>
      <c r="AJ1676" s="72">
        <v>0.976353453640324</v>
      </c>
      <c r="AK1676" s="72">
        <v>0.99700822737472</v>
      </c>
      <c r="AL1676" s="72">
        <v>0.984752328360669</v>
      </c>
      <c r="AM1676" s="71">
        <v>0.99</v>
      </c>
      <c r="AN1676" s="76">
        <v>1</v>
      </c>
      <c r="AO1676" s="76">
        <v>1</v>
      </c>
      <c r="AP1676" s="76">
        <v>1</v>
      </c>
      <c r="AQ1676" s="76">
        <v>1</v>
      </c>
      <c r="AR1676" s="96">
        <v>0.110069253262963</v>
      </c>
      <c r="AS1676" s="80">
        <v>0.0588235294117647</v>
      </c>
      <c r="AT1676" s="80">
        <v>0.0833333333333333</v>
      </c>
      <c r="AU1676" s="80">
        <v>0.166666666666667</v>
      </c>
      <c r="AV1676" s="80">
        <v>0.106060606060606</v>
      </c>
      <c r="AW1676" s="36"/>
      <c r="AX1676" s="34"/>
    </row>
    <row r="1677" ht="14.5" spans="1:50">
      <c r="A1677" s="32"/>
      <c r="B1677" s="36"/>
      <c r="C1677" s="91" t="s">
        <v>1473</v>
      </c>
      <c r="D1677" s="69" t="s">
        <v>27</v>
      </c>
      <c r="E1677" s="107" t="s">
        <v>1726</v>
      </c>
      <c r="F1677" s="107" t="s">
        <v>1726</v>
      </c>
      <c r="G1677" s="107" t="s">
        <v>1726</v>
      </c>
      <c r="H1677" s="107" t="s">
        <v>1726</v>
      </c>
      <c r="I1677" s="71">
        <v>0.9</v>
      </c>
      <c r="J1677" s="72">
        <v>0.846153846153846</v>
      </c>
      <c r="K1677" s="72">
        <v>0.941176470588235</v>
      </c>
      <c r="L1677" s="73">
        <v>0.9</v>
      </c>
      <c r="M1677" s="72">
        <v>0.943502824858757</v>
      </c>
      <c r="N1677" s="74">
        <v>0.9</v>
      </c>
      <c r="O1677" s="72">
        <v>0.898611695414388</v>
      </c>
      <c r="P1677" s="72">
        <v>0.975688237397211</v>
      </c>
      <c r="Q1677" s="72">
        <v>0.981481481481482</v>
      </c>
      <c r="R1677" s="72">
        <v>0.962290999644255</v>
      </c>
      <c r="S1677" s="74">
        <v>0.9</v>
      </c>
      <c r="T1677" s="72">
        <v>0.766512410601599</v>
      </c>
      <c r="U1677" s="72">
        <v>0.915623882731498</v>
      </c>
      <c r="V1677" s="72">
        <v>0.909876543209877</v>
      </c>
      <c r="W1677" s="72">
        <v>0.899101743151903</v>
      </c>
      <c r="X1677" s="74">
        <v>0.92</v>
      </c>
      <c r="Y1677" s="74">
        <v>0</v>
      </c>
      <c r="Z1677" s="74">
        <v>0</v>
      </c>
      <c r="AA1677" s="74">
        <v>0</v>
      </c>
      <c r="AB1677" s="74">
        <v>0</v>
      </c>
      <c r="AC1677" s="74">
        <v>0.92</v>
      </c>
      <c r="AD1677" s="72">
        <v>1</v>
      </c>
      <c r="AE1677" s="72">
        <v>0.977777777777778</v>
      </c>
      <c r="AF1677" s="72">
        <v>0.305263157894737</v>
      </c>
      <c r="AG1677" s="72">
        <v>0.92162417374882</v>
      </c>
      <c r="AH1677" s="74">
        <v>0.92</v>
      </c>
      <c r="AI1677" s="72">
        <v>0.841817416912074</v>
      </c>
      <c r="AJ1677" s="72">
        <v>0.952091526635681</v>
      </c>
      <c r="AK1677" s="72">
        <v>0.965432098765432</v>
      </c>
      <c r="AL1677" s="72">
        <v>0.943480967627179</v>
      </c>
      <c r="AM1677" s="71">
        <v>0.99</v>
      </c>
      <c r="AN1677" s="76">
        <v>0</v>
      </c>
      <c r="AO1677" s="76">
        <v>0</v>
      </c>
      <c r="AP1677" s="76">
        <v>1</v>
      </c>
      <c r="AQ1677" s="76">
        <v>1</v>
      </c>
      <c r="AR1677" s="96">
        <v>0.110069253262963</v>
      </c>
      <c r="AS1677" s="80">
        <v>0</v>
      </c>
      <c r="AT1677" s="80">
        <v>0</v>
      </c>
      <c r="AU1677" s="80">
        <v>0.153846153846154</v>
      </c>
      <c r="AV1677" s="80">
        <v>0.0510204081632653</v>
      </c>
      <c r="AW1677" s="36"/>
      <c r="AX1677" s="34"/>
    </row>
    <row r="1678" ht="14.5" spans="1:50">
      <c r="A1678" s="32"/>
      <c r="B1678" s="36"/>
      <c r="C1678" s="91" t="s">
        <v>1473</v>
      </c>
      <c r="D1678" s="69" t="s">
        <v>27</v>
      </c>
      <c r="E1678" s="107" t="s">
        <v>1727</v>
      </c>
      <c r="F1678" s="107" t="s">
        <v>1727</v>
      </c>
      <c r="G1678" s="107" t="s">
        <v>1727</v>
      </c>
      <c r="H1678" s="107" t="s">
        <v>1727</v>
      </c>
      <c r="I1678" s="71">
        <v>0.9</v>
      </c>
      <c r="J1678" s="72">
        <v>0.7</v>
      </c>
      <c r="K1678" s="72">
        <v>0.761904761904762</v>
      </c>
      <c r="L1678" s="73">
        <v>0.866666666666667</v>
      </c>
      <c r="M1678" s="72">
        <v>0.868263473053892</v>
      </c>
      <c r="N1678" s="74">
        <v>0.9</v>
      </c>
      <c r="O1678" s="72">
        <v>0.88997338065661</v>
      </c>
      <c r="P1678" s="72">
        <v>0.688855269793243</v>
      </c>
      <c r="Q1678" s="72">
        <v>0.867236024844721</v>
      </c>
      <c r="R1678" s="72">
        <v>0.830614203454894</v>
      </c>
      <c r="S1678" s="74">
        <v>0.9</v>
      </c>
      <c r="T1678" s="72">
        <v>0.584294587400177</v>
      </c>
      <c r="U1678" s="72">
        <v>0.496722138174483</v>
      </c>
      <c r="V1678" s="72">
        <v>0.612577639751553</v>
      </c>
      <c r="W1678" s="72">
        <v>0.573896353166987</v>
      </c>
      <c r="X1678" s="74">
        <v>0.92</v>
      </c>
      <c r="Y1678" s="74">
        <v>0</v>
      </c>
      <c r="Z1678" s="74">
        <v>0</v>
      </c>
      <c r="AA1678" s="74">
        <v>0</v>
      </c>
      <c r="AB1678" s="74">
        <v>0</v>
      </c>
      <c r="AC1678" s="74">
        <v>0.92</v>
      </c>
      <c r="AD1678" s="72">
        <v>0.227272727272727</v>
      </c>
      <c r="AE1678" s="72">
        <v>0.409090909090909</v>
      </c>
      <c r="AF1678" s="72">
        <v>0.0526315789473684</v>
      </c>
      <c r="AG1678" s="72">
        <v>0.30625</v>
      </c>
      <c r="AH1678" s="74">
        <v>0.92</v>
      </c>
      <c r="AI1678" s="72">
        <v>0.720940550133097</v>
      </c>
      <c r="AJ1678" s="72">
        <v>0.659606656580938</v>
      </c>
      <c r="AK1678" s="72">
        <v>0.65166795965865</v>
      </c>
      <c r="AL1678" s="72">
        <v>0.690037785641456</v>
      </c>
      <c r="AM1678" s="71">
        <v>0.99</v>
      </c>
      <c r="AN1678" s="76">
        <v>1</v>
      </c>
      <c r="AO1678" s="76">
        <v>1</v>
      </c>
      <c r="AP1678" s="76">
        <v>0</v>
      </c>
      <c r="AQ1678" s="76">
        <v>1</v>
      </c>
      <c r="AR1678" s="96">
        <v>0.110069253262963</v>
      </c>
      <c r="AS1678" s="80">
        <v>0.0714285714285714</v>
      </c>
      <c r="AT1678" s="80">
        <v>0.186046511627907</v>
      </c>
      <c r="AU1678" s="80">
        <v>0.130434782608696</v>
      </c>
      <c r="AV1678" s="80">
        <v>0.101503759398496</v>
      </c>
      <c r="AW1678" s="36"/>
      <c r="AX1678" s="34"/>
    </row>
    <row r="1679" ht="14.5" spans="1:50">
      <c r="A1679" s="32"/>
      <c r="B1679" s="36"/>
      <c r="C1679" s="91" t="s">
        <v>1473</v>
      </c>
      <c r="D1679" s="69" t="s">
        <v>27</v>
      </c>
      <c r="E1679" s="107" t="s">
        <v>1728</v>
      </c>
      <c r="F1679" s="107" t="s">
        <v>1728</v>
      </c>
      <c r="G1679" s="107" t="s">
        <v>1728</v>
      </c>
      <c r="H1679" s="107" t="s">
        <v>1728</v>
      </c>
      <c r="I1679" s="71">
        <v>0.9</v>
      </c>
      <c r="J1679" s="72">
        <v>0.75</v>
      </c>
      <c r="K1679" s="72">
        <v>0.75</v>
      </c>
      <c r="L1679" s="73">
        <v>1</v>
      </c>
      <c r="M1679" s="72">
        <v>0.727272727272727</v>
      </c>
      <c r="N1679" s="74">
        <v>0.9</v>
      </c>
      <c r="O1679" s="72">
        <v>0</v>
      </c>
      <c r="P1679" s="72">
        <v>0</v>
      </c>
      <c r="Q1679" s="72">
        <v>0</v>
      </c>
      <c r="R1679" s="72">
        <v>0</v>
      </c>
      <c r="S1679" s="74">
        <v>0.9</v>
      </c>
      <c r="T1679" s="72">
        <v>0</v>
      </c>
      <c r="U1679" s="72">
        <v>0</v>
      </c>
      <c r="V1679" s="72">
        <v>0</v>
      </c>
      <c r="W1679" s="72">
        <v>0</v>
      </c>
      <c r="X1679" s="74">
        <v>0.92</v>
      </c>
      <c r="Y1679" s="74">
        <v>0</v>
      </c>
      <c r="Z1679" s="74">
        <v>0</v>
      </c>
      <c r="AA1679" s="74">
        <v>0</v>
      </c>
      <c r="AB1679" s="74">
        <v>0</v>
      </c>
      <c r="AC1679" s="74">
        <v>0.92</v>
      </c>
      <c r="AD1679" s="72">
        <v>0</v>
      </c>
      <c r="AE1679" s="72">
        <v>0</v>
      </c>
      <c r="AF1679" s="72">
        <v>0</v>
      </c>
      <c r="AG1679" s="72">
        <v>0.1875</v>
      </c>
      <c r="AH1679" s="74">
        <v>0.92</v>
      </c>
      <c r="AI1679" s="72">
        <v>0.878048780487805</v>
      </c>
      <c r="AJ1679" s="72">
        <v>0.892105263157895</v>
      </c>
      <c r="AK1679" s="72">
        <v>0.935374149659864</v>
      </c>
      <c r="AL1679" s="72">
        <v>0.946474887998114</v>
      </c>
      <c r="AM1679" s="71">
        <v>0.99</v>
      </c>
      <c r="AN1679" s="76">
        <v>0</v>
      </c>
      <c r="AO1679" s="76">
        <v>0</v>
      </c>
      <c r="AP1679" s="76">
        <v>0</v>
      </c>
      <c r="AQ1679" s="76">
        <v>0</v>
      </c>
      <c r="AR1679" s="96">
        <v>0.110069253262963</v>
      </c>
      <c r="AS1679" s="80">
        <v>0</v>
      </c>
      <c r="AT1679" s="80">
        <v>0.333333333333333</v>
      </c>
      <c r="AU1679" s="80">
        <v>0</v>
      </c>
      <c r="AV1679" s="80">
        <v>0.087719298245614</v>
      </c>
      <c r="AW1679" s="36"/>
      <c r="AX1679" s="34"/>
    </row>
    <row r="1680" ht="14.5" spans="1:50">
      <c r="A1680" s="32"/>
      <c r="B1680" s="36"/>
      <c r="C1680" s="91" t="s">
        <v>1473</v>
      </c>
      <c r="D1680" s="69" t="s">
        <v>27</v>
      </c>
      <c r="E1680" s="107" t="s">
        <v>1729</v>
      </c>
      <c r="F1680" s="107" t="s">
        <v>1729</v>
      </c>
      <c r="G1680" s="107" t="s">
        <v>1729</v>
      </c>
      <c r="H1680" s="107" t="s">
        <v>1729</v>
      </c>
      <c r="I1680" s="71">
        <v>0.9</v>
      </c>
      <c r="J1680" s="72">
        <v>1</v>
      </c>
      <c r="K1680" s="72">
        <v>0.928571428571429</v>
      </c>
      <c r="L1680" s="73">
        <v>0.846153846153846</v>
      </c>
      <c r="M1680" s="72">
        <v>0.941176470588235</v>
      </c>
      <c r="N1680" s="74">
        <v>0.9</v>
      </c>
      <c r="O1680" s="72">
        <v>0</v>
      </c>
      <c r="P1680" s="72">
        <v>1</v>
      </c>
      <c r="Q1680" s="72">
        <v>0.166666666666667</v>
      </c>
      <c r="R1680" s="72">
        <v>0.0714285714285714</v>
      </c>
      <c r="S1680" s="74">
        <v>0.9</v>
      </c>
      <c r="T1680" s="72">
        <v>0</v>
      </c>
      <c r="U1680" s="72">
        <v>1</v>
      </c>
      <c r="V1680" s="72">
        <v>0</v>
      </c>
      <c r="W1680" s="72">
        <v>0.0714285714285714</v>
      </c>
      <c r="X1680" s="74">
        <v>0.92</v>
      </c>
      <c r="Y1680" s="74">
        <v>0</v>
      </c>
      <c r="Z1680" s="74">
        <v>0</v>
      </c>
      <c r="AA1680" s="74">
        <v>0</v>
      </c>
      <c r="AB1680" s="74">
        <v>0</v>
      </c>
      <c r="AC1680" s="74">
        <v>0.92</v>
      </c>
      <c r="AD1680" s="72">
        <v>0</v>
      </c>
      <c r="AE1680" s="72">
        <v>0.333333333333333</v>
      </c>
      <c r="AF1680" s="72">
        <v>0</v>
      </c>
      <c r="AG1680" s="72">
        <v>0.12</v>
      </c>
      <c r="AH1680" s="74">
        <v>0.92</v>
      </c>
      <c r="AI1680" s="72">
        <v>0.826539462272333</v>
      </c>
      <c r="AJ1680" s="72">
        <v>0.827186512118019</v>
      </c>
      <c r="AK1680" s="72">
        <v>0.88623595505618</v>
      </c>
      <c r="AL1680" s="72">
        <v>0.878255998506209</v>
      </c>
      <c r="AM1680" s="71">
        <v>0.99</v>
      </c>
      <c r="AN1680" s="76">
        <v>0</v>
      </c>
      <c r="AO1680" s="76">
        <v>1</v>
      </c>
      <c r="AP1680" s="76">
        <v>1</v>
      </c>
      <c r="AQ1680" s="76">
        <v>1</v>
      </c>
      <c r="AR1680" s="96">
        <v>0.110069253262963</v>
      </c>
      <c r="AS1680" s="80">
        <v>0.272727272727273</v>
      </c>
      <c r="AT1680" s="80">
        <v>0.0714285714285714</v>
      </c>
      <c r="AU1680" s="80">
        <v>0</v>
      </c>
      <c r="AV1680" s="80">
        <v>0.106918238993711</v>
      </c>
      <c r="AW1680" s="36"/>
      <c r="AX1680" s="34"/>
    </row>
    <row r="1681" ht="14.5" spans="1:72">
      <c r="A1681" s="32"/>
      <c r="B1681" s="36"/>
      <c r="C1681" s="91" t="s">
        <v>1473</v>
      </c>
      <c r="D1681" s="69" t="s">
        <v>27</v>
      </c>
      <c r="E1681" s="107" t="s">
        <v>1730</v>
      </c>
      <c r="F1681" s="107" t="s">
        <v>1730</v>
      </c>
      <c r="G1681" s="107" t="s">
        <v>1730</v>
      </c>
      <c r="H1681" s="107" t="s">
        <v>1730</v>
      </c>
      <c r="I1681" s="71">
        <v>0.9</v>
      </c>
      <c r="J1681" s="72">
        <v>0.931034482758621</v>
      </c>
      <c r="K1681" s="72">
        <v>0.96969696969697</v>
      </c>
      <c r="L1681" s="73">
        <v>0.971428571428571</v>
      </c>
      <c r="M1681" s="72">
        <v>0.943521594684385</v>
      </c>
      <c r="N1681" s="74">
        <v>0.9</v>
      </c>
      <c r="O1681" s="72">
        <v>0.0234339792699414</v>
      </c>
      <c r="P1681" s="72">
        <v>0.46677833612507</v>
      </c>
      <c r="Q1681" s="72">
        <v>0.0290153072880969</v>
      </c>
      <c r="R1681" s="72">
        <v>0.23528059538519</v>
      </c>
      <c r="S1681" s="74">
        <v>0.9</v>
      </c>
      <c r="T1681" s="72">
        <v>0.234114465975665</v>
      </c>
      <c r="U1681" s="72">
        <v>0.426298157453936</v>
      </c>
      <c r="V1681" s="72">
        <v>0.378798263650902</v>
      </c>
      <c r="W1681" s="72">
        <v>0.430763483807937</v>
      </c>
      <c r="X1681" s="74">
        <v>0.92</v>
      </c>
      <c r="Y1681" s="74">
        <v>0</v>
      </c>
      <c r="Z1681" s="74">
        <v>0</v>
      </c>
      <c r="AA1681" s="74">
        <v>0</v>
      </c>
      <c r="AB1681" s="74">
        <v>0</v>
      </c>
      <c r="AC1681" s="74">
        <v>0.92</v>
      </c>
      <c r="AD1681" s="72">
        <v>1</v>
      </c>
      <c r="AE1681" s="72">
        <v>0.993220338983051</v>
      </c>
      <c r="AF1681" s="72">
        <v>0.81981981981982</v>
      </c>
      <c r="AG1681" s="72">
        <v>0.960800667222686</v>
      </c>
      <c r="AH1681" s="74">
        <v>0.92</v>
      </c>
      <c r="AI1681" s="72">
        <v>0.609283461018477</v>
      </c>
      <c r="AJ1681" s="72">
        <v>0.785594639865997</v>
      </c>
      <c r="AK1681" s="72">
        <v>0.843043180260452</v>
      </c>
      <c r="AL1681" s="72">
        <v>0.79856900663774</v>
      </c>
      <c r="AM1681" s="71">
        <v>0.99</v>
      </c>
      <c r="AN1681" s="76">
        <v>1</v>
      </c>
      <c r="AO1681" s="76">
        <v>1</v>
      </c>
      <c r="AP1681" s="76">
        <v>1</v>
      </c>
      <c r="AQ1681" s="76">
        <v>1</v>
      </c>
      <c r="AR1681" s="96">
        <v>0.110069253262963</v>
      </c>
      <c r="AS1681" s="80">
        <v>0.0555555555555556</v>
      </c>
      <c r="AT1681" s="80">
        <v>0.193548387096774</v>
      </c>
      <c r="AU1681" s="80">
        <v>0.125</v>
      </c>
      <c r="AV1681" s="80">
        <v>0.110132158590308</v>
      </c>
      <c r="AW1681" s="36"/>
      <c r="AX1681" s="34"/>
    </row>
    <row r="1682" ht="14.5" spans="1:72">
      <c r="A1682" s="32"/>
      <c r="B1682" s="36"/>
      <c r="C1682" s="91" t="s">
        <v>1473</v>
      </c>
      <c r="D1682" s="69" t="s">
        <v>27</v>
      </c>
      <c r="E1682" s="107" t="s">
        <v>1731</v>
      </c>
      <c r="F1682" s="107" t="s">
        <v>1731</v>
      </c>
      <c r="G1682" s="107" t="s">
        <v>1731</v>
      </c>
      <c r="H1682" s="107" t="s">
        <v>1731</v>
      </c>
      <c r="I1682" s="71">
        <v>0.9</v>
      </c>
      <c r="J1682" s="72">
        <v>0.923076923076923</v>
      </c>
      <c r="K1682" s="72">
        <v>0.916666666666667</v>
      </c>
      <c r="L1682" s="73">
        <v>0.869565217391304</v>
      </c>
      <c r="M1682" s="72">
        <v>0.919282511210762</v>
      </c>
      <c r="N1682" s="74">
        <v>0.9</v>
      </c>
      <c r="O1682" s="72">
        <v>0.830368225072404</v>
      </c>
      <c r="P1682" s="72">
        <v>0.878758008871365</v>
      </c>
      <c r="Q1682" s="72">
        <v>0.795058728230053</v>
      </c>
      <c r="R1682" s="72">
        <v>0.817618647627048</v>
      </c>
      <c r="S1682" s="74">
        <v>0.9</v>
      </c>
      <c r="T1682" s="72">
        <v>0.460901944559371</v>
      </c>
      <c r="U1682" s="72">
        <v>0.51848201084278</v>
      </c>
      <c r="V1682" s="72">
        <v>0.371000405022276</v>
      </c>
      <c r="W1682" s="72">
        <v>0.467293154136917</v>
      </c>
      <c r="X1682" s="74">
        <v>0.92</v>
      </c>
      <c r="Y1682" s="74">
        <v>0</v>
      </c>
      <c r="Z1682" s="74">
        <v>0</v>
      </c>
      <c r="AA1682" s="74">
        <v>0</v>
      </c>
      <c r="AB1682" s="74">
        <v>0</v>
      </c>
      <c r="AC1682" s="74">
        <v>0.92</v>
      </c>
      <c r="AD1682" s="72">
        <v>0</v>
      </c>
      <c r="AE1682" s="72">
        <v>0.25</v>
      </c>
      <c r="AF1682" s="72">
        <v>0.181818181818182</v>
      </c>
      <c r="AG1682" s="72">
        <v>0.134615384615385</v>
      </c>
      <c r="AH1682" s="74">
        <v>0.92</v>
      </c>
      <c r="AI1682" s="72">
        <v>0.8349193214729</v>
      </c>
      <c r="AJ1682" s="72">
        <v>0.822079842286841</v>
      </c>
      <c r="AK1682" s="72">
        <v>0.829485621709194</v>
      </c>
      <c r="AL1682" s="72">
        <v>0.84402561948761</v>
      </c>
      <c r="AM1682" s="71">
        <v>0.99</v>
      </c>
      <c r="AN1682" s="76">
        <v>0</v>
      </c>
      <c r="AO1682" s="76">
        <v>0</v>
      </c>
      <c r="AP1682" s="76">
        <v>0</v>
      </c>
      <c r="AQ1682" s="76">
        <v>1</v>
      </c>
      <c r="AR1682" s="96">
        <v>0.110069253262963</v>
      </c>
      <c r="AS1682" s="80">
        <v>0.121212121212121</v>
      </c>
      <c r="AT1682" s="80">
        <v>0.0357142857142857</v>
      </c>
      <c r="AU1682" s="80">
        <v>0</v>
      </c>
      <c r="AV1682" s="80">
        <v>0.0588235294117647</v>
      </c>
      <c r="AW1682" s="36"/>
      <c r="AX1682" s="34"/>
    </row>
    <row r="1683" ht="14.5" spans="1:72">
      <c r="A1683" s="32"/>
      <c r="B1683" s="36"/>
      <c r="C1683" s="91" t="s">
        <v>1473</v>
      </c>
      <c r="D1683" s="69" t="s">
        <v>27</v>
      </c>
      <c r="E1683" s="107" t="s">
        <v>1732</v>
      </c>
      <c r="F1683" s="107" t="s">
        <v>1732</v>
      </c>
      <c r="G1683" s="107" t="s">
        <v>1732</v>
      </c>
      <c r="H1683" s="107" t="s">
        <v>1732</v>
      </c>
      <c r="I1683" s="71">
        <v>0.9</v>
      </c>
      <c r="J1683" s="72">
        <v>0</v>
      </c>
      <c r="K1683" s="72">
        <v>0</v>
      </c>
      <c r="L1683" s="73">
        <v>0</v>
      </c>
      <c r="M1683" s="72">
        <v>0</v>
      </c>
      <c r="N1683" s="74">
        <v>0.9</v>
      </c>
      <c r="O1683" s="72">
        <v>0</v>
      </c>
      <c r="P1683" s="72">
        <v>0</v>
      </c>
      <c r="Q1683" s="72">
        <v>0</v>
      </c>
      <c r="R1683" s="72">
        <v>0</v>
      </c>
      <c r="S1683" s="74">
        <v>0.9</v>
      </c>
      <c r="T1683" s="72">
        <v>0</v>
      </c>
      <c r="U1683" s="72">
        <v>0</v>
      </c>
      <c r="V1683" s="72">
        <v>0</v>
      </c>
      <c r="W1683" s="72">
        <v>0</v>
      </c>
      <c r="X1683" s="74">
        <v>0.92</v>
      </c>
      <c r="Y1683" s="74">
        <v>0</v>
      </c>
      <c r="Z1683" s="74">
        <v>0</v>
      </c>
      <c r="AA1683" s="74">
        <v>0</v>
      </c>
      <c r="AB1683" s="74">
        <v>0</v>
      </c>
      <c r="AC1683" s="74">
        <v>0.92</v>
      </c>
      <c r="AD1683" s="72">
        <v>0</v>
      </c>
      <c r="AE1683" s="72">
        <v>0</v>
      </c>
      <c r="AF1683" s="72">
        <v>0</v>
      </c>
      <c r="AG1683" s="72">
        <v>0</v>
      </c>
      <c r="AH1683" s="74">
        <v>0.92</v>
      </c>
      <c r="AI1683" s="72">
        <v>0</v>
      </c>
      <c r="AJ1683" s="72">
        <v>0</v>
      </c>
      <c r="AK1683" s="72">
        <v>0</v>
      </c>
      <c r="AL1683" s="72">
        <v>0</v>
      </c>
      <c r="AM1683" s="71">
        <v>0.99</v>
      </c>
      <c r="AN1683" s="76">
        <v>0</v>
      </c>
      <c r="AO1683" s="76">
        <v>0</v>
      </c>
      <c r="AP1683" s="76">
        <v>0</v>
      </c>
      <c r="AQ1683" s="76">
        <v>0</v>
      </c>
      <c r="AR1683" s="96">
        <v>0.110069253262963</v>
      </c>
      <c r="AS1683" s="80">
        <v>0</v>
      </c>
      <c r="AT1683" s="80">
        <v>0</v>
      </c>
      <c r="AU1683" s="80">
        <v>0</v>
      </c>
      <c r="AV1683" s="80">
        <v>0</v>
      </c>
      <c r="AW1683" s="36"/>
      <c r="AX1683" s="34"/>
    </row>
    <row r="1684" ht="17.25" customHeight="1" spans="1:72">
      <c r="A1684" s="32"/>
      <c r="B1684" s="36"/>
      <c r="C1684" s="137" t="s">
        <v>30</v>
      </c>
      <c r="D1684" s="138"/>
      <c r="E1684" s="138"/>
      <c r="F1684" s="138"/>
      <c r="G1684" s="138"/>
      <c r="H1684" s="138"/>
      <c r="I1684" s="139" t="s">
        <v>31</v>
      </c>
      <c r="J1684" s="140">
        <v>0.917700817700818</v>
      </c>
      <c r="K1684" s="140">
        <v>0.924197184815063</v>
      </c>
      <c r="L1684" s="140">
        <v>0.928359387567085</v>
      </c>
      <c r="M1684" s="140">
        <v>0.92393789156799</v>
      </c>
      <c r="N1684" s="139" t="s">
        <v>31</v>
      </c>
      <c r="O1684" s="141">
        <v>0.921766939984892</v>
      </c>
      <c r="P1684" s="141">
        <v>0.946958837276099</v>
      </c>
      <c r="Q1684" s="141">
        <v>0.946098046012505</v>
      </c>
      <c r="R1684" s="140">
        <v>0.936652456049138</v>
      </c>
      <c r="S1684" s="139" t="s">
        <v>31</v>
      </c>
      <c r="T1684" s="141">
        <v>0.847389133041591</v>
      </c>
      <c r="U1684" s="141">
        <v>0.885920274960644</v>
      </c>
      <c r="V1684" s="141">
        <v>0.892013311577443</v>
      </c>
      <c r="W1684" s="142">
        <v>0.875533617863456</v>
      </c>
      <c r="X1684" s="139" t="s">
        <v>31</v>
      </c>
      <c r="Y1684" s="143">
        <v>0.895822109048474</v>
      </c>
      <c r="Z1684" s="143">
        <v>0.926571753446724</v>
      </c>
      <c r="AA1684" s="143">
        <v>0.939544367132821</v>
      </c>
      <c r="AB1684" s="143">
        <v>0.92891437498155</v>
      </c>
      <c r="AC1684" s="139" t="s">
        <v>31</v>
      </c>
      <c r="AD1684" s="141">
        <v>0.987956108970831</v>
      </c>
      <c r="AE1684" s="141">
        <v>0.965912383757229</v>
      </c>
      <c r="AF1684" s="141">
        <v>0.96941016580247</v>
      </c>
      <c r="AG1684" s="142">
        <v>0.96959942485213</v>
      </c>
      <c r="AH1684" s="139" t="s">
        <v>31</v>
      </c>
      <c r="AI1684" s="141">
        <v>0.926428800390662</v>
      </c>
      <c r="AJ1684" s="141">
        <v>0.951748674840414</v>
      </c>
      <c r="AK1684" s="141">
        <v>0.960879648277668</v>
      </c>
      <c r="AL1684" s="142">
        <v>0.953750881961523</v>
      </c>
      <c r="AM1684" s="139" t="s">
        <v>31</v>
      </c>
      <c r="AN1684" s="142">
        <v>0.990549403467141</v>
      </c>
      <c r="AO1684" s="142">
        <v>0.984159309508363</v>
      </c>
      <c r="AP1684" s="142">
        <v>0.99370979677805</v>
      </c>
      <c r="AQ1684" s="142">
        <v>0.991465802255713</v>
      </c>
      <c r="AR1684" s="139" t="s">
        <v>31</v>
      </c>
      <c r="AS1684" s="142">
        <v>0.0536777608376722</v>
      </c>
      <c r="AT1684" s="142">
        <v>0.0512190298612877</v>
      </c>
      <c r="AU1684" s="142">
        <v>0.0512877319302132</v>
      </c>
      <c r="AV1684" s="142">
        <v>0.0504855515766438</v>
      </c>
      <c r="AW1684" s="36"/>
      <c r="AX1684" s="34"/>
    </row>
    <row r="1685" ht="24" customHeight="1" spans="1:72">
      <c r="A1685" s="32"/>
      <c r="B1685" s="36"/>
      <c r="C1685" s="144"/>
      <c r="D1685" s="144"/>
      <c r="E1685" s="144"/>
      <c r="F1685" s="144"/>
      <c r="G1685" s="144"/>
      <c r="H1685" s="144"/>
      <c r="I1685" s="145"/>
      <c r="J1685" s="145"/>
      <c r="K1685" s="145"/>
      <c r="L1685" s="145"/>
      <c r="M1685" s="145"/>
      <c r="N1685" s="145"/>
      <c r="O1685" s="145"/>
      <c r="P1685" s="145"/>
      <c r="Q1685" s="145"/>
      <c r="R1685" s="145"/>
      <c r="S1685" s="145"/>
      <c r="T1685" s="146"/>
      <c r="U1685" s="145"/>
      <c r="V1685" s="145"/>
      <c r="W1685" s="145"/>
      <c r="X1685" s="145"/>
      <c r="Y1685" s="145"/>
      <c r="Z1685" s="145"/>
      <c r="AA1685" s="145"/>
      <c r="AB1685" s="145"/>
      <c r="AC1685" s="145"/>
      <c r="AD1685" s="145"/>
      <c r="AE1685" s="145"/>
      <c r="AF1685" s="145"/>
      <c r="AG1685" s="145"/>
      <c r="AH1685" s="145"/>
      <c r="AI1685" s="145"/>
      <c r="AJ1685" s="145"/>
      <c r="AK1685" s="145"/>
      <c r="AL1685" s="145"/>
      <c r="AM1685" s="145"/>
      <c r="AN1685" s="145"/>
      <c r="AO1685" s="145"/>
      <c r="AP1685" s="145"/>
      <c r="AQ1685" s="145"/>
      <c r="AR1685" s="145"/>
      <c r="AS1685" s="145"/>
      <c r="AT1685" s="145"/>
      <c r="AU1685" s="145"/>
      <c r="AV1685" s="145"/>
      <c r="AW1685" s="36"/>
      <c r="AX1685" s="34"/>
    </row>
    <row r="1686" ht="10.5" customHeight="1" spans="1:72">
      <c r="A1686" s="34" t="s">
        <v>1733</v>
      </c>
      <c r="B1686" s="34"/>
      <c r="C1686" s="147"/>
      <c r="D1686" s="147"/>
      <c r="E1686" s="147"/>
      <c r="F1686" s="147"/>
      <c r="G1686" s="147"/>
      <c r="H1686" s="148"/>
      <c r="I1686" s="149"/>
      <c r="J1686" s="149"/>
      <c r="K1686" s="149"/>
      <c r="L1686" s="149"/>
      <c r="M1686" s="149"/>
      <c r="N1686" s="149"/>
      <c r="O1686" s="149"/>
      <c r="P1686" s="149"/>
      <c r="Q1686" s="149"/>
      <c r="R1686" s="149"/>
      <c r="S1686" s="149"/>
      <c r="T1686" s="149"/>
      <c r="U1686" s="149"/>
      <c r="V1686" s="149"/>
      <c r="W1686" s="149"/>
      <c r="X1686" s="149"/>
      <c r="Y1686" s="149"/>
      <c r="Z1686" s="149"/>
      <c r="AA1686" s="149"/>
      <c r="AB1686" s="149"/>
      <c r="AC1686" s="149"/>
      <c r="AD1686" s="149"/>
      <c r="AE1686" s="149"/>
      <c r="AF1686" s="149"/>
      <c r="AG1686" s="149"/>
      <c r="AH1686" s="149"/>
      <c r="AI1686" s="149"/>
      <c r="AJ1686" s="149"/>
      <c r="AK1686" s="149"/>
      <c r="AL1686" s="149"/>
      <c r="AM1686" s="149"/>
      <c r="AN1686" s="149"/>
      <c r="AO1686" s="149"/>
      <c r="AP1686" s="149"/>
      <c r="AQ1686" s="149"/>
      <c r="AR1686" s="150"/>
      <c r="AS1686" s="149"/>
      <c r="AT1686" s="149"/>
      <c r="AU1686" s="149"/>
      <c r="AV1686" s="149"/>
      <c r="AW1686" s="34"/>
      <c r="AX1686" s="34"/>
    </row>
    <row r="1687" ht="409.5" hidden="1" customHeight="1" spans="1:72">
      <c r="C1687" s="151" t="s">
        <v>1734</v>
      </c>
      <c r="D1687" s="152"/>
      <c r="E1687" s="152"/>
      <c r="F1687" s="152"/>
      <c r="G1687" s="152"/>
      <c r="H1687" s="152"/>
      <c r="I1687" s="152"/>
      <c r="J1687" s="152"/>
      <c r="K1687" s="152"/>
      <c r="L1687" s="152"/>
      <c r="M1687" s="152"/>
      <c r="N1687" s="152"/>
      <c r="O1687" s="152"/>
      <c r="P1687" s="152"/>
      <c r="Q1687" s="152"/>
      <c r="R1687" s="152"/>
      <c r="S1687" s="152"/>
      <c r="T1687" s="152" t="s">
        <v>1735</v>
      </c>
      <c r="U1687" s="152"/>
      <c r="V1687" s="152"/>
      <c r="W1687" s="152"/>
      <c r="X1687" s="152"/>
      <c r="Y1687" s="152"/>
      <c r="Z1687" s="152"/>
      <c r="AA1687" s="152"/>
      <c r="AB1687" s="152"/>
      <c r="AC1687" s="152"/>
      <c r="AD1687" s="152"/>
      <c r="AE1687" s="152"/>
      <c r="AF1687" s="152"/>
      <c r="AG1687" s="152"/>
      <c r="AH1687" s="152"/>
      <c r="AI1687" s="152"/>
      <c r="AJ1687" s="152"/>
      <c r="AK1687" s="152"/>
      <c r="AL1687" s="152"/>
      <c r="AM1687" s="152"/>
      <c r="AN1687" s="152"/>
      <c r="AO1687" s="152"/>
      <c r="AP1687" s="152"/>
      <c r="AQ1687" s="152"/>
      <c r="AR1687" s="152"/>
      <c r="AS1687" s="152"/>
      <c r="AT1687" s="152"/>
      <c r="AU1687" s="152"/>
      <c r="AV1687" s="152"/>
      <c r="AW1687" s="152"/>
      <c r="BD1687" s="153" t="s">
        <v>1736</v>
      </c>
      <c r="BE1687" s="154"/>
      <c r="BF1687" s="154"/>
      <c r="BG1687" s="154"/>
      <c r="BH1687" s="154"/>
      <c r="BI1687" s="154"/>
      <c r="BJ1687" s="154"/>
      <c r="BK1687" s="154"/>
      <c r="BL1687" s="154"/>
      <c r="BM1687" s="154"/>
      <c r="BN1687" s="154"/>
      <c r="BO1687" s="154"/>
      <c r="BP1687" s="154"/>
      <c r="BQ1687" s="154"/>
      <c r="BR1687" s="154"/>
      <c r="BS1687" s="154"/>
      <c r="BT1687" s="155"/>
    </row>
    <row r="1688" ht="327" hidden="1" customHeight="1" spans="1:72">
      <c r="C1688" s="151"/>
      <c r="D1688" s="152"/>
      <c r="E1688" s="152"/>
      <c r="F1688" s="152"/>
      <c r="G1688" s="152"/>
      <c r="H1688" s="152"/>
      <c r="I1688" s="152"/>
      <c r="J1688" s="152"/>
      <c r="K1688" s="152"/>
      <c r="L1688" s="152"/>
      <c r="M1688" s="152"/>
      <c r="N1688" s="152"/>
      <c r="O1688" s="152"/>
      <c r="P1688" s="152"/>
      <c r="Q1688" s="152"/>
      <c r="R1688" s="152"/>
      <c r="S1688" s="152"/>
      <c r="T1688" s="152"/>
      <c r="U1688" s="152"/>
      <c r="V1688" s="152"/>
      <c r="W1688" s="152"/>
      <c r="X1688" s="152"/>
      <c r="Y1688" s="152"/>
      <c r="Z1688" s="152"/>
      <c r="AA1688" s="152"/>
      <c r="AB1688" s="152"/>
      <c r="AC1688" s="152"/>
      <c r="AD1688" s="152"/>
      <c r="AE1688" s="152"/>
      <c r="AF1688" s="152"/>
      <c r="AG1688" s="152"/>
      <c r="AH1688" s="152"/>
      <c r="AI1688" s="152"/>
      <c r="AJ1688" s="152"/>
      <c r="AK1688" s="152"/>
      <c r="AL1688" s="152"/>
      <c r="AM1688" s="152"/>
      <c r="AN1688" s="152"/>
      <c r="AO1688" s="152"/>
      <c r="AP1688" s="152"/>
      <c r="AQ1688" s="152"/>
      <c r="AR1688" s="152"/>
      <c r="AS1688" s="152"/>
      <c r="AT1688" s="152"/>
      <c r="AU1688" s="152"/>
      <c r="AV1688" s="152"/>
      <c r="AW1688" s="152"/>
      <c r="BD1688" s="156"/>
      <c r="BE1688" s="157"/>
      <c r="BF1688" s="157"/>
      <c r="BG1688" s="157"/>
      <c r="BH1688" s="157"/>
      <c r="BI1688" s="157"/>
      <c r="BJ1688" s="157"/>
      <c r="BK1688" s="157"/>
      <c r="BL1688" s="157"/>
      <c r="BM1688" s="157"/>
      <c r="BN1688" s="157"/>
      <c r="BO1688" s="157"/>
      <c r="BP1688" s="157"/>
      <c r="BQ1688" s="157"/>
      <c r="BR1688" s="157"/>
      <c r="BS1688" s="157"/>
      <c r="BT1688" s="158"/>
    </row>
  </sheetData>
  <autoFilter xmlns:etc="http://www.wps.cn/officeDocument/2017/etCustomData" ref="C8:AV1684" etc:filterBottomFollowUsedRange="0">
    <extLst/>
  </autoFilter>
  <mergeCells count="24">
    <mergeCell ref="C4:R4"/>
    <mergeCell ref="T4:AV4"/>
    <mergeCell ref="I6:W6"/>
    <mergeCell ref="X6:AB6"/>
    <mergeCell ref="AC6:AL6"/>
    <mergeCell ref="AM6:AV6"/>
    <mergeCell ref="I7:M7"/>
    <mergeCell ref="N7:R7"/>
    <mergeCell ref="S7:W7"/>
    <mergeCell ref="X7:AB7"/>
    <mergeCell ref="AC7:AG7"/>
    <mergeCell ref="AH7:AL7"/>
    <mergeCell ref="AM7:AQ7"/>
    <mergeCell ref="AR7:AV7"/>
    <mergeCell ref="C1684:H1684"/>
    <mergeCell ref="C6:C8"/>
    <mergeCell ref="D6:D8"/>
    <mergeCell ref="E6:E8"/>
    <mergeCell ref="F6:F8"/>
    <mergeCell ref="H6:H8"/>
    <mergeCell ref="B1:AW2"/>
    <mergeCell ref="C1687:R1688"/>
    <mergeCell ref="T1687:AW1688"/>
    <mergeCell ref="BD1687:BT1688"/>
  </mergeCells>
  <conditionalFormatting sqref="E372">
    <cfRule type="duplicateValues" dxfId="2" priority="244"/>
  </conditionalFormatting>
  <conditionalFormatting sqref="F372">
    <cfRule type="duplicateValues" dxfId="2" priority="213"/>
  </conditionalFormatting>
  <conditionalFormatting sqref="G372">
    <cfRule type="duplicateValues" dxfId="2" priority="182"/>
  </conditionalFormatting>
  <conditionalFormatting sqref="H372">
    <cfRule type="duplicateValues" dxfId="2" priority="151"/>
  </conditionalFormatting>
  <conditionalFormatting sqref="E402">
    <cfRule type="duplicateValues" dxfId="2" priority="241"/>
  </conditionalFormatting>
  <conditionalFormatting sqref="F402">
    <cfRule type="duplicateValues" dxfId="2" priority="210"/>
  </conditionalFormatting>
  <conditionalFormatting sqref="G402">
    <cfRule type="duplicateValues" dxfId="2" priority="179"/>
  </conditionalFormatting>
  <conditionalFormatting sqref="H402">
    <cfRule type="duplicateValues" dxfId="2" priority="148"/>
  </conditionalFormatting>
  <conditionalFormatting sqref="E461">
    <cfRule type="duplicateValues" dxfId="2" priority="238"/>
  </conditionalFormatting>
  <conditionalFormatting sqref="F461">
    <cfRule type="duplicateValues" dxfId="2" priority="207"/>
  </conditionalFormatting>
  <conditionalFormatting sqref="G461">
    <cfRule type="duplicateValues" dxfId="2" priority="176"/>
  </conditionalFormatting>
  <conditionalFormatting sqref="H461">
    <cfRule type="duplicateValues" dxfId="2" priority="145"/>
  </conditionalFormatting>
  <conditionalFormatting sqref="E473">
    <cfRule type="duplicateValues" dxfId="2" priority="237"/>
  </conditionalFormatting>
  <conditionalFormatting sqref="F473">
    <cfRule type="duplicateValues" dxfId="2" priority="206"/>
  </conditionalFormatting>
  <conditionalFormatting sqref="G473">
    <cfRule type="duplicateValues" dxfId="2" priority="175"/>
  </conditionalFormatting>
  <conditionalFormatting sqref="H473">
    <cfRule type="duplicateValues" dxfId="2" priority="144"/>
  </conditionalFormatting>
  <conditionalFormatting sqref="E486">
    <cfRule type="duplicateValues" dxfId="2" priority="233"/>
  </conditionalFormatting>
  <conditionalFormatting sqref="F486">
    <cfRule type="duplicateValues" dxfId="2" priority="202"/>
  </conditionalFormatting>
  <conditionalFormatting sqref="G486">
    <cfRule type="duplicateValues" dxfId="2" priority="171"/>
  </conditionalFormatting>
  <conditionalFormatting sqref="H486">
    <cfRule type="duplicateValues" dxfId="2" priority="140"/>
  </conditionalFormatting>
  <conditionalFormatting sqref="E506">
    <cfRule type="duplicateValues" dxfId="2" priority="231"/>
  </conditionalFormatting>
  <conditionalFormatting sqref="F506">
    <cfRule type="duplicateValues" dxfId="2" priority="200"/>
  </conditionalFormatting>
  <conditionalFormatting sqref="G506">
    <cfRule type="duplicateValues" dxfId="2" priority="169"/>
  </conditionalFormatting>
  <conditionalFormatting sqref="H506">
    <cfRule type="duplicateValues" dxfId="2" priority="138"/>
  </conditionalFormatting>
  <conditionalFormatting sqref="E549">
    <cfRule type="duplicateValues" dxfId="2" priority="227"/>
  </conditionalFormatting>
  <conditionalFormatting sqref="F549">
    <cfRule type="duplicateValues" dxfId="2" priority="196"/>
  </conditionalFormatting>
  <conditionalFormatting sqref="G549">
    <cfRule type="duplicateValues" dxfId="2" priority="165"/>
  </conditionalFormatting>
  <conditionalFormatting sqref="H549">
    <cfRule type="duplicateValues" dxfId="2" priority="134"/>
  </conditionalFormatting>
  <conditionalFormatting sqref="E552">
    <cfRule type="duplicateValues" dxfId="2" priority="225"/>
  </conditionalFormatting>
  <conditionalFormatting sqref="F552">
    <cfRule type="duplicateValues" dxfId="2" priority="194"/>
  </conditionalFormatting>
  <conditionalFormatting sqref="G552">
    <cfRule type="duplicateValues" dxfId="2" priority="163"/>
  </conditionalFormatting>
  <conditionalFormatting sqref="H552">
    <cfRule type="duplicateValues" dxfId="2" priority="132"/>
  </conditionalFormatting>
  <conditionalFormatting sqref="E596">
    <cfRule type="duplicateValues" dxfId="2" priority="223"/>
  </conditionalFormatting>
  <conditionalFormatting sqref="F596">
    <cfRule type="duplicateValues" dxfId="2" priority="192"/>
  </conditionalFormatting>
  <conditionalFormatting sqref="G596">
    <cfRule type="duplicateValues" dxfId="2" priority="161"/>
  </conditionalFormatting>
  <conditionalFormatting sqref="H596">
    <cfRule type="duplicateValues" dxfId="2" priority="130"/>
  </conditionalFormatting>
  <conditionalFormatting sqref="E622">
    <cfRule type="duplicateValues" dxfId="2" priority="220"/>
  </conditionalFormatting>
  <conditionalFormatting sqref="F622">
    <cfRule type="duplicateValues" dxfId="2" priority="189"/>
  </conditionalFormatting>
  <conditionalFormatting sqref="G622">
    <cfRule type="duplicateValues" dxfId="2" priority="158"/>
  </conditionalFormatting>
  <conditionalFormatting sqref="H622">
    <cfRule type="duplicateValues" dxfId="2" priority="127"/>
  </conditionalFormatting>
  <conditionalFormatting sqref="E623">
    <cfRule type="duplicateValues" dxfId="2" priority="219"/>
  </conditionalFormatting>
  <conditionalFormatting sqref="F623">
    <cfRule type="duplicateValues" dxfId="2" priority="188"/>
  </conditionalFormatting>
  <conditionalFormatting sqref="G623">
    <cfRule type="duplicateValues" dxfId="2" priority="157"/>
  </conditionalFormatting>
  <conditionalFormatting sqref="H623">
    <cfRule type="duplicateValues" dxfId="2" priority="126"/>
  </conditionalFormatting>
  <conditionalFormatting sqref="E637">
    <cfRule type="duplicateValues" dxfId="2" priority="217"/>
  </conditionalFormatting>
  <conditionalFormatting sqref="F637">
    <cfRule type="duplicateValues" dxfId="2" priority="186"/>
  </conditionalFormatting>
  <conditionalFormatting sqref="G637">
    <cfRule type="duplicateValues" dxfId="2" priority="155"/>
  </conditionalFormatting>
  <conditionalFormatting sqref="H637">
    <cfRule type="duplicateValues" dxfId="2" priority="124"/>
  </conditionalFormatting>
  <conditionalFormatting sqref="E639">
    <cfRule type="duplicateValues" dxfId="2" priority="216"/>
  </conditionalFormatting>
  <conditionalFormatting sqref="F639">
    <cfRule type="duplicateValues" dxfId="2" priority="185"/>
  </conditionalFormatting>
  <conditionalFormatting sqref="G639">
    <cfRule type="duplicateValues" dxfId="2" priority="154"/>
  </conditionalFormatting>
  <conditionalFormatting sqref="H639">
    <cfRule type="duplicateValues" dxfId="2" priority="123"/>
  </conditionalFormatting>
  <conditionalFormatting sqref="E641">
    <cfRule type="duplicateValues" dxfId="2" priority="215"/>
  </conditionalFormatting>
  <conditionalFormatting sqref="F641">
    <cfRule type="duplicateValues" dxfId="2" priority="184"/>
  </conditionalFormatting>
  <conditionalFormatting sqref="G641">
    <cfRule type="duplicateValues" dxfId="2" priority="153"/>
  </conditionalFormatting>
  <conditionalFormatting sqref="H641">
    <cfRule type="duplicateValues" dxfId="2" priority="122"/>
  </conditionalFormatting>
  <conditionalFormatting sqref="I1686:AQ1686">
    <cfRule type="cellIs" dxfId="1" priority="246" operator="greaterThan">
      <formula>0.97</formula>
    </cfRule>
  </conditionalFormatting>
  <conditionalFormatting sqref="E368:E372">
    <cfRule type="duplicateValues" dxfId="2" priority="242"/>
  </conditionalFormatting>
  <conditionalFormatting sqref="E370:E372">
    <cfRule type="duplicateValues" dxfId="2" priority="243"/>
  </conditionalFormatting>
  <conditionalFormatting sqref="E380:E384">
    <cfRule type="duplicateValues" dxfId="2" priority="245"/>
  </conditionalFormatting>
  <conditionalFormatting sqref="E470:E472">
    <cfRule type="duplicateValues" dxfId="2" priority="239"/>
  </conditionalFormatting>
  <conditionalFormatting sqref="E480:E481">
    <cfRule type="duplicateValues" dxfId="2" priority="236"/>
  </conditionalFormatting>
  <conditionalFormatting sqref="E482:E483">
    <cfRule type="duplicateValues" dxfId="2" priority="235"/>
  </conditionalFormatting>
  <conditionalFormatting sqref="E484:E485">
    <cfRule type="duplicateValues" dxfId="2" priority="234"/>
  </conditionalFormatting>
  <conditionalFormatting sqref="E515:E519">
    <cfRule type="duplicateValues" dxfId="2" priority="229"/>
  </conditionalFormatting>
  <conditionalFormatting sqref="E518:E519">
    <cfRule type="duplicateValues" dxfId="2" priority="230"/>
  </conditionalFormatting>
  <conditionalFormatting sqref="E537:E538">
    <cfRule type="duplicateValues" dxfId="2" priority="228"/>
  </conditionalFormatting>
  <conditionalFormatting sqref="E550:E551">
    <cfRule type="duplicateValues" dxfId="2" priority="226"/>
  </conditionalFormatting>
  <conditionalFormatting sqref="E585:E587">
    <cfRule type="duplicateValues" dxfId="2" priority="224"/>
  </conditionalFormatting>
  <conditionalFormatting sqref="E598:E601">
    <cfRule type="duplicateValues" dxfId="2" priority="222"/>
  </conditionalFormatting>
  <conditionalFormatting sqref="E602:E605">
    <cfRule type="duplicateValues" dxfId="2" priority="221"/>
  </conditionalFormatting>
  <conditionalFormatting sqref="E602:E609">
    <cfRule type="duplicateValues" dxfId="2" priority="232"/>
  </conditionalFormatting>
  <conditionalFormatting sqref="E624:E625">
    <cfRule type="duplicateValues" dxfId="2" priority="218"/>
  </conditionalFormatting>
  <conditionalFormatting sqref="E643:E898">
    <cfRule type="duplicateValues" dxfId="2" priority="119"/>
  </conditionalFormatting>
  <conditionalFormatting sqref="F368:F372">
    <cfRule type="duplicateValues" dxfId="2" priority="211"/>
  </conditionalFormatting>
  <conditionalFormatting sqref="F370:F372">
    <cfRule type="duplicateValues" dxfId="2" priority="212"/>
  </conditionalFormatting>
  <conditionalFormatting sqref="F380:F384">
    <cfRule type="duplicateValues" dxfId="2" priority="214"/>
  </conditionalFormatting>
  <conditionalFormatting sqref="F470:F472">
    <cfRule type="duplicateValues" dxfId="2" priority="208"/>
  </conditionalFormatting>
  <conditionalFormatting sqref="F480:F481">
    <cfRule type="duplicateValues" dxfId="2" priority="205"/>
  </conditionalFormatting>
  <conditionalFormatting sqref="F482:F483">
    <cfRule type="duplicateValues" dxfId="2" priority="204"/>
  </conditionalFormatting>
  <conditionalFormatting sqref="F484:F485">
    <cfRule type="duplicateValues" dxfId="2" priority="203"/>
  </conditionalFormatting>
  <conditionalFormatting sqref="F515:F519">
    <cfRule type="duplicateValues" dxfId="2" priority="198"/>
  </conditionalFormatting>
  <conditionalFormatting sqref="F518:F519">
    <cfRule type="duplicateValues" dxfId="2" priority="199"/>
  </conditionalFormatting>
  <conditionalFormatting sqref="F537:F538">
    <cfRule type="duplicateValues" dxfId="2" priority="197"/>
  </conditionalFormatting>
  <conditionalFormatting sqref="F550:F551">
    <cfRule type="duplicateValues" dxfId="2" priority="195"/>
  </conditionalFormatting>
  <conditionalFormatting sqref="F585:F587">
    <cfRule type="duplicateValues" dxfId="2" priority="193"/>
  </conditionalFormatting>
  <conditionalFormatting sqref="F598:F601">
    <cfRule type="duplicateValues" dxfId="2" priority="191"/>
  </conditionalFormatting>
  <conditionalFormatting sqref="F602:F605">
    <cfRule type="duplicateValues" dxfId="2" priority="190"/>
  </conditionalFormatting>
  <conditionalFormatting sqref="F602:F609">
    <cfRule type="duplicateValues" dxfId="2" priority="201"/>
  </conditionalFormatting>
  <conditionalFormatting sqref="F624:F625">
    <cfRule type="duplicateValues" dxfId="2" priority="187"/>
  </conditionalFormatting>
  <conditionalFormatting sqref="F643:F898">
    <cfRule type="duplicateValues" dxfId="2" priority="118"/>
  </conditionalFormatting>
  <conditionalFormatting sqref="G368:G372">
    <cfRule type="duplicateValues" dxfId="2" priority="180"/>
  </conditionalFormatting>
  <conditionalFormatting sqref="G370:G372">
    <cfRule type="duplicateValues" dxfId="2" priority="181"/>
  </conditionalFormatting>
  <conditionalFormatting sqref="G380:G384">
    <cfRule type="duplicateValues" dxfId="2" priority="183"/>
  </conditionalFormatting>
  <conditionalFormatting sqref="G470:G472">
    <cfRule type="duplicateValues" dxfId="2" priority="177"/>
  </conditionalFormatting>
  <conditionalFormatting sqref="G480:G481">
    <cfRule type="duplicateValues" dxfId="2" priority="174"/>
  </conditionalFormatting>
  <conditionalFormatting sqref="G482:G483">
    <cfRule type="duplicateValues" dxfId="2" priority="173"/>
  </conditionalFormatting>
  <conditionalFormatting sqref="G484:G485">
    <cfRule type="duplicateValues" dxfId="2" priority="172"/>
  </conditionalFormatting>
  <conditionalFormatting sqref="G515:G519">
    <cfRule type="duplicateValues" dxfId="2" priority="167"/>
  </conditionalFormatting>
  <conditionalFormatting sqref="G518:G519">
    <cfRule type="duplicateValues" dxfId="2" priority="168"/>
  </conditionalFormatting>
  <conditionalFormatting sqref="G537:G538">
    <cfRule type="duplicateValues" dxfId="2" priority="166"/>
  </conditionalFormatting>
  <conditionalFormatting sqref="G550:G551">
    <cfRule type="duplicateValues" dxfId="2" priority="164"/>
  </conditionalFormatting>
  <conditionalFormatting sqref="G585:G587">
    <cfRule type="duplicateValues" dxfId="2" priority="162"/>
  </conditionalFormatting>
  <conditionalFormatting sqref="G598:G601">
    <cfRule type="duplicateValues" dxfId="2" priority="160"/>
  </conditionalFormatting>
  <conditionalFormatting sqref="G602:G605">
    <cfRule type="duplicateValues" dxfId="2" priority="159"/>
  </conditionalFormatting>
  <conditionalFormatting sqref="G602:G609">
    <cfRule type="duplicateValues" dxfId="2" priority="170"/>
  </conditionalFormatting>
  <conditionalFormatting sqref="G624:G625">
    <cfRule type="duplicateValues" dxfId="2" priority="156"/>
  </conditionalFormatting>
  <conditionalFormatting sqref="G643:G898">
    <cfRule type="duplicateValues" dxfId="2" priority="117"/>
  </conditionalFormatting>
  <conditionalFormatting sqref="H368:H372">
    <cfRule type="duplicateValues" dxfId="2" priority="149"/>
  </conditionalFormatting>
  <conditionalFormatting sqref="H370:H372">
    <cfRule type="duplicateValues" dxfId="2" priority="150"/>
  </conditionalFormatting>
  <conditionalFormatting sqref="H380:H384">
    <cfRule type="duplicateValues" dxfId="2" priority="152"/>
  </conditionalFormatting>
  <conditionalFormatting sqref="H470:H472">
    <cfRule type="duplicateValues" dxfId="2" priority="146"/>
  </conditionalFormatting>
  <conditionalFormatting sqref="H480:H481">
    <cfRule type="duplicateValues" dxfId="2" priority="143"/>
  </conditionalFormatting>
  <conditionalFormatting sqref="H482:H483">
    <cfRule type="duplicateValues" dxfId="2" priority="142"/>
  </conditionalFormatting>
  <conditionalFormatting sqref="H484:H485">
    <cfRule type="duplicateValues" dxfId="2" priority="141"/>
  </conditionalFormatting>
  <conditionalFormatting sqref="H515:H519">
    <cfRule type="duplicateValues" dxfId="2" priority="136"/>
  </conditionalFormatting>
  <conditionalFormatting sqref="H518:H519">
    <cfRule type="duplicateValues" dxfId="2" priority="137"/>
  </conditionalFormatting>
  <conditionalFormatting sqref="H537:H538">
    <cfRule type="duplicateValues" dxfId="2" priority="135"/>
  </conditionalFormatting>
  <conditionalFormatting sqref="H550:H551">
    <cfRule type="duplicateValues" dxfId="2" priority="133"/>
  </conditionalFormatting>
  <conditionalFormatting sqref="H585:H587">
    <cfRule type="duplicateValues" dxfId="2" priority="131"/>
  </conditionalFormatting>
  <conditionalFormatting sqref="H598:H601">
    <cfRule type="duplicateValues" dxfId="2" priority="129"/>
  </conditionalFormatting>
  <conditionalFormatting sqref="H602:H605">
    <cfRule type="duplicateValues" dxfId="2" priority="128"/>
  </conditionalFormatting>
  <conditionalFormatting sqref="H602:H609">
    <cfRule type="duplicateValues" dxfId="2" priority="139"/>
  </conditionalFormatting>
  <conditionalFormatting sqref="H624:H625">
    <cfRule type="duplicateValues" dxfId="2" priority="125"/>
  </conditionalFormatting>
  <conditionalFormatting sqref="H643:H898">
    <cfRule type="duplicateValues" dxfId="2" priority="116"/>
  </conditionalFormatting>
  <conditionalFormatting sqref="I80:I187">
    <cfRule type="cellIs" dxfId="1" priority="113" operator="greaterThan">
      <formula>0.97</formula>
    </cfRule>
  </conditionalFormatting>
  <conditionalFormatting sqref="I189:I236">
    <cfRule type="cellIs" dxfId="1" priority="112" operator="greaterThan">
      <formula>0.97</formula>
    </cfRule>
  </conditionalFormatting>
  <conditionalFormatting sqref="I238:I325">
    <cfRule type="cellIs" dxfId="1" priority="111" operator="greaterThan">
      <formula>0.97</formula>
    </cfRule>
  </conditionalFormatting>
  <conditionalFormatting sqref="I327:I349">
    <cfRule type="cellIs" dxfId="1" priority="107" operator="greaterThan">
      <formula>0.96</formula>
    </cfRule>
    <cfRule type="cellIs" dxfId="1" priority="108" operator="greaterThan">
      <formula>0.97</formula>
    </cfRule>
  </conditionalFormatting>
  <conditionalFormatting sqref="I351:I641">
    <cfRule type="cellIs" dxfId="1" priority="121" operator="greaterThan">
      <formula>0.97</formula>
    </cfRule>
  </conditionalFormatting>
  <conditionalFormatting sqref="I643:I898">
    <cfRule type="cellIs" dxfId="1" priority="115" operator="greaterThan">
      <formula>0.97</formula>
    </cfRule>
  </conditionalFormatting>
  <conditionalFormatting sqref="I900:I1055">
    <cfRule type="cellIs" dxfId="1" priority="120" operator="greaterThan">
      <formula>0.97</formula>
    </cfRule>
  </conditionalFormatting>
  <conditionalFormatting sqref="I1057:I1423">
    <cfRule type="cellIs" dxfId="1" priority="110" operator="greaterThan">
      <formula>0.97</formula>
    </cfRule>
  </conditionalFormatting>
  <conditionalFormatting sqref="I1425:I1683">
    <cfRule type="cellIs" dxfId="1" priority="109" operator="greaterThan">
      <formula>0.97</formula>
    </cfRule>
  </conditionalFormatting>
  <conditionalFormatting sqref="N80:N1683">
    <cfRule type="cellIs" dxfId="1" priority="106" operator="greaterThan">
      <formula>0.97</formula>
    </cfRule>
    <cfRule type="cellIs" dxfId="1" priority="105" operator="greaterThan">
      <formula>0.96</formula>
    </cfRule>
  </conditionalFormatting>
  <conditionalFormatting sqref="X9:X1683">
    <cfRule type="cellIs" dxfId="1" priority="28" operator="greaterThan">
      <formula>0.97</formula>
    </cfRule>
    <cfRule type="cellIs" dxfId="1" priority="27" operator="greaterThan">
      <formula>0.96</formula>
    </cfRule>
  </conditionalFormatting>
  <conditionalFormatting sqref="AC9:AC78">
    <cfRule type="cellIs" dxfId="1" priority="104" operator="greaterThan">
      <formula>0.97</formula>
    </cfRule>
    <cfRule type="cellIs" dxfId="1" priority="103" operator="greaterThan">
      <formula>0.96</formula>
    </cfRule>
  </conditionalFormatting>
  <conditionalFormatting sqref="AC80:AC325">
    <cfRule type="cellIs" dxfId="1" priority="102" operator="greaterThan">
      <formula>0.97</formula>
    </cfRule>
    <cfRule type="cellIs" dxfId="1" priority="101" operator="greaterThan">
      <formula>0.96</formula>
    </cfRule>
  </conditionalFormatting>
  <conditionalFormatting sqref="AC327:AC349">
    <cfRule type="cellIs" dxfId="1" priority="62" operator="greaterThan">
      <formula>0.97</formula>
    </cfRule>
    <cfRule type="cellIs" dxfId="1" priority="61" operator="greaterThan">
      <formula>0.96</formula>
    </cfRule>
  </conditionalFormatting>
  <conditionalFormatting sqref="AC351:AC641">
    <cfRule type="cellIs" dxfId="1" priority="100" operator="greaterThan">
      <formula>0.97</formula>
    </cfRule>
    <cfRule type="cellIs" dxfId="1" priority="99" operator="greaterThan">
      <formula>0.96</formula>
    </cfRule>
  </conditionalFormatting>
  <conditionalFormatting sqref="AC643:AC898">
    <cfRule type="cellIs" dxfId="1" priority="98" operator="greaterThan">
      <formula>0.97</formula>
    </cfRule>
    <cfRule type="cellIs" dxfId="1" priority="97" operator="greaterThan">
      <formula>0.96</formula>
    </cfRule>
  </conditionalFormatting>
  <conditionalFormatting sqref="AC900:AC1055">
    <cfRule type="cellIs" dxfId="1" priority="96" operator="greaterThan">
      <formula>0.97</formula>
    </cfRule>
    <cfRule type="cellIs" dxfId="1" priority="95" operator="greaterThan">
      <formula>0.96</formula>
    </cfRule>
  </conditionalFormatting>
  <conditionalFormatting sqref="AC1057:AC1423">
    <cfRule type="cellIs" dxfId="1" priority="94" operator="greaterThan">
      <formula>0.97</formula>
    </cfRule>
    <cfRule type="cellIs" dxfId="1" priority="93" operator="greaterThan">
      <formula>0.96</formula>
    </cfRule>
  </conditionalFormatting>
  <conditionalFormatting sqref="AC1425:AC1683">
    <cfRule type="cellIs" dxfId="1" priority="92" operator="greaterThan">
      <formula>0.97</formula>
    </cfRule>
    <cfRule type="cellIs" dxfId="1" priority="91" operator="greaterThan">
      <formula>0.96</formula>
    </cfRule>
  </conditionalFormatting>
  <conditionalFormatting sqref="AH9:AH325">
    <cfRule type="cellIs" dxfId="1" priority="90" operator="greaterThan">
      <formula>0.97</formula>
    </cfRule>
    <cfRule type="cellIs" dxfId="1" priority="89" operator="greaterThan">
      <formula>0.96</formula>
    </cfRule>
  </conditionalFormatting>
  <conditionalFormatting sqref="AH327:AH349">
    <cfRule type="cellIs" dxfId="1" priority="84" operator="greaterThan">
      <formula>0.97</formula>
    </cfRule>
    <cfRule type="cellIs" dxfId="1" priority="83" operator="greaterThan">
      <formula>0.96</formula>
    </cfRule>
  </conditionalFormatting>
  <conditionalFormatting sqref="J9:M1683">
    <cfRule type="cellIs" dxfId="0" priority="59" operator="lessThan">
      <formula>0.9</formula>
    </cfRule>
    <cfRule type="cellIs" dxfId="1" priority="60" operator="greaterThan">
      <formula>0.9</formula>
    </cfRule>
  </conditionalFormatting>
  <conditionalFormatting sqref="O9:R1683">
    <cfRule type="cellIs" dxfId="1" priority="58" operator="greaterThan">
      <formula>0.9</formula>
    </cfRule>
    <cfRule type="cellIs" dxfId="0" priority="57" operator="lessThan">
      <formula>0.9</formula>
    </cfRule>
  </conditionalFormatting>
  <conditionalFormatting sqref="T9:W1683">
    <cfRule type="cellIs" dxfId="1" priority="24" operator="greaterThan">
      <formula>0.9</formula>
    </cfRule>
    <cfRule type="cellIs" dxfId="0" priority="23" operator="lessThan">
      <formula>0.9</formula>
    </cfRule>
  </conditionalFormatting>
  <conditionalFormatting sqref="Y9:AB1683">
    <cfRule type="cellIs" dxfId="0" priority="21" operator="lessThan">
      <formula>0.9</formula>
    </cfRule>
    <cfRule type="cellIs" dxfId="1" priority="22" operator="greaterThan">
      <formula>0.9</formula>
    </cfRule>
  </conditionalFormatting>
  <conditionalFormatting sqref="AD9:AG1683">
    <cfRule type="cellIs" dxfId="1" priority="54" operator="greaterThan">
      <formula>0.92</formula>
    </cfRule>
    <cfRule type="cellIs" dxfId="0" priority="53" operator="lessThan">
      <formula>0.92</formula>
    </cfRule>
  </conditionalFormatting>
  <conditionalFormatting sqref="AI9:AL1683">
    <cfRule type="cellIs" dxfId="1" priority="52" operator="greaterThan">
      <formula>0.92</formula>
    </cfRule>
    <cfRule type="cellIs" dxfId="0" priority="51" operator="lessThan">
      <formula>0.92</formula>
    </cfRule>
  </conditionalFormatting>
  <conditionalFormatting sqref="AN9:AQ1683">
    <cfRule type="cellIs" dxfId="1" priority="50" operator="greaterThan">
      <formula>0.99</formula>
    </cfRule>
    <cfRule type="cellIs" dxfId="0" priority="49" operator="lessThan">
      <formula>0.99</formula>
    </cfRule>
  </conditionalFormatting>
  <conditionalFormatting sqref="AS9:AV78">
    <cfRule type="cellIs" dxfId="1" priority="20" operator="greaterThan">
      <formula>$AR$9</formula>
    </cfRule>
    <cfRule type="cellIs" dxfId="0" priority="19" operator="lessThan">
      <formula>$AR$9</formula>
    </cfRule>
  </conditionalFormatting>
  <conditionalFormatting sqref="AS80:AV187">
    <cfRule type="cellIs" dxfId="1" priority="18" operator="greaterThan">
      <formula>$AR$80</formula>
    </cfRule>
    <cfRule type="cellIs" dxfId="0" priority="17" operator="lessThan">
      <formula>$AR$80</formula>
    </cfRule>
  </conditionalFormatting>
  <conditionalFormatting sqref="AS189:AV236">
    <cfRule type="cellIs" dxfId="1" priority="16" operator="greaterThan">
      <formula>$AR$189</formula>
    </cfRule>
    <cfRule type="cellIs" dxfId="0" priority="15" operator="lessThan">
      <formula>$AR$189</formula>
    </cfRule>
  </conditionalFormatting>
  <conditionalFormatting sqref="AS238:AV325">
    <cfRule type="cellIs" dxfId="1" priority="14" operator="greaterThan">
      <formula>$AR$238</formula>
    </cfRule>
    <cfRule type="cellIs" dxfId="0" priority="13" operator="lessThan">
      <formula>$AR$238</formula>
    </cfRule>
  </conditionalFormatting>
  <conditionalFormatting sqref="AS327:AV349">
    <cfRule type="cellIs" dxfId="1" priority="12" operator="greaterThan">
      <formula>$AR$327</formula>
    </cfRule>
    <cfRule type="cellIs" dxfId="0" priority="11" operator="lessThan">
      <formula>$AR$327</formula>
    </cfRule>
  </conditionalFormatting>
  <conditionalFormatting sqref="AS351:AV641">
    <cfRule type="cellIs" dxfId="1" priority="10" operator="greaterThan">
      <formula>$AR$351</formula>
    </cfRule>
    <cfRule type="cellIs" dxfId="0" priority="9" operator="lessThan">
      <formula>$AR$351</formula>
    </cfRule>
  </conditionalFormatting>
  <conditionalFormatting sqref="AS643:AV898">
    <cfRule type="cellIs" dxfId="0" priority="7" operator="lessThan">
      <formula>$AR$643</formula>
    </cfRule>
    <cfRule type="cellIs" dxfId="1" priority="8" operator="greaterThan">
      <formula>$AR$643</formula>
    </cfRule>
  </conditionalFormatting>
  <conditionalFormatting sqref="AS900:AV1055">
    <cfRule type="cellIs" dxfId="1" priority="6" operator="greaterThan">
      <formula>$AR$900</formula>
    </cfRule>
    <cfRule type="cellIs" dxfId="0" priority="5" operator="lessThan">
      <formula>$AR$900</formula>
    </cfRule>
  </conditionalFormatting>
  <conditionalFormatting sqref="AS1057:AV1423">
    <cfRule type="cellIs" dxfId="1" priority="4" operator="greaterThan">
      <formula>$AR$1057</formula>
    </cfRule>
    <cfRule type="cellIs" dxfId="0" priority="3" operator="lessThan">
      <formula>$AR$1057</formula>
    </cfRule>
  </conditionalFormatting>
  <conditionalFormatting sqref="AS1425:AV1683">
    <cfRule type="cellIs" dxfId="0" priority="1" operator="lessThan">
      <formula>$AR$1425</formula>
    </cfRule>
    <cfRule type="cellIs" dxfId="1" priority="2" operator="greaterThan">
      <formula>$AR$1425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670"/>
  <sheetViews>
    <sheetView workbookViewId="0">
      <selection activeCell="F11" sqref="F11"/>
    </sheetView>
  </sheetViews>
  <sheetFormatPr defaultColWidth="9" defaultRowHeight="14.5" outlineLevelCol="4"/>
  <cols>
    <col min="2" max="2" width="17.2181818181818" customWidth="1"/>
    <col min="3" max="3" width="18.5545454545455" customWidth="1"/>
    <col min="4" max="4" width="26.4454545454545" customWidth="1"/>
    <col min="5" max="5" width="19.5545454545455" customWidth="1"/>
  </cols>
  <sheetData>
    <row r="1" ht="15.25"/>
    <row r="2" spans="2:5">
      <c r="B2" s="1" t="s">
        <v>45</v>
      </c>
      <c r="C2" s="2" t="s">
        <v>46</v>
      </c>
      <c r="D2" s="3" t="s">
        <v>47</v>
      </c>
      <c r="E2" s="4" t="s">
        <v>1737</v>
      </c>
    </row>
    <row r="3" spans="2:5">
      <c r="B3" s="5"/>
      <c r="C3" s="6"/>
      <c r="D3" s="7"/>
      <c r="E3" s="8"/>
    </row>
    <row r="4" ht="15.25" spans="2:5">
      <c r="B4" s="5"/>
      <c r="C4" s="9"/>
      <c r="D4" s="7"/>
      <c r="E4" s="8"/>
    </row>
    <row r="5" spans="2:5">
      <c r="B5" s="10" t="s">
        <v>61</v>
      </c>
      <c r="C5" s="11" t="s">
        <v>29</v>
      </c>
      <c r="D5" s="12" t="s">
        <v>62</v>
      </c>
      <c r="E5" s="13" t="s">
        <v>1738</v>
      </c>
    </row>
    <row r="6" spans="2:5">
      <c r="B6" s="14" t="s">
        <v>61</v>
      </c>
      <c r="C6" s="15" t="s">
        <v>29</v>
      </c>
      <c r="D6" s="16" t="s">
        <v>63</v>
      </c>
      <c r="E6" s="17" t="s">
        <v>1738</v>
      </c>
    </row>
    <row r="7" spans="2:5">
      <c r="B7" s="14" t="s">
        <v>61</v>
      </c>
      <c r="C7" s="15" t="s">
        <v>29</v>
      </c>
      <c r="D7" s="16" t="s">
        <v>64</v>
      </c>
      <c r="E7" s="17" t="s">
        <v>1</v>
      </c>
    </row>
    <row r="8" spans="2:5">
      <c r="B8" s="14" t="s">
        <v>61</v>
      </c>
      <c r="C8" s="15" t="s">
        <v>29</v>
      </c>
      <c r="D8" s="16" t="s">
        <v>65</v>
      </c>
      <c r="E8" s="17" t="s">
        <v>1</v>
      </c>
    </row>
    <row r="9" spans="2:5">
      <c r="B9" s="14" t="s">
        <v>61</v>
      </c>
      <c r="C9" s="15" t="s">
        <v>29</v>
      </c>
      <c r="D9" s="16" t="s">
        <v>66</v>
      </c>
      <c r="E9" s="17" t="s">
        <v>1738</v>
      </c>
    </row>
    <row r="10" spans="2:5">
      <c r="B10" s="14" t="s">
        <v>61</v>
      </c>
      <c r="C10" s="15" t="s">
        <v>29</v>
      </c>
      <c r="D10" s="16" t="s">
        <v>67</v>
      </c>
      <c r="E10" s="17" t="s">
        <v>1738</v>
      </c>
    </row>
    <row r="11" spans="2:5">
      <c r="B11" s="14" t="s">
        <v>61</v>
      </c>
      <c r="C11" s="15" t="s">
        <v>29</v>
      </c>
      <c r="D11" s="16" t="s">
        <v>68</v>
      </c>
      <c r="E11" s="17" t="s">
        <v>1738</v>
      </c>
    </row>
    <row r="12" spans="2:5">
      <c r="B12" s="14" t="s">
        <v>61</v>
      </c>
      <c r="C12" s="15" t="s">
        <v>29</v>
      </c>
      <c r="D12" s="16" t="s">
        <v>69</v>
      </c>
      <c r="E12" s="17" t="s">
        <v>1</v>
      </c>
    </row>
    <row r="13" spans="2:5">
      <c r="B13" s="14" t="s">
        <v>61</v>
      </c>
      <c r="C13" s="15" t="s">
        <v>29</v>
      </c>
      <c r="D13" s="16" t="s">
        <v>70</v>
      </c>
      <c r="E13" s="17" t="s">
        <v>1</v>
      </c>
    </row>
    <row r="14" spans="2:5">
      <c r="B14" s="14" t="s">
        <v>61</v>
      </c>
      <c r="C14" s="15" t="s">
        <v>29</v>
      </c>
      <c r="D14" s="16" t="s">
        <v>71</v>
      </c>
      <c r="E14" s="17" t="s">
        <v>1</v>
      </c>
    </row>
    <row r="15" spans="2:5">
      <c r="B15" s="14" t="s">
        <v>61</v>
      </c>
      <c r="C15" s="15" t="s">
        <v>29</v>
      </c>
      <c r="D15" s="16" t="s">
        <v>72</v>
      </c>
      <c r="E15" s="17" t="s">
        <v>1738</v>
      </c>
    </row>
    <row r="16" spans="2:5">
      <c r="B16" s="14" t="s">
        <v>61</v>
      </c>
      <c r="C16" s="15" t="s">
        <v>29</v>
      </c>
      <c r="D16" s="16" t="s">
        <v>73</v>
      </c>
      <c r="E16" s="17" t="s">
        <v>1</v>
      </c>
    </row>
    <row r="17" spans="2:5">
      <c r="B17" s="14" t="s">
        <v>61</v>
      </c>
      <c r="C17" s="15" t="s">
        <v>29</v>
      </c>
      <c r="D17" s="16" t="s">
        <v>74</v>
      </c>
      <c r="E17" s="17" t="s">
        <v>1738</v>
      </c>
    </row>
    <row r="18" spans="2:5">
      <c r="B18" s="14" t="s">
        <v>61</v>
      </c>
      <c r="C18" s="15" t="s">
        <v>29</v>
      </c>
      <c r="D18" s="16" t="s">
        <v>75</v>
      </c>
      <c r="E18" s="17" t="s">
        <v>1738</v>
      </c>
    </row>
    <row r="19" spans="2:5">
      <c r="B19" s="14" t="s">
        <v>61</v>
      </c>
      <c r="C19" s="15" t="s">
        <v>29</v>
      </c>
      <c r="D19" s="16" t="s">
        <v>76</v>
      </c>
      <c r="E19" s="17" t="s">
        <v>1738</v>
      </c>
    </row>
    <row r="20" spans="2:5">
      <c r="B20" s="14" t="s">
        <v>61</v>
      </c>
      <c r="C20" s="15" t="s">
        <v>29</v>
      </c>
      <c r="D20" s="16" t="s">
        <v>77</v>
      </c>
      <c r="E20" s="17" t="s">
        <v>1</v>
      </c>
    </row>
    <row r="21" spans="2:5">
      <c r="B21" s="14" t="s">
        <v>61</v>
      </c>
      <c r="C21" s="15" t="s">
        <v>29</v>
      </c>
      <c r="D21" s="16" t="s">
        <v>78</v>
      </c>
      <c r="E21" s="17" t="s">
        <v>1738</v>
      </c>
    </row>
    <row r="22" spans="2:5">
      <c r="B22" s="14" t="s">
        <v>61</v>
      </c>
      <c r="C22" s="15" t="s">
        <v>29</v>
      </c>
      <c r="D22" s="16" t="s">
        <v>79</v>
      </c>
      <c r="E22" s="17" t="s">
        <v>1</v>
      </c>
    </row>
    <row r="23" spans="2:5">
      <c r="B23" s="14" t="s">
        <v>61</v>
      </c>
      <c r="C23" s="15" t="s">
        <v>29</v>
      </c>
      <c r="D23" s="16" t="s">
        <v>80</v>
      </c>
      <c r="E23" s="17" t="s">
        <v>1</v>
      </c>
    </row>
    <row r="24" spans="2:5">
      <c r="B24" s="14" t="s">
        <v>61</v>
      </c>
      <c r="C24" s="15" t="s">
        <v>29</v>
      </c>
      <c r="D24" s="16" t="s">
        <v>81</v>
      </c>
      <c r="E24" s="17" t="s">
        <v>1738</v>
      </c>
    </row>
    <row r="25" spans="2:5">
      <c r="B25" s="14" t="s">
        <v>61</v>
      </c>
      <c r="C25" s="15" t="s">
        <v>29</v>
      </c>
      <c r="D25" s="16" t="s">
        <v>82</v>
      </c>
      <c r="E25" s="17" t="s">
        <v>1738</v>
      </c>
    </row>
    <row r="26" spans="2:5">
      <c r="B26" s="14" t="s">
        <v>61</v>
      </c>
      <c r="C26" s="15" t="s">
        <v>29</v>
      </c>
      <c r="D26" s="16" t="s">
        <v>83</v>
      </c>
      <c r="E26" s="17" t="s">
        <v>1</v>
      </c>
    </row>
    <row r="27" spans="2:5">
      <c r="B27" s="14" t="s">
        <v>61</v>
      </c>
      <c r="C27" s="15" t="s">
        <v>29</v>
      </c>
      <c r="D27" s="16" t="s">
        <v>84</v>
      </c>
      <c r="E27" s="17" t="s">
        <v>1</v>
      </c>
    </row>
    <row r="28" spans="2:5">
      <c r="B28" s="14" t="s">
        <v>61</v>
      </c>
      <c r="C28" s="15" t="s">
        <v>29</v>
      </c>
      <c r="D28" s="16" t="s">
        <v>85</v>
      </c>
      <c r="E28" s="17" t="s">
        <v>1</v>
      </c>
    </row>
    <row r="29" spans="2:5">
      <c r="B29" s="14" t="s">
        <v>61</v>
      </c>
      <c r="C29" s="15" t="s">
        <v>29</v>
      </c>
      <c r="D29" s="16" t="s">
        <v>86</v>
      </c>
      <c r="E29" s="17" t="s">
        <v>1738</v>
      </c>
    </row>
    <row r="30" spans="2:5">
      <c r="B30" s="14" t="s">
        <v>61</v>
      </c>
      <c r="C30" s="15" t="s">
        <v>29</v>
      </c>
      <c r="D30" s="16" t="s">
        <v>87</v>
      </c>
      <c r="E30" s="17" t="s">
        <v>1</v>
      </c>
    </row>
    <row r="31" spans="2:5">
      <c r="B31" s="14" t="s">
        <v>61</v>
      </c>
      <c r="C31" s="15" t="s">
        <v>29</v>
      </c>
      <c r="D31" s="16" t="s">
        <v>88</v>
      </c>
      <c r="E31" s="17" t="s">
        <v>1738</v>
      </c>
    </row>
    <row r="32" spans="2:5">
      <c r="B32" s="14" t="s">
        <v>61</v>
      </c>
      <c r="C32" s="15" t="s">
        <v>29</v>
      </c>
      <c r="D32" s="16" t="s">
        <v>89</v>
      </c>
      <c r="E32" s="17" t="s">
        <v>1</v>
      </c>
    </row>
    <row r="33" spans="2:5">
      <c r="B33" s="14" t="s">
        <v>61</v>
      </c>
      <c r="C33" s="15" t="s">
        <v>29</v>
      </c>
      <c r="D33" s="16" t="s">
        <v>90</v>
      </c>
      <c r="E33" s="17" t="s">
        <v>1</v>
      </c>
    </row>
    <row r="34" spans="2:5">
      <c r="B34" s="14" t="s">
        <v>61</v>
      </c>
      <c r="C34" s="15" t="s">
        <v>29</v>
      </c>
      <c r="D34" s="16" t="s">
        <v>91</v>
      </c>
      <c r="E34" s="17" t="s">
        <v>1</v>
      </c>
    </row>
    <row r="35" spans="2:5">
      <c r="B35" s="14" t="s">
        <v>61</v>
      </c>
      <c r="C35" s="15" t="s">
        <v>29</v>
      </c>
      <c r="D35" s="16" t="s">
        <v>92</v>
      </c>
      <c r="E35" s="17" t="s">
        <v>1</v>
      </c>
    </row>
    <row r="36" spans="2:5">
      <c r="B36" s="14" t="s">
        <v>61</v>
      </c>
      <c r="C36" s="15" t="s">
        <v>29</v>
      </c>
      <c r="D36" s="16" t="s">
        <v>93</v>
      </c>
      <c r="E36" s="17" t="s">
        <v>1738</v>
      </c>
    </row>
    <row r="37" spans="2:5">
      <c r="B37" s="14" t="s">
        <v>61</v>
      </c>
      <c r="C37" s="15" t="s">
        <v>29</v>
      </c>
      <c r="D37" s="16" t="s">
        <v>94</v>
      </c>
      <c r="E37" s="17" t="s">
        <v>1</v>
      </c>
    </row>
    <row r="38" spans="2:5">
      <c r="B38" s="14" t="s">
        <v>61</v>
      </c>
      <c r="C38" s="15" t="s">
        <v>29</v>
      </c>
      <c r="D38" s="16" t="s">
        <v>95</v>
      </c>
      <c r="E38" s="17" t="s">
        <v>1</v>
      </c>
    </row>
    <row r="39" spans="2:5">
      <c r="B39" s="14" t="s">
        <v>61</v>
      </c>
      <c r="C39" s="15" t="s">
        <v>29</v>
      </c>
      <c r="D39" s="16" t="s">
        <v>96</v>
      </c>
      <c r="E39" s="17" t="s">
        <v>1</v>
      </c>
    </row>
    <row r="40" spans="2:5">
      <c r="B40" s="14" t="s">
        <v>61</v>
      </c>
      <c r="C40" s="15" t="s">
        <v>29</v>
      </c>
      <c r="D40" s="16" t="s">
        <v>97</v>
      </c>
      <c r="E40" s="17" t="s">
        <v>1</v>
      </c>
    </row>
    <row r="41" spans="2:5">
      <c r="B41" s="14" t="s">
        <v>61</v>
      </c>
      <c r="C41" s="15" t="s">
        <v>29</v>
      </c>
      <c r="D41" s="16" t="s">
        <v>98</v>
      </c>
      <c r="E41" s="17" t="s">
        <v>1738</v>
      </c>
    </row>
    <row r="42" spans="2:5">
      <c r="B42" s="14" t="s">
        <v>61</v>
      </c>
      <c r="C42" s="15" t="s">
        <v>29</v>
      </c>
      <c r="D42" s="16" t="s">
        <v>99</v>
      </c>
      <c r="E42" s="17" t="s">
        <v>1738</v>
      </c>
    </row>
    <row r="43" spans="2:5">
      <c r="B43" s="14" t="s">
        <v>61</v>
      </c>
      <c r="C43" s="15" t="s">
        <v>29</v>
      </c>
      <c r="D43" s="16" t="s">
        <v>100</v>
      </c>
      <c r="E43" s="17" t="s">
        <v>1738</v>
      </c>
    </row>
    <row r="44" spans="2:5">
      <c r="B44" s="14" t="s">
        <v>61</v>
      </c>
      <c r="C44" s="15" t="s">
        <v>29</v>
      </c>
      <c r="D44" s="16" t="s">
        <v>101</v>
      </c>
      <c r="E44" s="17" t="s">
        <v>1738</v>
      </c>
    </row>
    <row r="45" spans="2:5">
      <c r="B45" s="14" t="s">
        <v>61</v>
      </c>
      <c r="C45" s="15" t="s">
        <v>29</v>
      </c>
      <c r="D45" s="16" t="s">
        <v>102</v>
      </c>
      <c r="E45" s="17" t="s">
        <v>1738</v>
      </c>
    </row>
    <row r="46" spans="2:5">
      <c r="B46" s="14" t="s">
        <v>61</v>
      </c>
      <c r="C46" s="15" t="s">
        <v>29</v>
      </c>
      <c r="D46" s="16" t="s">
        <v>103</v>
      </c>
      <c r="E46" s="17" t="s">
        <v>1</v>
      </c>
    </row>
    <row r="47" spans="2:5">
      <c r="B47" s="14" t="s">
        <v>61</v>
      </c>
      <c r="C47" s="15" t="s">
        <v>29</v>
      </c>
      <c r="D47" s="16" t="s">
        <v>104</v>
      </c>
      <c r="E47" s="17" t="s">
        <v>1</v>
      </c>
    </row>
    <row r="48" spans="2:5">
      <c r="B48" s="14" t="s">
        <v>61</v>
      </c>
      <c r="C48" s="15" t="s">
        <v>29</v>
      </c>
      <c r="D48" s="16" t="s">
        <v>105</v>
      </c>
      <c r="E48" s="17" t="s">
        <v>1</v>
      </c>
    </row>
    <row r="49" spans="2:5">
      <c r="B49" s="14" t="s">
        <v>61</v>
      </c>
      <c r="C49" s="15" t="s">
        <v>29</v>
      </c>
      <c r="D49" s="16" t="s">
        <v>106</v>
      </c>
      <c r="E49" s="17" t="s">
        <v>1738</v>
      </c>
    </row>
    <row r="50" spans="2:5">
      <c r="B50" s="14" t="s">
        <v>61</v>
      </c>
      <c r="C50" s="15" t="s">
        <v>29</v>
      </c>
      <c r="D50" s="16" t="s">
        <v>107</v>
      </c>
      <c r="E50" s="17" t="s">
        <v>1738</v>
      </c>
    </row>
    <row r="51" spans="2:5">
      <c r="B51" s="14" t="s">
        <v>61</v>
      </c>
      <c r="C51" s="15" t="s">
        <v>29</v>
      </c>
      <c r="D51" s="16" t="s">
        <v>108</v>
      </c>
      <c r="E51" s="17" t="s">
        <v>1738</v>
      </c>
    </row>
    <row r="52" spans="2:5">
      <c r="B52" s="14" t="s">
        <v>61</v>
      </c>
      <c r="C52" s="15" t="s">
        <v>29</v>
      </c>
      <c r="D52" s="16" t="s">
        <v>109</v>
      </c>
      <c r="E52" s="17" t="s">
        <v>1</v>
      </c>
    </row>
    <row r="53" spans="2:5">
      <c r="B53" s="14" t="s">
        <v>61</v>
      </c>
      <c r="C53" s="15" t="s">
        <v>29</v>
      </c>
      <c r="D53" s="16" t="s">
        <v>110</v>
      </c>
      <c r="E53" s="17" t="s">
        <v>1738</v>
      </c>
    </row>
    <row r="54" spans="2:5">
      <c r="B54" s="14" t="s">
        <v>61</v>
      </c>
      <c r="C54" s="15" t="s">
        <v>29</v>
      </c>
      <c r="D54" s="16" t="s">
        <v>111</v>
      </c>
      <c r="E54" s="17" t="s">
        <v>1738</v>
      </c>
    </row>
    <row r="55" spans="2:5">
      <c r="B55" s="14" t="s">
        <v>61</v>
      </c>
      <c r="C55" s="15" t="s">
        <v>29</v>
      </c>
      <c r="D55" s="16" t="s">
        <v>112</v>
      </c>
      <c r="E55" s="17" t="s">
        <v>1</v>
      </c>
    </row>
    <row r="56" spans="2:5">
      <c r="B56" s="14" t="s">
        <v>61</v>
      </c>
      <c r="C56" s="15" t="s">
        <v>29</v>
      </c>
      <c r="D56" s="16" t="s">
        <v>113</v>
      </c>
      <c r="E56" s="17" t="s">
        <v>1738</v>
      </c>
    </row>
    <row r="57" spans="2:5">
      <c r="B57" s="14" t="s">
        <v>61</v>
      </c>
      <c r="C57" s="15" t="s">
        <v>29</v>
      </c>
      <c r="D57" s="16" t="s">
        <v>114</v>
      </c>
      <c r="E57" s="17" t="s">
        <v>1738</v>
      </c>
    </row>
    <row r="58" spans="2:5">
      <c r="B58" s="14" t="s">
        <v>61</v>
      </c>
      <c r="C58" s="15" t="s">
        <v>29</v>
      </c>
      <c r="D58" s="16" t="s">
        <v>115</v>
      </c>
      <c r="E58" s="17" t="s">
        <v>1</v>
      </c>
    </row>
    <row r="59" spans="2:5">
      <c r="B59" s="14" t="s">
        <v>61</v>
      </c>
      <c r="C59" s="15" t="s">
        <v>29</v>
      </c>
      <c r="D59" s="16" t="s">
        <v>116</v>
      </c>
      <c r="E59" s="17" t="s">
        <v>1</v>
      </c>
    </row>
    <row r="60" spans="2:5">
      <c r="B60" s="14" t="s">
        <v>61</v>
      </c>
      <c r="C60" s="15" t="s">
        <v>29</v>
      </c>
      <c r="D60" s="16" t="s">
        <v>117</v>
      </c>
      <c r="E60" s="17" t="s">
        <v>1738</v>
      </c>
    </row>
    <row r="61" spans="2:5">
      <c r="B61" s="14" t="s">
        <v>61</v>
      </c>
      <c r="C61" s="15" t="s">
        <v>29</v>
      </c>
      <c r="D61" s="16" t="s">
        <v>118</v>
      </c>
      <c r="E61" s="17" t="s">
        <v>1</v>
      </c>
    </row>
    <row r="62" spans="2:5">
      <c r="B62" s="14" t="s">
        <v>61</v>
      </c>
      <c r="C62" s="15" t="s">
        <v>29</v>
      </c>
      <c r="D62" s="16" t="s">
        <v>119</v>
      </c>
      <c r="E62" s="17" t="s">
        <v>1738</v>
      </c>
    </row>
    <row r="63" spans="2:5">
      <c r="B63" s="14" t="s">
        <v>61</v>
      </c>
      <c r="C63" s="15" t="s">
        <v>29</v>
      </c>
      <c r="D63" s="16" t="s">
        <v>120</v>
      </c>
      <c r="E63" s="17" t="s">
        <v>1738</v>
      </c>
    </row>
    <row r="64" spans="2:5">
      <c r="B64" s="14" t="s">
        <v>61</v>
      </c>
      <c r="C64" s="15" t="s">
        <v>29</v>
      </c>
      <c r="D64" s="16" t="s">
        <v>121</v>
      </c>
      <c r="E64" s="17" t="s">
        <v>1</v>
      </c>
    </row>
    <row r="65" spans="2:5">
      <c r="B65" s="14" t="s">
        <v>61</v>
      </c>
      <c r="C65" s="15" t="s">
        <v>29</v>
      </c>
      <c r="D65" s="16" t="s">
        <v>122</v>
      </c>
      <c r="E65" s="17" t="s">
        <v>1</v>
      </c>
    </row>
    <row r="66" spans="2:5">
      <c r="B66" s="14" t="s">
        <v>61</v>
      </c>
      <c r="C66" s="15" t="s">
        <v>29</v>
      </c>
      <c r="D66" s="16" t="s">
        <v>123</v>
      </c>
      <c r="E66" s="17" t="s">
        <v>1738</v>
      </c>
    </row>
    <row r="67" spans="2:5">
      <c r="B67" s="14" t="s">
        <v>61</v>
      </c>
      <c r="C67" s="15" t="s">
        <v>29</v>
      </c>
      <c r="D67" s="16" t="s">
        <v>124</v>
      </c>
      <c r="E67" s="17" t="s">
        <v>1738</v>
      </c>
    </row>
    <row r="68" spans="2:5">
      <c r="B68" s="14" t="s">
        <v>61</v>
      </c>
      <c r="C68" s="15" t="s">
        <v>29</v>
      </c>
      <c r="D68" s="16" t="s">
        <v>125</v>
      </c>
      <c r="E68" s="17" t="s">
        <v>1738</v>
      </c>
    </row>
    <row r="69" spans="2:5">
      <c r="B69" s="14" t="s">
        <v>61</v>
      </c>
      <c r="C69" s="15" t="s">
        <v>29</v>
      </c>
      <c r="D69" s="16" t="s">
        <v>126</v>
      </c>
      <c r="E69" s="17" t="s">
        <v>1738</v>
      </c>
    </row>
    <row r="70" spans="2:5">
      <c r="B70" s="14" t="s">
        <v>61</v>
      </c>
      <c r="C70" s="15" t="s">
        <v>29</v>
      </c>
      <c r="D70" s="16" t="s">
        <v>127</v>
      </c>
      <c r="E70" s="17" t="s">
        <v>1738</v>
      </c>
    </row>
    <row r="71" spans="2:5">
      <c r="B71" s="14" t="s">
        <v>61</v>
      </c>
      <c r="C71" s="15" t="s">
        <v>29</v>
      </c>
      <c r="D71" s="16" t="s">
        <v>128</v>
      </c>
      <c r="E71" s="17" t="s">
        <v>1738</v>
      </c>
    </row>
    <row r="72" spans="2:5">
      <c r="B72" s="14" t="s">
        <v>61</v>
      </c>
      <c r="C72" s="15" t="s">
        <v>29</v>
      </c>
      <c r="D72" s="16" t="s">
        <v>129</v>
      </c>
      <c r="E72" s="17" t="s">
        <v>1738</v>
      </c>
    </row>
    <row r="73" spans="2:5">
      <c r="B73" s="14" t="s">
        <v>61</v>
      </c>
      <c r="C73" s="15" t="s">
        <v>29</v>
      </c>
      <c r="D73" s="16" t="s">
        <v>130</v>
      </c>
      <c r="E73" s="17" t="s">
        <v>1</v>
      </c>
    </row>
    <row r="74" spans="2:5">
      <c r="B74" s="14" t="s">
        <v>61</v>
      </c>
      <c r="C74" s="15" t="s">
        <v>29</v>
      </c>
      <c r="D74" s="16" t="s">
        <v>131</v>
      </c>
      <c r="E74" s="17" t="s">
        <v>1</v>
      </c>
    </row>
    <row r="75" spans="2:5">
      <c r="B75" s="14" t="s">
        <v>132</v>
      </c>
      <c r="C75" s="15" t="s">
        <v>11</v>
      </c>
      <c r="D75" s="16" t="s">
        <v>133</v>
      </c>
      <c r="E75" s="17" t="s">
        <v>1738</v>
      </c>
    </row>
    <row r="76" spans="2:5">
      <c r="B76" s="14" t="s">
        <v>132</v>
      </c>
      <c r="C76" s="15" t="s">
        <v>11</v>
      </c>
      <c r="D76" s="16" t="s">
        <v>134</v>
      </c>
      <c r="E76" s="17" t="s">
        <v>1738</v>
      </c>
    </row>
    <row r="77" spans="2:5">
      <c r="B77" s="14" t="s">
        <v>132</v>
      </c>
      <c r="C77" s="15" t="s">
        <v>11</v>
      </c>
      <c r="D77" s="16" t="s">
        <v>135</v>
      </c>
      <c r="E77" s="17" t="s">
        <v>1738</v>
      </c>
    </row>
    <row r="78" spans="2:5">
      <c r="B78" s="14" t="s">
        <v>132</v>
      </c>
      <c r="C78" s="15" t="s">
        <v>11</v>
      </c>
      <c r="D78" s="16" t="s">
        <v>136</v>
      </c>
      <c r="E78" s="17" t="s">
        <v>1738</v>
      </c>
    </row>
    <row r="79" spans="2:5">
      <c r="B79" s="14" t="s">
        <v>132</v>
      </c>
      <c r="C79" s="15" t="s">
        <v>11</v>
      </c>
      <c r="D79" s="16" t="s">
        <v>137</v>
      </c>
      <c r="E79" s="17" t="s">
        <v>1738</v>
      </c>
    </row>
    <row r="80" spans="2:5">
      <c r="B80" s="14" t="s">
        <v>132</v>
      </c>
      <c r="C80" s="15" t="s">
        <v>11</v>
      </c>
      <c r="D80" s="16" t="s">
        <v>138</v>
      </c>
      <c r="E80" s="17" t="s">
        <v>1</v>
      </c>
    </row>
    <row r="81" spans="2:5">
      <c r="B81" s="14" t="s">
        <v>132</v>
      </c>
      <c r="C81" s="15" t="s">
        <v>11</v>
      </c>
      <c r="D81" s="16" t="s">
        <v>139</v>
      </c>
      <c r="E81" s="17" t="s">
        <v>1</v>
      </c>
    </row>
    <row r="82" spans="2:5">
      <c r="B82" s="14" t="s">
        <v>132</v>
      </c>
      <c r="C82" s="15" t="s">
        <v>11</v>
      </c>
      <c r="D82" s="16" t="s">
        <v>140</v>
      </c>
      <c r="E82" s="17" t="s">
        <v>1</v>
      </c>
    </row>
    <row r="83" spans="2:5">
      <c r="B83" s="14" t="s">
        <v>132</v>
      </c>
      <c r="C83" s="15" t="s">
        <v>11</v>
      </c>
      <c r="D83" s="16" t="s">
        <v>141</v>
      </c>
      <c r="E83" s="17" t="s">
        <v>1</v>
      </c>
    </row>
    <row r="84" spans="2:5">
      <c r="B84" s="14" t="s">
        <v>132</v>
      </c>
      <c r="C84" s="15" t="s">
        <v>11</v>
      </c>
      <c r="D84" s="16" t="s">
        <v>142</v>
      </c>
      <c r="E84" s="17" t="s">
        <v>1</v>
      </c>
    </row>
    <row r="85" spans="2:5">
      <c r="B85" s="14" t="s">
        <v>132</v>
      </c>
      <c r="C85" s="15" t="s">
        <v>11</v>
      </c>
      <c r="D85" s="16" t="s">
        <v>143</v>
      </c>
      <c r="E85" s="17" t="s">
        <v>1</v>
      </c>
    </row>
    <row r="86" spans="2:5">
      <c r="B86" s="14" t="s">
        <v>132</v>
      </c>
      <c r="C86" s="15" t="s">
        <v>11</v>
      </c>
      <c r="D86" s="16" t="s">
        <v>144</v>
      </c>
      <c r="E86" s="17" t="s">
        <v>1</v>
      </c>
    </row>
    <row r="87" spans="2:5">
      <c r="B87" s="14" t="s">
        <v>132</v>
      </c>
      <c r="C87" s="15" t="s">
        <v>11</v>
      </c>
      <c r="D87" s="16" t="s">
        <v>145</v>
      </c>
      <c r="E87" s="17" t="s">
        <v>1</v>
      </c>
    </row>
    <row r="88" spans="2:5">
      <c r="B88" s="14" t="s">
        <v>132</v>
      </c>
      <c r="C88" s="15" t="s">
        <v>11</v>
      </c>
      <c r="D88" s="16" t="s">
        <v>146</v>
      </c>
      <c r="E88" s="17" t="s">
        <v>1</v>
      </c>
    </row>
    <row r="89" spans="2:5">
      <c r="B89" s="14" t="s">
        <v>132</v>
      </c>
      <c r="C89" s="15" t="s">
        <v>11</v>
      </c>
      <c r="D89" s="16" t="s">
        <v>147</v>
      </c>
      <c r="E89" s="17" t="s">
        <v>1738</v>
      </c>
    </row>
    <row r="90" spans="2:5">
      <c r="B90" s="14" t="s">
        <v>132</v>
      </c>
      <c r="C90" s="15" t="s">
        <v>11</v>
      </c>
      <c r="D90" s="16" t="s">
        <v>148</v>
      </c>
      <c r="E90" s="17" t="s">
        <v>1738</v>
      </c>
    </row>
    <row r="91" spans="2:5">
      <c r="B91" s="14" t="s">
        <v>132</v>
      </c>
      <c r="C91" s="15" t="s">
        <v>11</v>
      </c>
      <c r="D91" s="16" t="s">
        <v>149</v>
      </c>
      <c r="E91" s="17" t="s">
        <v>1</v>
      </c>
    </row>
    <row r="92" spans="2:5">
      <c r="B92" s="14" t="s">
        <v>132</v>
      </c>
      <c r="C92" s="15" t="s">
        <v>11</v>
      </c>
      <c r="D92" s="16" t="s">
        <v>150</v>
      </c>
      <c r="E92" s="17" t="s">
        <v>1</v>
      </c>
    </row>
    <row r="93" spans="2:5">
      <c r="B93" s="14" t="s">
        <v>132</v>
      </c>
      <c r="C93" s="15" t="s">
        <v>11</v>
      </c>
      <c r="D93" s="16" t="s">
        <v>151</v>
      </c>
      <c r="E93" s="17" t="s">
        <v>1</v>
      </c>
    </row>
    <row r="94" spans="2:5">
      <c r="B94" s="14" t="s">
        <v>132</v>
      </c>
      <c r="C94" s="15" t="s">
        <v>11</v>
      </c>
      <c r="D94" s="16" t="s">
        <v>152</v>
      </c>
      <c r="E94" s="17" t="s">
        <v>1</v>
      </c>
    </row>
    <row r="95" spans="2:5">
      <c r="B95" s="14" t="s">
        <v>132</v>
      </c>
      <c r="C95" s="15" t="s">
        <v>11</v>
      </c>
      <c r="D95" s="16" t="s">
        <v>153</v>
      </c>
      <c r="E95" s="17" t="s">
        <v>1</v>
      </c>
    </row>
    <row r="96" spans="2:5">
      <c r="B96" s="14" t="s">
        <v>132</v>
      </c>
      <c r="C96" s="15" t="s">
        <v>11</v>
      </c>
      <c r="D96" s="16" t="s">
        <v>154</v>
      </c>
      <c r="E96" s="17" t="s">
        <v>1</v>
      </c>
    </row>
    <row r="97" spans="2:5">
      <c r="B97" s="14" t="s">
        <v>132</v>
      </c>
      <c r="C97" s="15" t="s">
        <v>11</v>
      </c>
      <c r="D97" s="16" t="s">
        <v>155</v>
      </c>
      <c r="E97" s="17" t="s">
        <v>1</v>
      </c>
    </row>
    <row r="98" spans="2:5">
      <c r="B98" s="14" t="s">
        <v>132</v>
      </c>
      <c r="C98" s="15" t="s">
        <v>11</v>
      </c>
      <c r="D98" s="16" t="s">
        <v>156</v>
      </c>
      <c r="E98" s="17" t="s">
        <v>1738</v>
      </c>
    </row>
    <row r="99" spans="2:5">
      <c r="B99" s="14" t="s">
        <v>132</v>
      </c>
      <c r="C99" s="15" t="s">
        <v>11</v>
      </c>
      <c r="D99" s="16" t="s">
        <v>157</v>
      </c>
      <c r="E99" s="17" t="s">
        <v>1738</v>
      </c>
    </row>
    <row r="100" spans="2:5">
      <c r="B100" s="14" t="s">
        <v>132</v>
      </c>
      <c r="C100" s="15" t="s">
        <v>11</v>
      </c>
      <c r="D100" s="16" t="s">
        <v>158</v>
      </c>
      <c r="E100" s="17" t="s">
        <v>1738</v>
      </c>
    </row>
    <row r="101" spans="2:5">
      <c r="B101" s="14" t="s">
        <v>132</v>
      </c>
      <c r="C101" s="15" t="s">
        <v>11</v>
      </c>
      <c r="D101" s="16" t="s">
        <v>159</v>
      </c>
      <c r="E101" s="17" t="s">
        <v>1</v>
      </c>
    </row>
    <row r="102" spans="2:5">
      <c r="B102" s="14" t="s">
        <v>132</v>
      </c>
      <c r="C102" s="15" t="s">
        <v>11</v>
      </c>
      <c r="D102" s="16" t="s">
        <v>160</v>
      </c>
      <c r="E102" s="17" t="s">
        <v>1</v>
      </c>
    </row>
    <row r="103" spans="2:5">
      <c r="B103" s="14" t="s">
        <v>132</v>
      </c>
      <c r="C103" s="15" t="s">
        <v>11</v>
      </c>
      <c r="D103" s="16" t="s">
        <v>161</v>
      </c>
      <c r="E103" s="17" t="s">
        <v>1738</v>
      </c>
    </row>
    <row r="104" spans="2:5">
      <c r="B104" s="14" t="s">
        <v>132</v>
      </c>
      <c r="C104" s="15" t="s">
        <v>11</v>
      </c>
      <c r="D104" s="16" t="s">
        <v>162</v>
      </c>
      <c r="E104" s="17" t="s">
        <v>1738</v>
      </c>
    </row>
    <row r="105" spans="2:5">
      <c r="B105" s="14" t="s">
        <v>132</v>
      </c>
      <c r="C105" s="15" t="s">
        <v>11</v>
      </c>
      <c r="D105" s="16" t="s">
        <v>163</v>
      </c>
      <c r="E105" s="17" t="s">
        <v>1</v>
      </c>
    </row>
    <row r="106" spans="2:5">
      <c r="B106" s="14" t="s">
        <v>132</v>
      </c>
      <c r="C106" s="15" t="s">
        <v>11</v>
      </c>
      <c r="D106" s="16" t="s">
        <v>164</v>
      </c>
      <c r="E106" s="17" t="s">
        <v>1738</v>
      </c>
    </row>
    <row r="107" spans="2:5">
      <c r="B107" s="14" t="s">
        <v>132</v>
      </c>
      <c r="C107" s="15" t="s">
        <v>11</v>
      </c>
      <c r="D107" s="16" t="s">
        <v>165</v>
      </c>
      <c r="E107" s="17" t="s">
        <v>1738</v>
      </c>
    </row>
    <row r="108" spans="2:5">
      <c r="B108" s="14" t="s">
        <v>132</v>
      </c>
      <c r="C108" s="15" t="s">
        <v>11</v>
      </c>
      <c r="D108" s="16" t="s">
        <v>166</v>
      </c>
      <c r="E108" s="17" t="s">
        <v>1738</v>
      </c>
    </row>
    <row r="109" spans="2:5">
      <c r="B109" s="14" t="s">
        <v>132</v>
      </c>
      <c r="C109" s="15" t="s">
        <v>11</v>
      </c>
      <c r="D109" s="16" t="s">
        <v>167</v>
      </c>
      <c r="E109" s="17" t="s">
        <v>1738</v>
      </c>
    </row>
    <row r="110" spans="2:5">
      <c r="B110" s="14" t="s">
        <v>132</v>
      </c>
      <c r="C110" s="15" t="s">
        <v>11</v>
      </c>
      <c r="D110" s="16" t="s">
        <v>168</v>
      </c>
      <c r="E110" s="17" t="s">
        <v>1</v>
      </c>
    </row>
    <row r="111" spans="2:5">
      <c r="B111" s="14" t="s">
        <v>132</v>
      </c>
      <c r="C111" s="15" t="s">
        <v>11</v>
      </c>
      <c r="D111" s="16" t="s">
        <v>169</v>
      </c>
      <c r="E111" s="17" t="s">
        <v>1738</v>
      </c>
    </row>
    <row r="112" spans="2:5">
      <c r="B112" s="14" t="s">
        <v>132</v>
      </c>
      <c r="C112" s="15" t="s">
        <v>11</v>
      </c>
      <c r="D112" s="16" t="s">
        <v>170</v>
      </c>
      <c r="E112" s="17" t="s">
        <v>1738</v>
      </c>
    </row>
    <row r="113" spans="2:5">
      <c r="B113" s="14" t="s">
        <v>132</v>
      </c>
      <c r="C113" s="15" t="s">
        <v>11</v>
      </c>
      <c r="D113" s="16" t="s">
        <v>171</v>
      </c>
      <c r="E113" s="17" t="s">
        <v>1738</v>
      </c>
    </row>
    <row r="114" spans="2:5">
      <c r="B114" s="14" t="s">
        <v>132</v>
      </c>
      <c r="C114" s="15" t="s">
        <v>11</v>
      </c>
      <c r="D114" s="16" t="s">
        <v>172</v>
      </c>
      <c r="E114" s="17" t="s">
        <v>1738</v>
      </c>
    </row>
    <row r="115" spans="2:5">
      <c r="B115" s="14" t="s">
        <v>132</v>
      </c>
      <c r="C115" s="15" t="s">
        <v>11</v>
      </c>
      <c r="D115" s="16" t="s">
        <v>173</v>
      </c>
      <c r="E115" s="17" t="s">
        <v>1738</v>
      </c>
    </row>
    <row r="116" spans="2:5">
      <c r="B116" s="14" t="s">
        <v>132</v>
      </c>
      <c r="C116" s="15" t="s">
        <v>11</v>
      </c>
      <c r="D116" s="16" t="s">
        <v>174</v>
      </c>
      <c r="E116" s="17" t="s">
        <v>1738</v>
      </c>
    </row>
    <row r="117" spans="2:5">
      <c r="B117" s="14" t="s">
        <v>132</v>
      </c>
      <c r="C117" s="15" t="s">
        <v>11</v>
      </c>
      <c r="D117" s="16" t="s">
        <v>175</v>
      </c>
      <c r="E117" s="17" t="s">
        <v>1738</v>
      </c>
    </row>
    <row r="118" spans="2:5">
      <c r="B118" s="14" t="s">
        <v>132</v>
      </c>
      <c r="C118" s="15" t="s">
        <v>11</v>
      </c>
      <c r="D118" s="16" t="s">
        <v>176</v>
      </c>
      <c r="E118" s="17" t="s">
        <v>1738</v>
      </c>
    </row>
    <row r="119" spans="2:5">
      <c r="B119" s="14" t="s">
        <v>132</v>
      </c>
      <c r="C119" s="15" t="s">
        <v>11</v>
      </c>
      <c r="D119" s="16" t="s">
        <v>177</v>
      </c>
      <c r="E119" s="17" t="s">
        <v>1738</v>
      </c>
    </row>
    <row r="120" spans="2:5">
      <c r="B120" s="14" t="s">
        <v>132</v>
      </c>
      <c r="C120" s="15" t="s">
        <v>11</v>
      </c>
      <c r="D120" s="16" t="s">
        <v>178</v>
      </c>
      <c r="E120" s="17" t="s">
        <v>1738</v>
      </c>
    </row>
    <row r="121" spans="2:5">
      <c r="B121" s="14" t="s">
        <v>132</v>
      </c>
      <c r="C121" s="15" t="s">
        <v>11</v>
      </c>
      <c r="D121" s="16" t="s">
        <v>179</v>
      </c>
      <c r="E121" s="17" t="s">
        <v>1738</v>
      </c>
    </row>
    <row r="122" spans="2:5">
      <c r="B122" s="14" t="s">
        <v>132</v>
      </c>
      <c r="C122" s="15" t="s">
        <v>11</v>
      </c>
      <c r="D122" s="16" t="s">
        <v>180</v>
      </c>
      <c r="E122" s="17" t="s">
        <v>1738</v>
      </c>
    </row>
    <row r="123" spans="2:5">
      <c r="B123" s="14" t="s">
        <v>132</v>
      </c>
      <c r="C123" s="15" t="s">
        <v>11</v>
      </c>
      <c r="D123" s="16" t="s">
        <v>181</v>
      </c>
      <c r="E123" s="17" t="s">
        <v>1738</v>
      </c>
    </row>
    <row r="124" spans="2:5">
      <c r="B124" s="14" t="s">
        <v>132</v>
      </c>
      <c r="C124" s="15" t="s">
        <v>11</v>
      </c>
      <c r="D124" s="16" t="s">
        <v>182</v>
      </c>
      <c r="E124" s="17" t="s">
        <v>1738</v>
      </c>
    </row>
    <row r="125" spans="2:5">
      <c r="B125" s="14" t="s">
        <v>132</v>
      </c>
      <c r="C125" s="15" t="s">
        <v>11</v>
      </c>
      <c r="D125" s="16" t="s">
        <v>183</v>
      </c>
      <c r="E125" s="17" t="s">
        <v>1738</v>
      </c>
    </row>
    <row r="126" spans="2:5">
      <c r="B126" s="14" t="s">
        <v>132</v>
      </c>
      <c r="C126" s="15" t="s">
        <v>11</v>
      </c>
      <c r="D126" s="16" t="s">
        <v>184</v>
      </c>
      <c r="E126" s="17" t="s">
        <v>1738</v>
      </c>
    </row>
    <row r="127" spans="2:5">
      <c r="B127" s="14" t="s">
        <v>132</v>
      </c>
      <c r="C127" s="15" t="s">
        <v>11</v>
      </c>
      <c r="D127" s="16" t="s">
        <v>185</v>
      </c>
      <c r="E127" s="17" t="s">
        <v>1738</v>
      </c>
    </row>
    <row r="128" spans="2:5">
      <c r="B128" s="14" t="s">
        <v>132</v>
      </c>
      <c r="C128" s="15" t="s">
        <v>11</v>
      </c>
      <c r="D128" s="16" t="s">
        <v>186</v>
      </c>
      <c r="E128" s="17" t="s">
        <v>1738</v>
      </c>
    </row>
    <row r="129" spans="2:5">
      <c r="B129" s="14" t="s">
        <v>132</v>
      </c>
      <c r="C129" s="15" t="s">
        <v>11</v>
      </c>
      <c r="D129" s="16" t="s">
        <v>187</v>
      </c>
      <c r="E129" s="17" t="s">
        <v>1738</v>
      </c>
    </row>
    <row r="130" spans="2:5">
      <c r="B130" s="14" t="s">
        <v>132</v>
      </c>
      <c r="C130" s="15" t="s">
        <v>11</v>
      </c>
      <c r="D130" s="16" t="s">
        <v>188</v>
      </c>
      <c r="E130" s="17" t="s">
        <v>1738</v>
      </c>
    </row>
    <row r="131" spans="2:5">
      <c r="B131" s="14" t="s">
        <v>132</v>
      </c>
      <c r="C131" s="15" t="s">
        <v>11</v>
      </c>
      <c r="D131" s="16" t="s">
        <v>189</v>
      </c>
      <c r="E131" s="17" t="s">
        <v>1738</v>
      </c>
    </row>
    <row r="132" spans="2:5">
      <c r="B132" s="14" t="s">
        <v>132</v>
      </c>
      <c r="C132" s="15" t="s">
        <v>11</v>
      </c>
      <c r="D132" s="16" t="s">
        <v>190</v>
      </c>
      <c r="E132" s="17" t="s">
        <v>1738</v>
      </c>
    </row>
    <row r="133" spans="2:5">
      <c r="B133" s="14" t="s">
        <v>132</v>
      </c>
      <c r="C133" s="15" t="s">
        <v>11</v>
      </c>
      <c r="D133" s="16" t="s">
        <v>191</v>
      </c>
      <c r="E133" s="17" t="s">
        <v>1738</v>
      </c>
    </row>
    <row r="134" spans="2:5">
      <c r="B134" s="14" t="s">
        <v>132</v>
      </c>
      <c r="C134" s="15" t="s">
        <v>11</v>
      </c>
      <c r="D134" s="16" t="s">
        <v>192</v>
      </c>
      <c r="E134" s="17" t="s">
        <v>1738</v>
      </c>
    </row>
    <row r="135" spans="2:5">
      <c r="B135" s="14" t="s">
        <v>132</v>
      </c>
      <c r="C135" s="15" t="s">
        <v>11</v>
      </c>
      <c r="D135" s="16" t="s">
        <v>193</v>
      </c>
      <c r="E135" s="17" t="s">
        <v>1738</v>
      </c>
    </row>
    <row r="136" spans="2:5">
      <c r="B136" s="14" t="s">
        <v>132</v>
      </c>
      <c r="C136" s="15" t="s">
        <v>11</v>
      </c>
      <c r="D136" s="16" t="s">
        <v>194</v>
      </c>
      <c r="E136" s="17" t="s">
        <v>1738</v>
      </c>
    </row>
    <row r="137" spans="2:5">
      <c r="B137" s="14" t="s">
        <v>132</v>
      </c>
      <c r="C137" s="15" t="s">
        <v>11</v>
      </c>
      <c r="D137" s="16" t="s">
        <v>195</v>
      </c>
      <c r="E137" s="17" t="s">
        <v>1738</v>
      </c>
    </row>
    <row r="138" spans="2:5">
      <c r="B138" s="14" t="s">
        <v>132</v>
      </c>
      <c r="C138" s="15" t="s">
        <v>11</v>
      </c>
      <c r="D138" s="16" t="s">
        <v>196</v>
      </c>
      <c r="E138" s="17" t="s">
        <v>1738</v>
      </c>
    </row>
    <row r="139" spans="2:5">
      <c r="B139" s="14" t="s">
        <v>132</v>
      </c>
      <c r="C139" s="15" t="s">
        <v>11</v>
      </c>
      <c r="D139" s="16" t="s">
        <v>197</v>
      </c>
      <c r="E139" s="17" t="s">
        <v>1738</v>
      </c>
    </row>
    <row r="140" spans="2:5">
      <c r="B140" s="14" t="s">
        <v>132</v>
      </c>
      <c r="C140" s="15" t="s">
        <v>11</v>
      </c>
      <c r="D140" s="16" t="s">
        <v>198</v>
      </c>
      <c r="E140" s="17" t="s">
        <v>1738</v>
      </c>
    </row>
    <row r="141" spans="2:5">
      <c r="B141" s="14" t="s">
        <v>132</v>
      </c>
      <c r="C141" s="15" t="s">
        <v>11</v>
      </c>
      <c r="D141" s="16" t="s">
        <v>199</v>
      </c>
      <c r="E141" s="17" t="s">
        <v>1738</v>
      </c>
    </row>
    <row r="142" spans="2:5">
      <c r="B142" s="14" t="s">
        <v>132</v>
      </c>
      <c r="C142" s="15" t="s">
        <v>11</v>
      </c>
      <c r="D142" s="16" t="s">
        <v>200</v>
      </c>
      <c r="E142" s="17" t="s">
        <v>1738</v>
      </c>
    </row>
    <row r="143" spans="2:5">
      <c r="B143" s="14" t="s">
        <v>132</v>
      </c>
      <c r="C143" s="15" t="s">
        <v>11</v>
      </c>
      <c r="D143" s="16" t="s">
        <v>201</v>
      </c>
      <c r="E143" s="17" t="s">
        <v>1738</v>
      </c>
    </row>
    <row r="144" spans="2:5">
      <c r="B144" s="14" t="s">
        <v>132</v>
      </c>
      <c r="C144" s="15" t="s">
        <v>11</v>
      </c>
      <c r="D144" s="16" t="s">
        <v>202</v>
      </c>
      <c r="E144" s="17" t="s">
        <v>1738</v>
      </c>
    </row>
    <row r="145" spans="2:5">
      <c r="B145" s="14" t="s">
        <v>132</v>
      </c>
      <c r="C145" s="15" t="s">
        <v>11</v>
      </c>
      <c r="D145" s="16" t="s">
        <v>203</v>
      </c>
      <c r="E145" s="17" t="s">
        <v>1738</v>
      </c>
    </row>
    <row r="146" spans="2:5">
      <c r="B146" s="14" t="s">
        <v>132</v>
      </c>
      <c r="C146" s="15" t="s">
        <v>11</v>
      </c>
      <c r="D146" s="16" t="s">
        <v>204</v>
      </c>
      <c r="E146" s="17" t="s">
        <v>1738</v>
      </c>
    </row>
    <row r="147" spans="2:5">
      <c r="B147" s="14" t="s">
        <v>132</v>
      </c>
      <c r="C147" s="15" t="s">
        <v>11</v>
      </c>
      <c r="D147" s="16" t="s">
        <v>205</v>
      </c>
      <c r="E147" s="17" t="s">
        <v>1</v>
      </c>
    </row>
    <row r="148" spans="2:5">
      <c r="B148" s="14" t="s">
        <v>132</v>
      </c>
      <c r="C148" s="15" t="s">
        <v>11</v>
      </c>
      <c r="D148" s="16" t="s">
        <v>206</v>
      </c>
      <c r="E148" s="17" t="s">
        <v>1738</v>
      </c>
    </row>
    <row r="149" spans="2:5">
      <c r="B149" s="14" t="s">
        <v>132</v>
      </c>
      <c r="C149" s="15" t="s">
        <v>11</v>
      </c>
      <c r="D149" s="16" t="s">
        <v>207</v>
      </c>
      <c r="E149" s="17" t="s">
        <v>1738</v>
      </c>
    </row>
    <row r="150" spans="2:5">
      <c r="B150" s="14" t="s">
        <v>132</v>
      </c>
      <c r="C150" s="15" t="s">
        <v>11</v>
      </c>
      <c r="D150" s="16" t="s">
        <v>208</v>
      </c>
      <c r="E150" s="17" t="s">
        <v>1</v>
      </c>
    </row>
    <row r="151" spans="2:5">
      <c r="B151" s="14" t="s">
        <v>132</v>
      </c>
      <c r="C151" s="15" t="s">
        <v>11</v>
      </c>
      <c r="D151" s="16" t="s">
        <v>209</v>
      </c>
      <c r="E151" s="17" t="s">
        <v>1738</v>
      </c>
    </row>
    <row r="152" spans="2:5">
      <c r="B152" s="14" t="s">
        <v>132</v>
      </c>
      <c r="C152" s="15" t="s">
        <v>11</v>
      </c>
      <c r="D152" s="16" t="s">
        <v>210</v>
      </c>
      <c r="E152" s="17" t="s">
        <v>1</v>
      </c>
    </row>
    <row r="153" spans="2:5">
      <c r="B153" s="14" t="s">
        <v>132</v>
      </c>
      <c r="C153" s="15" t="s">
        <v>11</v>
      </c>
      <c r="D153" s="16" t="s">
        <v>211</v>
      </c>
      <c r="E153" s="17" t="s">
        <v>1</v>
      </c>
    </row>
    <row r="154" spans="2:5">
      <c r="B154" s="14" t="s">
        <v>132</v>
      </c>
      <c r="C154" s="15" t="s">
        <v>11</v>
      </c>
      <c r="D154" s="16" t="s">
        <v>212</v>
      </c>
      <c r="E154" s="17" t="s">
        <v>1</v>
      </c>
    </row>
    <row r="155" spans="2:5">
      <c r="B155" s="14" t="s">
        <v>132</v>
      </c>
      <c r="C155" s="15" t="s">
        <v>11</v>
      </c>
      <c r="D155" s="16" t="s">
        <v>213</v>
      </c>
      <c r="E155" s="17" t="s">
        <v>1</v>
      </c>
    </row>
    <row r="156" spans="2:5">
      <c r="B156" s="14" t="s">
        <v>132</v>
      </c>
      <c r="C156" s="15" t="s">
        <v>11</v>
      </c>
      <c r="D156" s="16" t="s">
        <v>214</v>
      </c>
      <c r="E156" s="17" t="s">
        <v>1</v>
      </c>
    </row>
    <row r="157" spans="2:5">
      <c r="B157" s="14" t="s">
        <v>132</v>
      </c>
      <c r="C157" s="15" t="s">
        <v>11</v>
      </c>
      <c r="D157" s="16" t="s">
        <v>215</v>
      </c>
      <c r="E157" s="17" t="s">
        <v>1</v>
      </c>
    </row>
    <row r="158" spans="2:5">
      <c r="B158" s="14" t="s">
        <v>132</v>
      </c>
      <c r="C158" s="15" t="s">
        <v>11</v>
      </c>
      <c r="D158" s="16" t="s">
        <v>216</v>
      </c>
      <c r="E158" s="17" t="s">
        <v>1738</v>
      </c>
    </row>
    <row r="159" spans="2:5">
      <c r="B159" s="14" t="s">
        <v>132</v>
      </c>
      <c r="C159" s="15" t="s">
        <v>11</v>
      </c>
      <c r="D159" s="16" t="s">
        <v>217</v>
      </c>
      <c r="E159" s="17" t="s">
        <v>1</v>
      </c>
    </row>
    <row r="160" spans="2:5">
      <c r="B160" s="14" t="s">
        <v>132</v>
      </c>
      <c r="C160" s="15" t="s">
        <v>11</v>
      </c>
      <c r="D160" s="16" t="s">
        <v>218</v>
      </c>
      <c r="E160" s="17" t="s">
        <v>1738</v>
      </c>
    </row>
    <row r="161" spans="2:5">
      <c r="B161" s="14" t="s">
        <v>132</v>
      </c>
      <c r="C161" s="15" t="s">
        <v>11</v>
      </c>
      <c r="D161" s="16" t="s">
        <v>219</v>
      </c>
      <c r="E161" s="17" t="s">
        <v>1</v>
      </c>
    </row>
    <row r="162" spans="2:5">
      <c r="B162" s="14" t="s">
        <v>132</v>
      </c>
      <c r="C162" s="15" t="s">
        <v>11</v>
      </c>
      <c r="D162" s="16" t="s">
        <v>220</v>
      </c>
      <c r="E162" s="17" t="s">
        <v>1738</v>
      </c>
    </row>
    <row r="163" spans="2:5">
      <c r="B163" s="14" t="s">
        <v>132</v>
      </c>
      <c r="C163" s="15" t="s">
        <v>11</v>
      </c>
      <c r="D163" s="16" t="s">
        <v>221</v>
      </c>
      <c r="E163" s="17" t="s">
        <v>1738</v>
      </c>
    </row>
    <row r="164" spans="2:5">
      <c r="B164" s="14" t="s">
        <v>132</v>
      </c>
      <c r="C164" s="15" t="s">
        <v>11</v>
      </c>
      <c r="D164" s="16" t="s">
        <v>222</v>
      </c>
      <c r="E164" s="17" t="s">
        <v>1</v>
      </c>
    </row>
    <row r="165" spans="2:5">
      <c r="B165" s="14" t="s">
        <v>132</v>
      </c>
      <c r="C165" s="15" t="s">
        <v>11</v>
      </c>
      <c r="D165" s="16" t="s">
        <v>223</v>
      </c>
      <c r="E165" s="17" t="s">
        <v>1</v>
      </c>
    </row>
    <row r="166" spans="2:5">
      <c r="B166" s="14" t="s">
        <v>132</v>
      </c>
      <c r="C166" s="15" t="s">
        <v>11</v>
      </c>
      <c r="D166" s="16" t="s">
        <v>224</v>
      </c>
      <c r="E166" s="17" t="s">
        <v>1</v>
      </c>
    </row>
    <row r="167" spans="2:5">
      <c r="B167" s="14" t="s">
        <v>132</v>
      </c>
      <c r="C167" s="15" t="s">
        <v>11</v>
      </c>
      <c r="D167" s="16" t="s">
        <v>225</v>
      </c>
      <c r="E167" s="17" t="s">
        <v>1</v>
      </c>
    </row>
    <row r="168" spans="2:5">
      <c r="B168" s="14" t="s">
        <v>132</v>
      </c>
      <c r="C168" s="15" t="s">
        <v>11</v>
      </c>
      <c r="D168" s="16" t="s">
        <v>226</v>
      </c>
      <c r="E168" s="17" t="s">
        <v>1</v>
      </c>
    </row>
    <row r="169" spans="2:5">
      <c r="B169" s="14" t="s">
        <v>132</v>
      </c>
      <c r="C169" s="15" t="s">
        <v>11</v>
      </c>
      <c r="D169" s="16" t="s">
        <v>227</v>
      </c>
      <c r="E169" s="17" t="s">
        <v>1738</v>
      </c>
    </row>
    <row r="170" spans="2:5">
      <c r="B170" s="14" t="s">
        <v>132</v>
      </c>
      <c r="C170" s="15" t="s">
        <v>11</v>
      </c>
      <c r="D170" s="16" t="s">
        <v>228</v>
      </c>
      <c r="E170" s="17" t="s">
        <v>1738</v>
      </c>
    </row>
    <row r="171" spans="2:5">
      <c r="B171" s="14" t="s">
        <v>132</v>
      </c>
      <c r="C171" s="15" t="s">
        <v>11</v>
      </c>
      <c r="D171" s="16" t="s">
        <v>229</v>
      </c>
      <c r="E171" s="17" t="s">
        <v>1</v>
      </c>
    </row>
    <row r="172" spans="2:5">
      <c r="B172" s="14" t="s">
        <v>132</v>
      </c>
      <c r="C172" s="15" t="s">
        <v>11</v>
      </c>
      <c r="D172" s="16" t="s">
        <v>230</v>
      </c>
      <c r="E172" s="17" t="s">
        <v>1738</v>
      </c>
    </row>
    <row r="173" spans="2:5">
      <c r="B173" s="14" t="s">
        <v>132</v>
      </c>
      <c r="C173" s="15" t="s">
        <v>11</v>
      </c>
      <c r="D173" s="16" t="s">
        <v>231</v>
      </c>
      <c r="E173" s="17" t="s">
        <v>1</v>
      </c>
    </row>
    <row r="174" spans="2:5">
      <c r="B174" s="14" t="s">
        <v>132</v>
      </c>
      <c r="C174" s="15" t="s">
        <v>11</v>
      </c>
      <c r="D174" s="16" t="s">
        <v>232</v>
      </c>
      <c r="E174" s="17" t="s">
        <v>1738</v>
      </c>
    </row>
    <row r="175" spans="2:5">
      <c r="B175" s="14" t="s">
        <v>132</v>
      </c>
      <c r="C175" s="15" t="s">
        <v>11</v>
      </c>
      <c r="D175" s="16" t="s">
        <v>233</v>
      </c>
      <c r="E175" s="17" t="s">
        <v>1</v>
      </c>
    </row>
    <row r="176" spans="2:5">
      <c r="B176" s="14" t="s">
        <v>132</v>
      </c>
      <c r="C176" s="15" t="s">
        <v>11</v>
      </c>
      <c r="D176" s="16" t="s">
        <v>234</v>
      </c>
      <c r="E176" s="17" t="s">
        <v>1738</v>
      </c>
    </row>
    <row r="177" spans="2:5">
      <c r="B177" s="14" t="s">
        <v>132</v>
      </c>
      <c r="C177" s="15" t="s">
        <v>11</v>
      </c>
      <c r="D177" s="16" t="s">
        <v>235</v>
      </c>
      <c r="E177" s="17" t="s">
        <v>1738</v>
      </c>
    </row>
    <row r="178" spans="2:5">
      <c r="B178" s="14" t="s">
        <v>132</v>
      </c>
      <c r="C178" s="15" t="s">
        <v>11</v>
      </c>
      <c r="D178" s="16" t="s">
        <v>236</v>
      </c>
      <c r="E178" s="17" t="s">
        <v>1738</v>
      </c>
    </row>
    <row r="179" spans="2:5">
      <c r="B179" s="14" t="s">
        <v>132</v>
      </c>
      <c r="C179" s="15" t="s">
        <v>11</v>
      </c>
      <c r="D179" s="16" t="s">
        <v>237</v>
      </c>
      <c r="E179" s="17" t="s">
        <v>1</v>
      </c>
    </row>
    <row r="180" spans="2:5">
      <c r="B180" s="14" t="s">
        <v>132</v>
      </c>
      <c r="C180" s="15" t="s">
        <v>11</v>
      </c>
      <c r="D180" s="16" t="s">
        <v>238</v>
      </c>
      <c r="E180" s="17" t="s">
        <v>1</v>
      </c>
    </row>
    <row r="181" spans="2:5">
      <c r="B181" s="14" t="s">
        <v>132</v>
      </c>
      <c r="C181" s="15" t="s">
        <v>11</v>
      </c>
      <c r="D181" s="16" t="s">
        <v>239</v>
      </c>
      <c r="E181" s="17" t="s">
        <v>1</v>
      </c>
    </row>
    <row r="182" spans="2:5">
      <c r="B182" s="14" t="s">
        <v>132</v>
      </c>
      <c r="C182" s="15" t="s">
        <v>11</v>
      </c>
      <c r="D182" s="16" t="s">
        <v>240</v>
      </c>
      <c r="E182" s="17" t="s">
        <v>1</v>
      </c>
    </row>
    <row r="183" spans="2:5">
      <c r="B183" s="14" t="s">
        <v>241</v>
      </c>
      <c r="C183" s="15" t="s">
        <v>13</v>
      </c>
      <c r="D183" s="16" t="s">
        <v>12</v>
      </c>
      <c r="E183" s="17" t="s">
        <v>1</v>
      </c>
    </row>
    <row r="184" spans="2:5">
      <c r="B184" s="14" t="s">
        <v>241</v>
      </c>
      <c r="C184" s="15" t="s">
        <v>13</v>
      </c>
      <c r="D184" s="16" t="s">
        <v>242</v>
      </c>
      <c r="E184" s="17" t="s">
        <v>1738</v>
      </c>
    </row>
    <row r="185" spans="2:5">
      <c r="B185" s="14" t="s">
        <v>241</v>
      </c>
      <c r="C185" s="15" t="s">
        <v>13</v>
      </c>
      <c r="D185" s="16" t="s">
        <v>243</v>
      </c>
      <c r="E185" s="17" t="s">
        <v>1738</v>
      </c>
    </row>
    <row r="186" spans="2:5">
      <c r="B186" s="14" t="s">
        <v>241</v>
      </c>
      <c r="C186" s="15" t="s">
        <v>13</v>
      </c>
      <c r="D186" s="16" t="s">
        <v>244</v>
      </c>
      <c r="E186" s="17" t="s">
        <v>1738</v>
      </c>
    </row>
    <row r="187" spans="2:5">
      <c r="B187" s="14" t="s">
        <v>241</v>
      </c>
      <c r="C187" s="15" t="s">
        <v>13</v>
      </c>
      <c r="D187" s="16" t="s">
        <v>245</v>
      </c>
      <c r="E187" s="17" t="s">
        <v>1</v>
      </c>
    </row>
    <row r="188" spans="2:5">
      <c r="B188" s="14" t="s">
        <v>241</v>
      </c>
      <c r="C188" s="15" t="s">
        <v>13</v>
      </c>
      <c r="D188" s="16" t="s">
        <v>246</v>
      </c>
      <c r="E188" s="17" t="s">
        <v>1738</v>
      </c>
    </row>
    <row r="189" spans="2:5">
      <c r="B189" s="14" t="s">
        <v>241</v>
      </c>
      <c r="C189" s="15" t="s">
        <v>13</v>
      </c>
      <c r="D189" s="16" t="s">
        <v>247</v>
      </c>
      <c r="E189" s="17" t="s">
        <v>1738</v>
      </c>
    </row>
    <row r="190" spans="2:5">
      <c r="B190" s="14" t="s">
        <v>241</v>
      </c>
      <c r="C190" s="15" t="s">
        <v>13</v>
      </c>
      <c r="D190" s="16" t="s">
        <v>248</v>
      </c>
      <c r="E190" s="17" t="s">
        <v>1738</v>
      </c>
    </row>
    <row r="191" spans="2:5">
      <c r="B191" s="14" t="s">
        <v>241</v>
      </c>
      <c r="C191" s="15" t="s">
        <v>13</v>
      </c>
      <c r="D191" s="16" t="s">
        <v>249</v>
      </c>
      <c r="E191" s="17" t="s">
        <v>1738</v>
      </c>
    </row>
    <row r="192" spans="2:5">
      <c r="B192" s="14" t="s">
        <v>241</v>
      </c>
      <c r="C192" s="15" t="s">
        <v>13</v>
      </c>
      <c r="D192" s="16" t="s">
        <v>250</v>
      </c>
      <c r="E192" s="17" t="s">
        <v>1738</v>
      </c>
    </row>
    <row r="193" spans="2:5">
      <c r="B193" s="14" t="s">
        <v>241</v>
      </c>
      <c r="C193" s="15" t="s">
        <v>13</v>
      </c>
      <c r="D193" s="16" t="s">
        <v>251</v>
      </c>
      <c r="E193" s="17" t="s">
        <v>1</v>
      </c>
    </row>
    <row r="194" spans="2:5">
      <c r="B194" s="14" t="s">
        <v>241</v>
      </c>
      <c r="C194" s="15" t="s">
        <v>13</v>
      </c>
      <c r="D194" s="16" t="s">
        <v>252</v>
      </c>
      <c r="E194" s="17" t="s">
        <v>1</v>
      </c>
    </row>
    <row r="195" spans="2:5">
      <c r="B195" s="14" t="s">
        <v>241</v>
      </c>
      <c r="C195" s="15" t="s">
        <v>13</v>
      </c>
      <c r="D195" s="16" t="s">
        <v>253</v>
      </c>
      <c r="E195" s="17" t="s">
        <v>1</v>
      </c>
    </row>
    <row r="196" spans="2:5">
      <c r="B196" s="14" t="s">
        <v>241</v>
      </c>
      <c r="C196" s="15" t="s">
        <v>13</v>
      </c>
      <c r="D196" s="16" t="s">
        <v>254</v>
      </c>
      <c r="E196" s="17" t="s">
        <v>1738</v>
      </c>
    </row>
    <row r="197" spans="2:5">
      <c r="B197" s="14" t="s">
        <v>241</v>
      </c>
      <c r="C197" s="15" t="s">
        <v>13</v>
      </c>
      <c r="D197" s="16" t="s">
        <v>255</v>
      </c>
      <c r="E197" s="17" t="s">
        <v>1738</v>
      </c>
    </row>
    <row r="198" spans="2:5">
      <c r="B198" s="14" t="s">
        <v>241</v>
      </c>
      <c r="C198" s="15" t="s">
        <v>13</v>
      </c>
      <c r="D198" s="16" t="s">
        <v>256</v>
      </c>
      <c r="E198" s="17" t="s">
        <v>1738</v>
      </c>
    </row>
    <row r="199" spans="2:5">
      <c r="B199" s="14" t="s">
        <v>241</v>
      </c>
      <c r="C199" s="15" t="s">
        <v>13</v>
      </c>
      <c r="D199" s="16" t="s">
        <v>257</v>
      </c>
      <c r="E199" s="17" t="s">
        <v>1738</v>
      </c>
    </row>
    <row r="200" spans="2:5">
      <c r="B200" s="14" t="s">
        <v>241</v>
      </c>
      <c r="C200" s="15" t="s">
        <v>13</v>
      </c>
      <c r="D200" s="16" t="s">
        <v>258</v>
      </c>
      <c r="E200" s="17" t="s">
        <v>1738</v>
      </c>
    </row>
    <row r="201" spans="2:5">
      <c r="B201" s="14" t="s">
        <v>241</v>
      </c>
      <c r="C201" s="15" t="s">
        <v>13</v>
      </c>
      <c r="D201" s="16" t="s">
        <v>259</v>
      </c>
      <c r="E201" s="17" t="s">
        <v>1738</v>
      </c>
    </row>
    <row r="202" spans="2:5">
      <c r="B202" s="14" t="s">
        <v>241</v>
      </c>
      <c r="C202" s="15" t="s">
        <v>13</v>
      </c>
      <c r="D202" s="16" t="s">
        <v>260</v>
      </c>
      <c r="E202" s="17" t="s">
        <v>1738</v>
      </c>
    </row>
    <row r="203" spans="2:5">
      <c r="B203" s="14" t="s">
        <v>241</v>
      </c>
      <c r="C203" s="15" t="s">
        <v>13</v>
      </c>
      <c r="D203" s="16" t="s">
        <v>261</v>
      </c>
      <c r="E203" s="17" t="s">
        <v>1</v>
      </c>
    </row>
    <row r="204" spans="2:5">
      <c r="B204" s="14" t="s">
        <v>241</v>
      </c>
      <c r="C204" s="15" t="s">
        <v>13</v>
      </c>
      <c r="D204" s="16" t="s">
        <v>262</v>
      </c>
      <c r="E204" s="17" t="s">
        <v>1</v>
      </c>
    </row>
    <row r="205" spans="2:5">
      <c r="B205" s="14" t="s">
        <v>241</v>
      </c>
      <c r="C205" s="15" t="s">
        <v>13</v>
      </c>
      <c r="D205" s="16" t="s">
        <v>263</v>
      </c>
      <c r="E205" s="17" t="s">
        <v>1</v>
      </c>
    </row>
    <row r="206" spans="2:5">
      <c r="B206" s="14" t="s">
        <v>241</v>
      </c>
      <c r="C206" s="15" t="s">
        <v>13</v>
      </c>
      <c r="D206" s="16" t="s">
        <v>264</v>
      </c>
      <c r="E206" s="17" t="s">
        <v>1</v>
      </c>
    </row>
    <row r="207" spans="2:5">
      <c r="B207" s="14" t="s">
        <v>241</v>
      </c>
      <c r="C207" s="15" t="s">
        <v>13</v>
      </c>
      <c r="D207" s="16" t="s">
        <v>265</v>
      </c>
      <c r="E207" s="17" t="s">
        <v>1</v>
      </c>
    </row>
    <row r="208" spans="2:5">
      <c r="B208" s="14" t="s">
        <v>241</v>
      </c>
      <c r="C208" s="15" t="s">
        <v>13</v>
      </c>
      <c r="D208" s="16" t="s">
        <v>266</v>
      </c>
      <c r="E208" s="17" t="s">
        <v>1738</v>
      </c>
    </row>
    <row r="209" spans="2:5">
      <c r="B209" s="14" t="s">
        <v>241</v>
      </c>
      <c r="C209" s="15" t="s">
        <v>13</v>
      </c>
      <c r="D209" s="16" t="s">
        <v>267</v>
      </c>
      <c r="E209" s="17" t="s">
        <v>1</v>
      </c>
    </row>
    <row r="210" spans="2:5">
      <c r="B210" s="14" t="s">
        <v>241</v>
      </c>
      <c r="C210" s="15" t="s">
        <v>13</v>
      </c>
      <c r="D210" s="16" t="s">
        <v>268</v>
      </c>
      <c r="E210" s="17" t="s">
        <v>1738</v>
      </c>
    </row>
    <row r="211" spans="2:5">
      <c r="B211" s="14" t="s">
        <v>241</v>
      </c>
      <c r="C211" s="15" t="s">
        <v>13</v>
      </c>
      <c r="D211" s="16" t="s">
        <v>269</v>
      </c>
      <c r="E211" s="17" t="s">
        <v>1738</v>
      </c>
    </row>
    <row r="212" spans="2:5">
      <c r="B212" s="14" t="s">
        <v>241</v>
      </c>
      <c r="C212" s="15" t="s">
        <v>13</v>
      </c>
      <c r="D212" s="16" t="s">
        <v>270</v>
      </c>
      <c r="E212" s="17" t="s">
        <v>1738</v>
      </c>
    </row>
    <row r="213" spans="2:5">
      <c r="B213" s="14" t="s">
        <v>241</v>
      </c>
      <c r="C213" s="15" t="s">
        <v>13</v>
      </c>
      <c r="D213" s="16" t="s">
        <v>271</v>
      </c>
      <c r="E213" s="17" t="s">
        <v>1</v>
      </c>
    </row>
    <row r="214" spans="2:5">
      <c r="B214" s="14" t="s">
        <v>241</v>
      </c>
      <c r="C214" s="15" t="s">
        <v>13</v>
      </c>
      <c r="D214" s="16" t="s">
        <v>272</v>
      </c>
      <c r="E214" s="17" t="s">
        <v>1</v>
      </c>
    </row>
    <row r="215" spans="2:5">
      <c r="B215" s="14" t="s">
        <v>241</v>
      </c>
      <c r="C215" s="15" t="s">
        <v>13</v>
      </c>
      <c r="D215" s="16" t="s">
        <v>273</v>
      </c>
      <c r="E215" s="17" t="s">
        <v>1</v>
      </c>
    </row>
    <row r="216" spans="2:5">
      <c r="B216" s="14" t="s">
        <v>241</v>
      </c>
      <c r="C216" s="15" t="s">
        <v>13</v>
      </c>
      <c r="D216" s="16" t="s">
        <v>274</v>
      </c>
      <c r="E216" s="17" t="s">
        <v>1</v>
      </c>
    </row>
    <row r="217" spans="2:5">
      <c r="B217" s="14" t="s">
        <v>241</v>
      </c>
      <c r="C217" s="15" t="s">
        <v>13</v>
      </c>
      <c r="D217" s="16" t="s">
        <v>275</v>
      </c>
      <c r="E217" s="17" t="s">
        <v>1738</v>
      </c>
    </row>
    <row r="218" spans="2:5">
      <c r="B218" s="14" t="s">
        <v>241</v>
      </c>
      <c r="C218" s="15" t="s">
        <v>13</v>
      </c>
      <c r="D218" s="16" t="s">
        <v>276</v>
      </c>
      <c r="E218" s="17" t="s">
        <v>1738</v>
      </c>
    </row>
    <row r="219" spans="2:5">
      <c r="B219" s="14" t="s">
        <v>241</v>
      </c>
      <c r="C219" s="15" t="s">
        <v>13</v>
      </c>
      <c r="D219" s="16" t="s">
        <v>277</v>
      </c>
      <c r="E219" s="17" t="s">
        <v>1738</v>
      </c>
    </row>
    <row r="220" spans="2:5">
      <c r="B220" s="14" t="s">
        <v>241</v>
      </c>
      <c r="C220" s="15" t="s">
        <v>13</v>
      </c>
      <c r="D220" s="16" t="s">
        <v>278</v>
      </c>
      <c r="E220" s="17" t="s">
        <v>1738</v>
      </c>
    </row>
    <row r="221" spans="2:5">
      <c r="B221" s="14" t="s">
        <v>241</v>
      </c>
      <c r="C221" s="15" t="s">
        <v>13</v>
      </c>
      <c r="D221" s="16" t="s">
        <v>279</v>
      </c>
      <c r="E221" s="17" t="s">
        <v>1</v>
      </c>
    </row>
    <row r="222" spans="2:5">
      <c r="B222" s="14" t="s">
        <v>241</v>
      </c>
      <c r="C222" s="15" t="s">
        <v>13</v>
      </c>
      <c r="D222" s="16" t="s">
        <v>280</v>
      </c>
      <c r="E222" s="17" t="s">
        <v>1738</v>
      </c>
    </row>
    <row r="223" spans="2:5">
      <c r="B223" s="14" t="s">
        <v>241</v>
      </c>
      <c r="C223" s="15" t="s">
        <v>13</v>
      </c>
      <c r="D223" s="16" t="s">
        <v>281</v>
      </c>
      <c r="E223" s="17" t="s">
        <v>1738</v>
      </c>
    </row>
    <row r="224" spans="2:5">
      <c r="B224" s="14" t="s">
        <v>241</v>
      </c>
      <c r="C224" s="15" t="s">
        <v>13</v>
      </c>
      <c r="D224" s="16" t="s">
        <v>282</v>
      </c>
      <c r="E224" s="17" t="s">
        <v>1</v>
      </c>
    </row>
    <row r="225" spans="2:5">
      <c r="B225" s="14" t="s">
        <v>241</v>
      </c>
      <c r="C225" s="15" t="s">
        <v>13</v>
      </c>
      <c r="D225" s="16" t="s">
        <v>283</v>
      </c>
      <c r="E225" s="17" t="s">
        <v>1738</v>
      </c>
    </row>
    <row r="226" spans="2:5">
      <c r="B226" s="14" t="s">
        <v>241</v>
      </c>
      <c r="C226" s="15" t="s">
        <v>13</v>
      </c>
      <c r="D226" s="16" t="s">
        <v>284</v>
      </c>
      <c r="E226" s="17" t="s">
        <v>1</v>
      </c>
    </row>
    <row r="227" spans="2:5">
      <c r="B227" s="14" t="s">
        <v>241</v>
      </c>
      <c r="C227" s="15" t="s">
        <v>13</v>
      </c>
      <c r="D227" s="16" t="s">
        <v>285</v>
      </c>
      <c r="E227" s="17" t="s">
        <v>1738</v>
      </c>
    </row>
    <row r="228" spans="2:5">
      <c r="B228" s="14" t="s">
        <v>241</v>
      </c>
      <c r="C228" s="15" t="s">
        <v>13</v>
      </c>
      <c r="D228" s="16" t="s">
        <v>286</v>
      </c>
      <c r="E228" s="17" t="s">
        <v>1</v>
      </c>
    </row>
    <row r="229" spans="2:5">
      <c r="B229" s="14" t="s">
        <v>241</v>
      </c>
      <c r="C229" s="15" t="s">
        <v>13</v>
      </c>
      <c r="D229" s="16" t="s">
        <v>287</v>
      </c>
      <c r="E229" s="17" t="s">
        <v>1738</v>
      </c>
    </row>
    <row r="230" spans="2:5">
      <c r="B230" s="14" t="s">
        <v>241</v>
      </c>
      <c r="C230" s="15" t="s">
        <v>13</v>
      </c>
      <c r="D230" s="16" t="s">
        <v>288</v>
      </c>
      <c r="E230" s="17" t="s">
        <v>1738</v>
      </c>
    </row>
    <row r="231" spans="2:5">
      <c r="B231" s="14" t="s">
        <v>289</v>
      </c>
      <c r="C231" s="15" t="s">
        <v>15</v>
      </c>
      <c r="D231" s="16" t="s">
        <v>290</v>
      </c>
      <c r="E231" s="17" t="s">
        <v>1</v>
      </c>
    </row>
    <row r="232" spans="2:5">
      <c r="B232" s="14" t="s">
        <v>289</v>
      </c>
      <c r="C232" s="15" t="s">
        <v>15</v>
      </c>
      <c r="D232" s="16" t="s">
        <v>291</v>
      </c>
      <c r="E232" s="17" t="s">
        <v>1</v>
      </c>
    </row>
    <row r="233" spans="2:5">
      <c r="B233" s="14" t="s">
        <v>289</v>
      </c>
      <c r="C233" s="15" t="s">
        <v>15</v>
      </c>
      <c r="D233" s="16" t="s">
        <v>292</v>
      </c>
      <c r="E233" s="17" t="s">
        <v>1</v>
      </c>
    </row>
    <row r="234" spans="2:5">
      <c r="B234" s="14" t="s">
        <v>289</v>
      </c>
      <c r="C234" s="15" t="s">
        <v>15</v>
      </c>
      <c r="D234" s="16" t="s">
        <v>293</v>
      </c>
      <c r="E234" s="17" t="s">
        <v>1</v>
      </c>
    </row>
    <row r="235" spans="2:5">
      <c r="B235" s="14" t="s">
        <v>289</v>
      </c>
      <c r="C235" s="15" t="s">
        <v>15</v>
      </c>
      <c r="D235" s="16" t="s">
        <v>294</v>
      </c>
      <c r="E235" s="17" t="s">
        <v>1</v>
      </c>
    </row>
    <row r="236" spans="2:5">
      <c r="B236" s="14" t="s">
        <v>289</v>
      </c>
      <c r="C236" s="15" t="s">
        <v>15</v>
      </c>
      <c r="D236" s="16" t="s">
        <v>295</v>
      </c>
      <c r="E236" s="17" t="s">
        <v>1738</v>
      </c>
    </row>
    <row r="237" spans="2:5">
      <c r="B237" s="14" t="s">
        <v>289</v>
      </c>
      <c r="C237" s="15" t="s">
        <v>15</v>
      </c>
      <c r="D237" s="16" t="s">
        <v>296</v>
      </c>
      <c r="E237" s="17" t="s">
        <v>1</v>
      </c>
    </row>
    <row r="238" spans="2:5">
      <c r="B238" s="14" t="s">
        <v>289</v>
      </c>
      <c r="C238" s="15" t="s">
        <v>15</v>
      </c>
      <c r="D238" s="16" t="s">
        <v>297</v>
      </c>
      <c r="E238" s="17" t="s">
        <v>1</v>
      </c>
    </row>
    <row r="239" spans="2:5">
      <c r="B239" s="14" t="s">
        <v>289</v>
      </c>
      <c r="C239" s="15" t="s">
        <v>15</v>
      </c>
      <c r="D239" s="16" t="s">
        <v>298</v>
      </c>
      <c r="E239" s="17" t="s">
        <v>1</v>
      </c>
    </row>
    <row r="240" spans="2:5">
      <c r="B240" s="14" t="s">
        <v>289</v>
      </c>
      <c r="C240" s="15" t="s">
        <v>15</v>
      </c>
      <c r="D240" s="16" t="s">
        <v>299</v>
      </c>
      <c r="E240" s="17" t="s">
        <v>1738</v>
      </c>
    </row>
    <row r="241" spans="2:5">
      <c r="B241" s="14" t="s">
        <v>289</v>
      </c>
      <c r="C241" s="15" t="s">
        <v>15</v>
      </c>
      <c r="D241" s="16" t="s">
        <v>300</v>
      </c>
      <c r="E241" s="17" t="s">
        <v>1738</v>
      </c>
    </row>
    <row r="242" spans="2:5">
      <c r="B242" s="14" t="s">
        <v>289</v>
      </c>
      <c r="C242" s="15" t="s">
        <v>15</v>
      </c>
      <c r="D242" s="16" t="s">
        <v>301</v>
      </c>
      <c r="E242" s="17" t="s">
        <v>1738</v>
      </c>
    </row>
    <row r="243" spans="2:5">
      <c r="B243" s="14" t="s">
        <v>289</v>
      </c>
      <c r="C243" s="15" t="s">
        <v>15</v>
      </c>
      <c r="D243" s="16" t="s">
        <v>302</v>
      </c>
      <c r="E243" s="17" t="s">
        <v>1738</v>
      </c>
    </row>
    <row r="244" spans="2:5">
      <c r="B244" s="14" t="s">
        <v>289</v>
      </c>
      <c r="C244" s="15" t="s">
        <v>15</v>
      </c>
      <c r="D244" s="16" t="s">
        <v>303</v>
      </c>
      <c r="E244" s="17" t="s">
        <v>1738</v>
      </c>
    </row>
    <row r="245" spans="2:5">
      <c r="B245" s="14" t="s">
        <v>289</v>
      </c>
      <c r="C245" s="15" t="s">
        <v>15</v>
      </c>
      <c r="D245" s="16" t="s">
        <v>304</v>
      </c>
      <c r="E245" s="17" t="s">
        <v>1</v>
      </c>
    </row>
    <row r="246" spans="2:5">
      <c r="B246" s="14" t="s">
        <v>289</v>
      </c>
      <c r="C246" s="15" t="s">
        <v>15</v>
      </c>
      <c r="D246" s="16" t="s">
        <v>305</v>
      </c>
      <c r="E246" s="17" t="s">
        <v>1</v>
      </c>
    </row>
    <row r="247" spans="2:5">
      <c r="B247" s="14" t="s">
        <v>289</v>
      </c>
      <c r="C247" s="15" t="s">
        <v>15</v>
      </c>
      <c r="D247" s="16" t="s">
        <v>306</v>
      </c>
      <c r="E247" s="17" t="s">
        <v>1</v>
      </c>
    </row>
    <row r="248" spans="2:5">
      <c r="B248" s="14" t="s">
        <v>289</v>
      </c>
      <c r="C248" s="15" t="s">
        <v>15</v>
      </c>
      <c r="D248" s="16" t="s">
        <v>14</v>
      </c>
      <c r="E248" s="17" t="s">
        <v>1</v>
      </c>
    </row>
    <row r="249" spans="2:5">
      <c r="B249" s="14" t="s">
        <v>289</v>
      </c>
      <c r="C249" s="15" t="s">
        <v>15</v>
      </c>
      <c r="D249" s="16" t="s">
        <v>307</v>
      </c>
      <c r="E249" s="17" t="s">
        <v>1</v>
      </c>
    </row>
    <row r="250" spans="2:5">
      <c r="B250" s="14" t="s">
        <v>289</v>
      </c>
      <c r="C250" s="15" t="s">
        <v>15</v>
      </c>
      <c r="D250" s="16" t="s">
        <v>308</v>
      </c>
      <c r="E250" s="17" t="s">
        <v>1738</v>
      </c>
    </row>
    <row r="251" spans="2:5">
      <c r="B251" s="14" t="s">
        <v>289</v>
      </c>
      <c r="C251" s="15" t="s">
        <v>15</v>
      </c>
      <c r="D251" s="16" t="s">
        <v>309</v>
      </c>
      <c r="E251" s="17" t="s">
        <v>1738</v>
      </c>
    </row>
    <row r="252" spans="2:5">
      <c r="B252" s="14" t="s">
        <v>289</v>
      </c>
      <c r="C252" s="15" t="s">
        <v>15</v>
      </c>
      <c r="D252" s="16" t="s">
        <v>310</v>
      </c>
      <c r="E252" s="17" t="s">
        <v>1738</v>
      </c>
    </row>
    <row r="253" spans="2:5">
      <c r="B253" s="14" t="s">
        <v>289</v>
      </c>
      <c r="C253" s="15" t="s">
        <v>15</v>
      </c>
      <c r="D253" s="16" t="s">
        <v>311</v>
      </c>
      <c r="E253" s="17" t="s">
        <v>1738</v>
      </c>
    </row>
    <row r="254" spans="2:5">
      <c r="B254" s="14" t="s">
        <v>289</v>
      </c>
      <c r="C254" s="15" t="s">
        <v>15</v>
      </c>
      <c r="D254" s="16" t="s">
        <v>312</v>
      </c>
      <c r="E254" s="17" t="s">
        <v>1738</v>
      </c>
    </row>
    <row r="255" spans="2:5">
      <c r="B255" s="14" t="s">
        <v>289</v>
      </c>
      <c r="C255" s="15" t="s">
        <v>15</v>
      </c>
      <c r="D255" s="16" t="s">
        <v>313</v>
      </c>
      <c r="E255" s="17" t="s">
        <v>1738</v>
      </c>
    </row>
    <row r="256" spans="2:5">
      <c r="B256" s="14" t="s">
        <v>289</v>
      </c>
      <c r="C256" s="15" t="s">
        <v>15</v>
      </c>
      <c r="D256" s="16" t="s">
        <v>314</v>
      </c>
      <c r="E256" s="17" t="s">
        <v>1738</v>
      </c>
    </row>
    <row r="257" spans="2:5">
      <c r="B257" s="14" t="s">
        <v>289</v>
      </c>
      <c r="C257" s="15" t="s">
        <v>15</v>
      </c>
      <c r="D257" s="16" t="s">
        <v>315</v>
      </c>
      <c r="E257" s="17" t="s">
        <v>1738</v>
      </c>
    </row>
    <row r="258" spans="2:5">
      <c r="B258" s="14" t="s">
        <v>289</v>
      </c>
      <c r="C258" s="15" t="s">
        <v>15</v>
      </c>
      <c r="D258" s="16" t="s">
        <v>316</v>
      </c>
      <c r="E258" s="17" t="s">
        <v>1738</v>
      </c>
    </row>
    <row r="259" spans="2:5">
      <c r="B259" s="14" t="s">
        <v>289</v>
      </c>
      <c r="C259" s="15" t="s">
        <v>15</v>
      </c>
      <c r="D259" s="16" t="s">
        <v>317</v>
      </c>
      <c r="E259" s="17" t="s">
        <v>1</v>
      </c>
    </row>
    <row r="260" spans="2:5">
      <c r="B260" s="14" t="s">
        <v>289</v>
      </c>
      <c r="C260" s="15" t="s">
        <v>15</v>
      </c>
      <c r="D260" s="16" t="s">
        <v>318</v>
      </c>
      <c r="E260" s="17" t="s">
        <v>1</v>
      </c>
    </row>
    <row r="261" spans="2:5">
      <c r="B261" s="14" t="s">
        <v>289</v>
      </c>
      <c r="C261" s="15" t="s">
        <v>15</v>
      </c>
      <c r="D261" s="16" t="s">
        <v>319</v>
      </c>
      <c r="E261" s="17" t="s">
        <v>1</v>
      </c>
    </row>
    <row r="262" spans="2:5">
      <c r="B262" s="14" t="s">
        <v>289</v>
      </c>
      <c r="C262" s="15" t="s">
        <v>15</v>
      </c>
      <c r="D262" s="16" t="s">
        <v>320</v>
      </c>
      <c r="E262" s="17" t="s">
        <v>1738</v>
      </c>
    </row>
    <row r="263" spans="2:5">
      <c r="B263" s="14" t="s">
        <v>289</v>
      </c>
      <c r="C263" s="15" t="s">
        <v>15</v>
      </c>
      <c r="D263" s="16" t="s">
        <v>321</v>
      </c>
      <c r="E263" s="17" t="s">
        <v>1</v>
      </c>
    </row>
    <row r="264" spans="2:5">
      <c r="B264" s="14" t="s">
        <v>289</v>
      </c>
      <c r="C264" s="15" t="s">
        <v>15</v>
      </c>
      <c r="D264" s="16" t="s">
        <v>322</v>
      </c>
      <c r="E264" s="17" t="s">
        <v>1</v>
      </c>
    </row>
    <row r="265" spans="2:5">
      <c r="B265" s="14" t="s">
        <v>289</v>
      </c>
      <c r="C265" s="15" t="s">
        <v>15</v>
      </c>
      <c r="D265" s="16" t="s">
        <v>323</v>
      </c>
      <c r="E265" s="17" t="s">
        <v>1</v>
      </c>
    </row>
    <row r="266" spans="2:5">
      <c r="B266" s="14" t="s">
        <v>289</v>
      </c>
      <c r="C266" s="15" t="s">
        <v>15</v>
      </c>
      <c r="D266" s="16" t="s">
        <v>324</v>
      </c>
      <c r="E266" s="17" t="s">
        <v>1</v>
      </c>
    </row>
    <row r="267" spans="2:5">
      <c r="B267" s="14" t="s">
        <v>289</v>
      </c>
      <c r="C267" s="15" t="s">
        <v>15</v>
      </c>
      <c r="D267" s="16" t="s">
        <v>325</v>
      </c>
      <c r="E267" s="17" t="s">
        <v>1</v>
      </c>
    </row>
    <row r="268" spans="2:5">
      <c r="B268" s="14" t="s">
        <v>289</v>
      </c>
      <c r="C268" s="15" t="s">
        <v>15</v>
      </c>
      <c r="D268" s="16" t="s">
        <v>326</v>
      </c>
      <c r="E268" s="17" t="s">
        <v>1</v>
      </c>
    </row>
    <row r="269" spans="2:5">
      <c r="B269" s="14" t="s">
        <v>289</v>
      </c>
      <c r="C269" s="15" t="s">
        <v>15</v>
      </c>
      <c r="D269" s="16" t="s">
        <v>327</v>
      </c>
      <c r="E269" s="17" t="s">
        <v>1</v>
      </c>
    </row>
    <row r="270" spans="2:5">
      <c r="B270" s="14" t="s">
        <v>289</v>
      </c>
      <c r="C270" s="15" t="s">
        <v>15</v>
      </c>
      <c r="D270" s="16" t="s">
        <v>328</v>
      </c>
      <c r="E270" s="17" t="s">
        <v>1</v>
      </c>
    </row>
    <row r="271" spans="2:5">
      <c r="B271" s="14" t="s">
        <v>289</v>
      </c>
      <c r="C271" s="15" t="s">
        <v>15</v>
      </c>
      <c r="D271" s="16" t="s">
        <v>329</v>
      </c>
      <c r="E271" s="17" t="s">
        <v>1</v>
      </c>
    </row>
    <row r="272" spans="2:5">
      <c r="B272" s="14" t="s">
        <v>289</v>
      </c>
      <c r="C272" s="15" t="s">
        <v>15</v>
      </c>
      <c r="D272" s="16" t="s">
        <v>330</v>
      </c>
      <c r="E272" s="17" t="s">
        <v>1</v>
      </c>
    </row>
    <row r="273" spans="2:5">
      <c r="B273" s="14" t="s">
        <v>289</v>
      </c>
      <c r="C273" s="15" t="s">
        <v>15</v>
      </c>
      <c r="D273" s="16" t="s">
        <v>331</v>
      </c>
      <c r="E273" s="17" t="s">
        <v>1</v>
      </c>
    </row>
    <row r="274" spans="2:5">
      <c r="B274" s="14" t="s">
        <v>289</v>
      </c>
      <c r="C274" s="15" t="s">
        <v>15</v>
      </c>
      <c r="D274" s="16" t="s">
        <v>332</v>
      </c>
      <c r="E274" s="17" t="s">
        <v>1738</v>
      </c>
    </row>
    <row r="275" spans="2:5">
      <c r="B275" s="14" t="s">
        <v>289</v>
      </c>
      <c r="C275" s="15" t="s">
        <v>15</v>
      </c>
      <c r="D275" s="16" t="s">
        <v>333</v>
      </c>
      <c r="E275" s="17" t="s">
        <v>1738</v>
      </c>
    </row>
    <row r="276" spans="2:5">
      <c r="B276" s="14" t="s">
        <v>289</v>
      </c>
      <c r="C276" s="15" t="s">
        <v>15</v>
      </c>
      <c r="D276" s="16" t="s">
        <v>334</v>
      </c>
      <c r="E276" s="17" t="s">
        <v>1</v>
      </c>
    </row>
    <row r="277" spans="2:5">
      <c r="B277" s="14" t="s">
        <v>289</v>
      </c>
      <c r="C277" s="15" t="s">
        <v>15</v>
      </c>
      <c r="D277" s="16" t="s">
        <v>335</v>
      </c>
      <c r="E277" s="17" t="s">
        <v>1</v>
      </c>
    </row>
    <row r="278" spans="2:5">
      <c r="B278" s="14" t="s">
        <v>289</v>
      </c>
      <c r="C278" s="15" t="s">
        <v>15</v>
      </c>
      <c r="D278" s="16" t="s">
        <v>336</v>
      </c>
      <c r="E278" s="17" t="s">
        <v>1</v>
      </c>
    </row>
    <row r="279" spans="2:5">
      <c r="B279" s="14" t="s">
        <v>289</v>
      </c>
      <c r="C279" s="15" t="s">
        <v>15</v>
      </c>
      <c r="D279" s="16" t="s">
        <v>337</v>
      </c>
      <c r="E279" s="17" t="s">
        <v>1</v>
      </c>
    </row>
    <row r="280" spans="2:5">
      <c r="B280" s="14" t="s">
        <v>289</v>
      </c>
      <c r="C280" s="15" t="s">
        <v>15</v>
      </c>
      <c r="D280" s="16" t="s">
        <v>338</v>
      </c>
      <c r="E280" s="17" t="s">
        <v>1</v>
      </c>
    </row>
    <row r="281" spans="2:5">
      <c r="B281" s="14" t="s">
        <v>289</v>
      </c>
      <c r="C281" s="15" t="s">
        <v>15</v>
      </c>
      <c r="D281" s="16" t="s">
        <v>339</v>
      </c>
      <c r="E281" s="17" t="s">
        <v>1</v>
      </c>
    </row>
    <row r="282" spans="2:5">
      <c r="B282" s="14" t="s">
        <v>289</v>
      </c>
      <c r="C282" s="15" t="s">
        <v>15</v>
      </c>
      <c r="D282" s="16" t="s">
        <v>340</v>
      </c>
      <c r="E282" s="17" t="s">
        <v>1</v>
      </c>
    </row>
    <row r="283" spans="2:5">
      <c r="B283" s="14" t="s">
        <v>289</v>
      </c>
      <c r="C283" s="15" t="s">
        <v>15</v>
      </c>
      <c r="D283" s="16" t="s">
        <v>341</v>
      </c>
      <c r="E283" s="17" t="s">
        <v>1</v>
      </c>
    </row>
    <row r="284" spans="2:5">
      <c r="B284" s="14" t="s">
        <v>289</v>
      </c>
      <c r="C284" s="15" t="s">
        <v>15</v>
      </c>
      <c r="D284" s="16" t="s">
        <v>342</v>
      </c>
      <c r="E284" s="17" t="s">
        <v>1738</v>
      </c>
    </row>
    <row r="285" spans="2:5">
      <c r="B285" s="14" t="s">
        <v>289</v>
      </c>
      <c r="C285" s="15" t="s">
        <v>15</v>
      </c>
      <c r="D285" s="16" t="s">
        <v>343</v>
      </c>
      <c r="E285" s="17" t="s">
        <v>1738</v>
      </c>
    </row>
    <row r="286" spans="2:5">
      <c r="B286" s="14" t="s">
        <v>289</v>
      </c>
      <c r="C286" s="15" t="s">
        <v>15</v>
      </c>
      <c r="D286" s="16" t="s">
        <v>344</v>
      </c>
      <c r="E286" s="17" t="s">
        <v>1738</v>
      </c>
    </row>
    <row r="287" spans="2:5">
      <c r="B287" s="14" t="s">
        <v>289</v>
      </c>
      <c r="C287" s="15" t="s">
        <v>15</v>
      </c>
      <c r="D287" s="16" t="s">
        <v>345</v>
      </c>
      <c r="E287" s="17" t="s">
        <v>1738</v>
      </c>
    </row>
    <row r="288" spans="2:5">
      <c r="B288" s="14" t="s">
        <v>289</v>
      </c>
      <c r="C288" s="15" t="s">
        <v>15</v>
      </c>
      <c r="D288" s="16" t="s">
        <v>346</v>
      </c>
      <c r="E288" s="17" t="s">
        <v>1738</v>
      </c>
    </row>
    <row r="289" spans="2:5">
      <c r="B289" s="14" t="s">
        <v>289</v>
      </c>
      <c r="C289" s="15" t="s">
        <v>15</v>
      </c>
      <c r="D289" s="16" t="s">
        <v>347</v>
      </c>
      <c r="E289" s="17" t="s">
        <v>1</v>
      </c>
    </row>
    <row r="290" spans="2:5">
      <c r="B290" s="14" t="s">
        <v>289</v>
      </c>
      <c r="C290" s="15" t="s">
        <v>15</v>
      </c>
      <c r="D290" s="16" t="s">
        <v>348</v>
      </c>
      <c r="E290" s="17" t="s">
        <v>1</v>
      </c>
    </row>
    <row r="291" spans="2:5">
      <c r="B291" s="14" t="s">
        <v>289</v>
      </c>
      <c r="C291" s="15" t="s">
        <v>15</v>
      </c>
      <c r="D291" s="16" t="s">
        <v>349</v>
      </c>
      <c r="E291" s="17" t="s">
        <v>1</v>
      </c>
    </row>
    <row r="292" spans="2:5">
      <c r="B292" s="14" t="s">
        <v>289</v>
      </c>
      <c r="C292" s="15" t="s">
        <v>15</v>
      </c>
      <c r="D292" s="16" t="s">
        <v>350</v>
      </c>
      <c r="E292" s="17" t="s">
        <v>1</v>
      </c>
    </row>
    <row r="293" spans="2:5">
      <c r="B293" s="14" t="s">
        <v>289</v>
      </c>
      <c r="C293" s="15" t="s">
        <v>15</v>
      </c>
      <c r="D293" s="16" t="s">
        <v>351</v>
      </c>
      <c r="E293" s="17" t="s">
        <v>1</v>
      </c>
    </row>
    <row r="294" spans="2:5">
      <c r="B294" s="14" t="s">
        <v>289</v>
      </c>
      <c r="C294" s="15" t="s">
        <v>15</v>
      </c>
      <c r="D294" s="16" t="s">
        <v>352</v>
      </c>
      <c r="E294" s="17" t="s">
        <v>1</v>
      </c>
    </row>
    <row r="295" spans="2:5">
      <c r="B295" s="14" t="s">
        <v>289</v>
      </c>
      <c r="C295" s="15" t="s">
        <v>15</v>
      </c>
      <c r="D295" s="16" t="s">
        <v>353</v>
      </c>
      <c r="E295" s="17" t="s">
        <v>1738</v>
      </c>
    </row>
    <row r="296" spans="2:5">
      <c r="B296" s="14" t="s">
        <v>289</v>
      </c>
      <c r="C296" s="15" t="s">
        <v>15</v>
      </c>
      <c r="D296" s="16" t="s">
        <v>354</v>
      </c>
      <c r="E296" s="17" t="s">
        <v>1738</v>
      </c>
    </row>
    <row r="297" spans="2:5">
      <c r="B297" s="14" t="s">
        <v>289</v>
      </c>
      <c r="C297" s="15" t="s">
        <v>15</v>
      </c>
      <c r="D297" s="16" t="s">
        <v>355</v>
      </c>
      <c r="E297" s="17" t="s">
        <v>1738</v>
      </c>
    </row>
    <row r="298" spans="2:5">
      <c r="B298" s="14" t="s">
        <v>289</v>
      </c>
      <c r="C298" s="15" t="s">
        <v>15</v>
      </c>
      <c r="D298" s="16" t="s">
        <v>356</v>
      </c>
      <c r="E298" s="17" t="s">
        <v>1738</v>
      </c>
    </row>
    <row r="299" spans="2:5">
      <c r="B299" s="14" t="s">
        <v>289</v>
      </c>
      <c r="C299" s="15" t="s">
        <v>15</v>
      </c>
      <c r="D299" s="16" t="s">
        <v>357</v>
      </c>
      <c r="E299" s="17" t="s">
        <v>1738</v>
      </c>
    </row>
    <row r="300" spans="2:5">
      <c r="B300" s="14" t="s">
        <v>289</v>
      </c>
      <c r="C300" s="15" t="s">
        <v>15</v>
      </c>
      <c r="D300" s="16" t="s">
        <v>358</v>
      </c>
      <c r="E300" s="17" t="s">
        <v>1</v>
      </c>
    </row>
    <row r="301" spans="2:5">
      <c r="B301" s="14" t="s">
        <v>289</v>
      </c>
      <c r="C301" s="15" t="s">
        <v>15</v>
      </c>
      <c r="D301" s="16" t="s">
        <v>359</v>
      </c>
      <c r="E301" s="17" t="s">
        <v>1</v>
      </c>
    </row>
    <row r="302" spans="2:5">
      <c r="B302" s="14" t="s">
        <v>289</v>
      </c>
      <c r="C302" s="15" t="s">
        <v>15</v>
      </c>
      <c r="D302" s="16" t="s">
        <v>360</v>
      </c>
      <c r="E302" s="17" t="s">
        <v>1738</v>
      </c>
    </row>
    <row r="303" spans="2:5">
      <c r="B303" s="14" t="s">
        <v>289</v>
      </c>
      <c r="C303" s="15" t="s">
        <v>15</v>
      </c>
      <c r="D303" s="16" t="s">
        <v>361</v>
      </c>
      <c r="E303" s="17" t="s">
        <v>1</v>
      </c>
    </row>
    <row r="304" spans="2:5">
      <c r="B304" s="14" t="s">
        <v>289</v>
      </c>
      <c r="C304" s="15" t="s">
        <v>15</v>
      </c>
      <c r="D304" s="16" t="s">
        <v>362</v>
      </c>
      <c r="E304" s="17" t="s">
        <v>1</v>
      </c>
    </row>
    <row r="305" spans="2:5">
      <c r="B305" s="14" t="s">
        <v>289</v>
      </c>
      <c r="C305" s="15" t="s">
        <v>15</v>
      </c>
      <c r="D305" s="16" t="s">
        <v>363</v>
      </c>
      <c r="E305" s="17" t="s">
        <v>1</v>
      </c>
    </row>
    <row r="306" spans="2:5">
      <c r="B306" s="14" t="s">
        <v>289</v>
      </c>
      <c r="C306" s="15" t="s">
        <v>15</v>
      </c>
      <c r="D306" s="16" t="s">
        <v>364</v>
      </c>
      <c r="E306" s="17" t="s">
        <v>1</v>
      </c>
    </row>
    <row r="307" spans="2:5">
      <c r="B307" s="14" t="s">
        <v>289</v>
      </c>
      <c r="C307" s="15" t="s">
        <v>15</v>
      </c>
      <c r="D307" s="16" t="s">
        <v>365</v>
      </c>
      <c r="E307" s="17" t="s">
        <v>1</v>
      </c>
    </row>
    <row r="308" spans="2:5">
      <c r="B308" s="14" t="s">
        <v>289</v>
      </c>
      <c r="C308" s="15" t="s">
        <v>15</v>
      </c>
      <c r="D308" s="16" t="s">
        <v>366</v>
      </c>
      <c r="E308" s="17" t="s">
        <v>1</v>
      </c>
    </row>
    <row r="309" spans="2:5">
      <c r="B309" s="14" t="s">
        <v>289</v>
      </c>
      <c r="C309" s="15" t="s">
        <v>15</v>
      </c>
      <c r="D309" s="16" t="s">
        <v>367</v>
      </c>
      <c r="E309" s="17" t="s">
        <v>1738</v>
      </c>
    </row>
    <row r="310" spans="2:5">
      <c r="B310" s="14" t="s">
        <v>289</v>
      </c>
      <c r="C310" s="15" t="s">
        <v>15</v>
      </c>
      <c r="D310" s="16" t="s">
        <v>368</v>
      </c>
      <c r="E310" s="17" t="s">
        <v>1738</v>
      </c>
    </row>
    <row r="311" spans="2:5">
      <c r="B311" s="14" t="s">
        <v>289</v>
      </c>
      <c r="C311" s="15" t="s">
        <v>15</v>
      </c>
      <c r="D311" s="16" t="s">
        <v>369</v>
      </c>
      <c r="E311" s="17" t="s">
        <v>1738</v>
      </c>
    </row>
    <row r="312" spans="2:5">
      <c r="B312" s="14" t="s">
        <v>289</v>
      </c>
      <c r="C312" s="15" t="s">
        <v>15</v>
      </c>
      <c r="D312" s="16" t="s">
        <v>370</v>
      </c>
      <c r="E312" s="17" t="s">
        <v>1738</v>
      </c>
    </row>
    <row r="313" spans="2:5">
      <c r="B313" s="14" t="s">
        <v>289</v>
      </c>
      <c r="C313" s="15" t="s">
        <v>15</v>
      </c>
      <c r="D313" s="16" t="s">
        <v>371</v>
      </c>
      <c r="E313" s="17" t="s">
        <v>1738</v>
      </c>
    </row>
    <row r="314" spans="2:5">
      <c r="B314" s="14" t="s">
        <v>289</v>
      </c>
      <c r="C314" s="15" t="s">
        <v>15</v>
      </c>
      <c r="D314" s="16" t="s">
        <v>372</v>
      </c>
      <c r="E314" s="17" t="s">
        <v>1</v>
      </c>
    </row>
    <row r="315" spans="2:5">
      <c r="B315" s="14" t="s">
        <v>289</v>
      </c>
      <c r="C315" s="15" t="s">
        <v>15</v>
      </c>
      <c r="D315" s="16" t="s">
        <v>373</v>
      </c>
      <c r="E315" s="17" t="s">
        <v>1738</v>
      </c>
    </row>
    <row r="316" spans="2:5">
      <c r="B316" s="14" t="s">
        <v>289</v>
      </c>
      <c r="C316" s="15" t="s">
        <v>15</v>
      </c>
      <c r="D316" s="16" t="s">
        <v>374</v>
      </c>
      <c r="E316" s="17" t="s">
        <v>1738</v>
      </c>
    </row>
    <row r="317" spans="2:5">
      <c r="B317" s="14" t="s">
        <v>289</v>
      </c>
      <c r="C317" s="15" t="s">
        <v>15</v>
      </c>
      <c r="D317" s="16" t="s">
        <v>375</v>
      </c>
      <c r="E317" s="17" t="s">
        <v>1738</v>
      </c>
    </row>
    <row r="318" spans="2:5">
      <c r="B318" s="14" t="s">
        <v>289</v>
      </c>
      <c r="C318" s="15" t="s">
        <v>15</v>
      </c>
      <c r="D318" s="16" t="s">
        <v>376</v>
      </c>
      <c r="E318" s="17" t="s">
        <v>1738</v>
      </c>
    </row>
    <row r="319" spans="2:5">
      <c r="B319" s="14" t="s">
        <v>377</v>
      </c>
      <c r="C319" s="15" t="s">
        <v>17</v>
      </c>
      <c r="D319" s="16" t="s">
        <v>378</v>
      </c>
      <c r="E319" s="17" t="s">
        <v>1</v>
      </c>
    </row>
    <row r="320" spans="2:5">
      <c r="B320" s="14" t="s">
        <v>377</v>
      </c>
      <c r="C320" s="15" t="s">
        <v>17</v>
      </c>
      <c r="D320" s="16" t="s">
        <v>379</v>
      </c>
      <c r="E320" s="17" t="s">
        <v>1</v>
      </c>
    </row>
    <row r="321" spans="2:5">
      <c r="B321" s="14" t="s">
        <v>377</v>
      </c>
      <c r="C321" s="15" t="s">
        <v>17</v>
      </c>
      <c r="D321" s="16" t="s">
        <v>380</v>
      </c>
      <c r="E321" s="17" t="s">
        <v>1</v>
      </c>
    </row>
    <row r="322" spans="2:5">
      <c r="B322" s="14" t="s">
        <v>377</v>
      </c>
      <c r="C322" s="15" t="s">
        <v>17</v>
      </c>
      <c r="D322" s="16" t="s">
        <v>381</v>
      </c>
      <c r="E322" s="17" t="s">
        <v>1</v>
      </c>
    </row>
    <row r="323" spans="2:5">
      <c r="B323" s="14" t="s">
        <v>377</v>
      </c>
      <c r="C323" s="15" t="s">
        <v>17</v>
      </c>
      <c r="D323" s="16" t="s">
        <v>382</v>
      </c>
      <c r="E323" s="17" t="s">
        <v>1</v>
      </c>
    </row>
    <row r="324" spans="2:5">
      <c r="B324" s="14" t="s">
        <v>377</v>
      </c>
      <c r="C324" s="15" t="s">
        <v>17</v>
      </c>
      <c r="D324" s="16" t="s">
        <v>383</v>
      </c>
      <c r="E324" s="17" t="s">
        <v>1</v>
      </c>
    </row>
    <row r="325" spans="2:5">
      <c r="B325" s="14" t="s">
        <v>377</v>
      </c>
      <c r="C325" s="15" t="s">
        <v>17</v>
      </c>
      <c r="D325" s="16" t="s">
        <v>384</v>
      </c>
      <c r="E325" s="17" t="s">
        <v>1</v>
      </c>
    </row>
    <row r="326" spans="2:5">
      <c r="B326" s="14" t="s">
        <v>377</v>
      </c>
      <c r="C326" s="15" t="s">
        <v>17</v>
      </c>
      <c r="D326" s="16" t="s">
        <v>385</v>
      </c>
      <c r="E326" s="17" t="s">
        <v>1</v>
      </c>
    </row>
    <row r="327" spans="2:5">
      <c r="B327" s="14" t="s">
        <v>377</v>
      </c>
      <c r="C327" s="15" t="s">
        <v>17</v>
      </c>
      <c r="D327" s="16" t="s">
        <v>386</v>
      </c>
      <c r="E327" s="17" t="s">
        <v>1</v>
      </c>
    </row>
    <row r="328" spans="2:5">
      <c r="B328" s="14" t="s">
        <v>377</v>
      </c>
      <c r="C328" s="15" t="s">
        <v>17</v>
      </c>
      <c r="D328" s="16" t="s">
        <v>387</v>
      </c>
      <c r="E328" s="17" t="s">
        <v>1</v>
      </c>
    </row>
    <row r="329" spans="2:5">
      <c r="B329" s="14" t="s">
        <v>377</v>
      </c>
      <c r="C329" s="15" t="s">
        <v>17</v>
      </c>
      <c r="D329" s="16" t="s">
        <v>388</v>
      </c>
      <c r="E329" s="17" t="s">
        <v>1</v>
      </c>
    </row>
    <row r="330" spans="2:5">
      <c r="B330" s="14" t="s">
        <v>377</v>
      </c>
      <c r="C330" s="15" t="s">
        <v>17</v>
      </c>
      <c r="D330" s="16" t="s">
        <v>389</v>
      </c>
      <c r="E330" s="17" t="s">
        <v>1</v>
      </c>
    </row>
    <row r="331" spans="2:5">
      <c r="B331" s="14" t="s">
        <v>377</v>
      </c>
      <c r="C331" s="15" t="s">
        <v>17</v>
      </c>
      <c r="D331" s="16" t="s">
        <v>390</v>
      </c>
      <c r="E331" s="17" t="s">
        <v>1</v>
      </c>
    </row>
    <row r="332" spans="2:5">
      <c r="B332" s="14" t="s">
        <v>377</v>
      </c>
      <c r="C332" s="15" t="s">
        <v>17</v>
      </c>
      <c r="D332" s="16" t="s">
        <v>391</v>
      </c>
      <c r="E332" s="17" t="s">
        <v>1</v>
      </c>
    </row>
    <row r="333" spans="2:5">
      <c r="B333" s="14" t="s">
        <v>377</v>
      </c>
      <c r="C333" s="15" t="s">
        <v>17</v>
      </c>
      <c r="D333" s="16" t="s">
        <v>392</v>
      </c>
      <c r="E333" s="17" t="s">
        <v>1</v>
      </c>
    </row>
    <row r="334" spans="2:5">
      <c r="B334" s="14" t="s">
        <v>377</v>
      </c>
      <c r="C334" s="15" t="s">
        <v>17</v>
      </c>
      <c r="D334" s="16" t="s">
        <v>393</v>
      </c>
      <c r="E334" s="17" t="s">
        <v>1</v>
      </c>
    </row>
    <row r="335" spans="2:5">
      <c r="B335" s="14" t="s">
        <v>377</v>
      </c>
      <c r="C335" s="15" t="s">
        <v>17</v>
      </c>
      <c r="D335" s="16" t="s">
        <v>394</v>
      </c>
      <c r="E335" s="17" t="s">
        <v>1</v>
      </c>
    </row>
    <row r="336" spans="2:5">
      <c r="B336" s="14" t="s">
        <v>377</v>
      </c>
      <c r="C336" s="15" t="s">
        <v>17</v>
      </c>
      <c r="D336" s="16" t="s">
        <v>395</v>
      </c>
      <c r="E336" s="17" t="s">
        <v>1</v>
      </c>
    </row>
    <row r="337" spans="2:5">
      <c r="B337" s="14" t="s">
        <v>377</v>
      </c>
      <c r="C337" s="15" t="s">
        <v>17</v>
      </c>
      <c r="D337" s="16" t="s">
        <v>396</v>
      </c>
      <c r="E337" s="17" t="s">
        <v>1738</v>
      </c>
    </row>
    <row r="338" spans="2:5">
      <c r="B338" s="14" t="s">
        <v>377</v>
      </c>
      <c r="C338" s="15" t="s">
        <v>17</v>
      </c>
      <c r="D338" s="16" t="s">
        <v>397</v>
      </c>
      <c r="E338" s="17" t="s">
        <v>1738</v>
      </c>
    </row>
    <row r="339" spans="2:5">
      <c r="B339" s="14" t="s">
        <v>377</v>
      </c>
      <c r="C339" s="15" t="s">
        <v>17</v>
      </c>
      <c r="D339" s="16" t="s">
        <v>398</v>
      </c>
      <c r="E339" s="17" t="s">
        <v>1738</v>
      </c>
    </row>
    <row r="340" spans="2:5">
      <c r="B340" s="14" t="s">
        <v>377</v>
      </c>
      <c r="C340" s="15" t="s">
        <v>17</v>
      </c>
      <c r="D340" s="16" t="s">
        <v>399</v>
      </c>
      <c r="E340" s="17" t="s">
        <v>1738</v>
      </c>
    </row>
    <row r="341" spans="2:5">
      <c r="B341" s="14" t="s">
        <v>377</v>
      </c>
      <c r="C341" s="15" t="s">
        <v>17</v>
      </c>
      <c r="D341" s="16" t="s">
        <v>400</v>
      </c>
      <c r="E341" s="17" t="s">
        <v>1</v>
      </c>
    </row>
    <row r="342" spans="2:5">
      <c r="B342" s="18" t="s">
        <v>401</v>
      </c>
      <c r="C342" s="19" t="s">
        <v>19</v>
      </c>
      <c r="D342" s="20" t="s">
        <v>402</v>
      </c>
      <c r="E342" s="21" t="s">
        <v>1</v>
      </c>
    </row>
    <row r="343" spans="2:5">
      <c r="B343" s="18" t="s">
        <v>401</v>
      </c>
      <c r="C343" s="19" t="s">
        <v>19</v>
      </c>
      <c r="D343" s="20" t="s">
        <v>403</v>
      </c>
      <c r="E343" s="21" t="s">
        <v>1</v>
      </c>
    </row>
    <row r="344" spans="2:5">
      <c r="B344" s="18" t="s">
        <v>401</v>
      </c>
      <c r="C344" s="19" t="s">
        <v>19</v>
      </c>
      <c r="D344" s="20" t="s">
        <v>404</v>
      </c>
      <c r="E344" s="21" t="s">
        <v>1</v>
      </c>
    </row>
    <row r="345" spans="2:5">
      <c r="B345" s="18" t="s">
        <v>401</v>
      </c>
      <c r="C345" s="19" t="s">
        <v>19</v>
      </c>
      <c r="D345" s="20" t="s">
        <v>405</v>
      </c>
      <c r="E345" s="21" t="s">
        <v>1</v>
      </c>
    </row>
    <row r="346" spans="2:5">
      <c r="B346" s="18" t="s">
        <v>401</v>
      </c>
      <c r="C346" s="19" t="s">
        <v>19</v>
      </c>
      <c r="D346" s="20" t="s">
        <v>406</v>
      </c>
      <c r="E346" s="21" t="s">
        <v>1</v>
      </c>
    </row>
    <row r="347" spans="2:5">
      <c r="B347" s="18" t="s">
        <v>401</v>
      </c>
      <c r="C347" s="19" t="s">
        <v>19</v>
      </c>
      <c r="D347" s="20" t="s">
        <v>407</v>
      </c>
      <c r="E347" s="21" t="s">
        <v>1</v>
      </c>
    </row>
    <row r="348" spans="2:5">
      <c r="B348" s="18" t="s">
        <v>401</v>
      </c>
      <c r="C348" s="19" t="s">
        <v>19</v>
      </c>
      <c r="D348" s="20" t="s">
        <v>408</v>
      </c>
      <c r="E348" s="21" t="s">
        <v>1</v>
      </c>
    </row>
    <row r="349" spans="2:5">
      <c r="B349" s="18" t="s">
        <v>401</v>
      </c>
      <c r="C349" s="19" t="s">
        <v>19</v>
      </c>
      <c r="D349" s="20" t="s">
        <v>409</v>
      </c>
      <c r="E349" s="21" t="s">
        <v>1</v>
      </c>
    </row>
    <row r="350" spans="2:5">
      <c r="B350" s="18" t="s">
        <v>401</v>
      </c>
      <c r="C350" s="19" t="s">
        <v>19</v>
      </c>
      <c r="D350" s="20" t="s">
        <v>410</v>
      </c>
      <c r="E350" s="21" t="s">
        <v>1</v>
      </c>
    </row>
    <row r="351" spans="2:5">
      <c r="B351" s="18" t="s">
        <v>401</v>
      </c>
      <c r="C351" s="19" t="s">
        <v>19</v>
      </c>
      <c r="D351" s="20" t="s">
        <v>411</v>
      </c>
      <c r="E351" s="21" t="s">
        <v>1</v>
      </c>
    </row>
    <row r="352" spans="2:5">
      <c r="B352" s="18" t="s">
        <v>401</v>
      </c>
      <c r="C352" s="19" t="s">
        <v>19</v>
      </c>
      <c r="D352" s="20" t="s">
        <v>412</v>
      </c>
      <c r="E352" s="21" t="s">
        <v>1</v>
      </c>
    </row>
    <row r="353" spans="2:5">
      <c r="B353" s="18" t="s">
        <v>401</v>
      </c>
      <c r="C353" s="19" t="s">
        <v>19</v>
      </c>
      <c r="D353" s="20" t="s">
        <v>413</v>
      </c>
      <c r="E353" s="21" t="s">
        <v>1</v>
      </c>
    </row>
    <row r="354" spans="2:5">
      <c r="B354" s="18" t="s">
        <v>401</v>
      </c>
      <c r="C354" s="19" t="s">
        <v>19</v>
      </c>
      <c r="D354" s="20" t="s">
        <v>414</v>
      </c>
      <c r="E354" s="21" t="s">
        <v>1</v>
      </c>
    </row>
    <row r="355" spans="2:5">
      <c r="B355" s="18" t="s">
        <v>401</v>
      </c>
      <c r="C355" s="19" t="s">
        <v>19</v>
      </c>
      <c r="D355" s="20" t="s">
        <v>415</v>
      </c>
      <c r="E355" s="21" t="s">
        <v>1738</v>
      </c>
    </row>
    <row r="356" spans="2:5">
      <c r="B356" s="18" t="s">
        <v>401</v>
      </c>
      <c r="C356" s="19" t="s">
        <v>19</v>
      </c>
      <c r="D356" s="20" t="s">
        <v>416</v>
      </c>
      <c r="E356" s="21" t="s">
        <v>1738</v>
      </c>
    </row>
    <row r="357" spans="2:5">
      <c r="B357" s="18" t="s">
        <v>401</v>
      </c>
      <c r="C357" s="19" t="s">
        <v>19</v>
      </c>
      <c r="D357" s="20" t="s">
        <v>417</v>
      </c>
      <c r="E357" s="21" t="s">
        <v>1738</v>
      </c>
    </row>
    <row r="358" spans="2:5">
      <c r="B358" s="18" t="s">
        <v>401</v>
      </c>
      <c r="C358" s="19" t="s">
        <v>19</v>
      </c>
      <c r="D358" s="20" t="s">
        <v>418</v>
      </c>
      <c r="E358" s="21" t="s">
        <v>1738</v>
      </c>
    </row>
    <row r="359" spans="2:5">
      <c r="B359" s="18" t="s">
        <v>401</v>
      </c>
      <c r="C359" s="19" t="s">
        <v>19</v>
      </c>
      <c r="D359" s="20" t="s">
        <v>419</v>
      </c>
      <c r="E359" s="21" t="s">
        <v>1738</v>
      </c>
    </row>
    <row r="360" spans="2:5">
      <c r="B360" s="18" t="s">
        <v>401</v>
      </c>
      <c r="C360" s="19" t="s">
        <v>19</v>
      </c>
      <c r="D360" s="20" t="s">
        <v>420</v>
      </c>
      <c r="E360" s="21" t="s">
        <v>1738</v>
      </c>
    </row>
    <row r="361" spans="2:5">
      <c r="B361" s="18" t="s">
        <v>401</v>
      </c>
      <c r="C361" s="19" t="s">
        <v>19</v>
      </c>
      <c r="D361" s="20" t="s">
        <v>421</v>
      </c>
      <c r="E361" s="21" t="s">
        <v>1738</v>
      </c>
    </row>
    <row r="362" spans="2:5">
      <c r="B362" s="18" t="s">
        <v>401</v>
      </c>
      <c r="C362" s="19" t="s">
        <v>19</v>
      </c>
      <c r="D362" s="20" t="s">
        <v>422</v>
      </c>
      <c r="E362" s="21" t="s">
        <v>1</v>
      </c>
    </row>
    <row r="363" spans="2:5">
      <c r="B363" s="18" t="s">
        <v>401</v>
      </c>
      <c r="C363" s="19" t="s">
        <v>19</v>
      </c>
      <c r="D363" s="20" t="s">
        <v>423</v>
      </c>
      <c r="E363" s="21" t="s">
        <v>1</v>
      </c>
    </row>
    <row r="364" spans="2:5">
      <c r="B364" s="18" t="s">
        <v>401</v>
      </c>
      <c r="C364" s="19" t="s">
        <v>19</v>
      </c>
      <c r="D364" s="20" t="s">
        <v>424</v>
      </c>
      <c r="E364" s="21" t="s">
        <v>1</v>
      </c>
    </row>
    <row r="365" spans="2:5">
      <c r="B365" s="18" t="s">
        <v>401</v>
      </c>
      <c r="C365" s="19" t="s">
        <v>19</v>
      </c>
      <c r="D365" s="20" t="s">
        <v>425</v>
      </c>
      <c r="E365" s="21" t="s">
        <v>1</v>
      </c>
    </row>
    <row r="366" spans="2:5">
      <c r="B366" s="18" t="s">
        <v>401</v>
      </c>
      <c r="C366" s="19" t="s">
        <v>19</v>
      </c>
      <c r="D366" s="20" t="s">
        <v>426</v>
      </c>
      <c r="E366" s="21" t="s">
        <v>1</v>
      </c>
    </row>
    <row r="367" spans="2:5">
      <c r="B367" s="18" t="s">
        <v>401</v>
      </c>
      <c r="C367" s="19" t="s">
        <v>19</v>
      </c>
      <c r="D367" s="20" t="s">
        <v>427</v>
      </c>
      <c r="E367" s="21" t="s">
        <v>1</v>
      </c>
    </row>
    <row r="368" spans="2:5">
      <c r="B368" s="18" t="s">
        <v>401</v>
      </c>
      <c r="C368" s="19" t="s">
        <v>19</v>
      </c>
      <c r="D368" s="20" t="s">
        <v>428</v>
      </c>
      <c r="E368" s="21" t="s">
        <v>1</v>
      </c>
    </row>
    <row r="369" spans="2:5">
      <c r="B369" s="18" t="s">
        <v>401</v>
      </c>
      <c r="C369" s="19" t="s">
        <v>19</v>
      </c>
      <c r="D369" s="20" t="s">
        <v>429</v>
      </c>
      <c r="E369" s="21" t="s">
        <v>1</v>
      </c>
    </row>
    <row r="370" spans="2:5">
      <c r="B370" s="18" t="s">
        <v>401</v>
      </c>
      <c r="C370" s="19" t="s">
        <v>19</v>
      </c>
      <c r="D370" s="20" t="s">
        <v>430</v>
      </c>
      <c r="E370" s="21" t="s">
        <v>1</v>
      </c>
    </row>
    <row r="371" spans="2:5">
      <c r="B371" s="18" t="s">
        <v>401</v>
      </c>
      <c r="C371" s="19" t="s">
        <v>19</v>
      </c>
      <c r="D371" s="20" t="s">
        <v>431</v>
      </c>
      <c r="E371" s="21" t="s">
        <v>1</v>
      </c>
    </row>
    <row r="372" spans="2:5">
      <c r="B372" s="18" t="s">
        <v>401</v>
      </c>
      <c r="C372" s="19" t="s">
        <v>19</v>
      </c>
      <c r="D372" s="20" t="s">
        <v>432</v>
      </c>
      <c r="E372" s="21" t="s">
        <v>1</v>
      </c>
    </row>
    <row r="373" spans="2:5">
      <c r="B373" s="18" t="s">
        <v>401</v>
      </c>
      <c r="C373" s="19" t="s">
        <v>19</v>
      </c>
      <c r="D373" s="20" t="s">
        <v>433</v>
      </c>
      <c r="E373" s="21" t="s">
        <v>1</v>
      </c>
    </row>
    <row r="374" spans="2:5">
      <c r="B374" s="18" t="s">
        <v>401</v>
      </c>
      <c r="C374" s="19" t="s">
        <v>19</v>
      </c>
      <c r="D374" s="20" t="s">
        <v>434</v>
      </c>
      <c r="E374" s="21" t="s">
        <v>1</v>
      </c>
    </row>
    <row r="375" spans="2:5">
      <c r="B375" s="18" t="s">
        <v>401</v>
      </c>
      <c r="C375" s="19" t="s">
        <v>19</v>
      </c>
      <c r="D375" s="20" t="s">
        <v>435</v>
      </c>
      <c r="E375" s="21" t="s">
        <v>1738</v>
      </c>
    </row>
    <row r="376" spans="2:5">
      <c r="B376" s="18" t="s">
        <v>401</v>
      </c>
      <c r="C376" s="19" t="s">
        <v>19</v>
      </c>
      <c r="D376" s="20" t="s">
        <v>436</v>
      </c>
      <c r="E376" s="21" t="s">
        <v>1738</v>
      </c>
    </row>
    <row r="377" spans="2:5">
      <c r="B377" s="18" t="s">
        <v>401</v>
      </c>
      <c r="C377" s="19" t="s">
        <v>19</v>
      </c>
      <c r="D377" s="20" t="s">
        <v>437</v>
      </c>
      <c r="E377" s="21" t="s">
        <v>1738</v>
      </c>
    </row>
    <row r="378" spans="2:5">
      <c r="B378" s="18" t="s">
        <v>401</v>
      </c>
      <c r="C378" s="19" t="s">
        <v>19</v>
      </c>
      <c r="D378" s="20" t="s">
        <v>438</v>
      </c>
      <c r="E378" s="21" t="s">
        <v>1738</v>
      </c>
    </row>
    <row r="379" spans="2:5">
      <c r="B379" s="18" t="s">
        <v>401</v>
      </c>
      <c r="C379" s="19" t="s">
        <v>19</v>
      </c>
      <c r="D379" s="20" t="s">
        <v>439</v>
      </c>
      <c r="E379" s="21" t="s">
        <v>1738</v>
      </c>
    </row>
    <row r="380" spans="2:5">
      <c r="B380" s="18" t="s">
        <v>401</v>
      </c>
      <c r="C380" s="19" t="s">
        <v>19</v>
      </c>
      <c r="D380" s="20" t="s">
        <v>440</v>
      </c>
      <c r="E380" s="21" t="s">
        <v>1738</v>
      </c>
    </row>
    <row r="381" spans="2:5">
      <c r="B381" s="18" t="s">
        <v>401</v>
      </c>
      <c r="C381" s="19" t="s">
        <v>19</v>
      </c>
      <c r="D381" s="20" t="s">
        <v>441</v>
      </c>
      <c r="E381" s="21" t="s">
        <v>1738</v>
      </c>
    </row>
    <row r="382" spans="2:5">
      <c r="B382" s="18" t="s">
        <v>401</v>
      </c>
      <c r="C382" s="19" t="s">
        <v>19</v>
      </c>
      <c r="D382" s="20" t="s">
        <v>442</v>
      </c>
      <c r="E382" s="21" t="s">
        <v>1738</v>
      </c>
    </row>
    <row r="383" spans="2:5">
      <c r="B383" s="18" t="s">
        <v>401</v>
      </c>
      <c r="C383" s="19" t="s">
        <v>19</v>
      </c>
      <c r="D383" s="20" t="s">
        <v>443</v>
      </c>
      <c r="E383" s="21" t="s">
        <v>1738</v>
      </c>
    </row>
    <row r="384" spans="2:5">
      <c r="B384" s="18" t="s">
        <v>401</v>
      </c>
      <c r="C384" s="19" t="s">
        <v>19</v>
      </c>
      <c r="D384" s="20" t="s">
        <v>444</v>
      </c>
      <c r="E384" s="21" t="s">
        <v>1738</v>
      </c>
    </row>
    <row r="385" spans="2:5">
      <c r="B385" s="18" t="s">
        <v>401</v>
      </c>
      <c r="C385" s="19" t="s">
        <v>19</v>
      </c>
      <c r="D385" s="20" t="s">
        <v>445</v>
      </c>
      <c r="E385" s="21" t="s">
        <v>1738</v>
      </c>
    </row>
    <row r="386" spans="2:5">
      <c r="B386" s="18" t="s">
        <v>401</v>
      </c>
      <c r="C386" s="19" t="s">
        <v>19</v>
      </c>
      <c r="D386" s="20" t="s">
        <v>446</v>
      </c>
      <c r="E386" s="21" t="s">
        <v>1738</v>
      </c>
    </row>
    <row r="387" spans="2:5">
      <c r="B387" s="18" t="s">
        <v>401</v>
      </c>
      <c r="C387" s="19" t="s">
        <v>19</v>
      </c>
      <c r="D387" s="20" t="s">
        <v>447</v>
      </c>
      <c r="E387" s="21" t="s">
        <v>1738</v>
      </c>
    </row>
    <row r="388" spans="2:5">
      <c r="B388" s="18" t="s">
        <v>401</v>
      </c>
      <c r="C388" s="19" t="s">
        <v>19</v>
      </c>
      <c r="D388" s="20" t="s">
        <v>448</v>
      </c>
      <c r="E388" s="21" t="s">
        <v>1738</v>
      </c>
    </row>
    <row r="389" spans="2:5">
      <c r="B389" s="18" t="s">
        <v>401</v>
      </c>
      <c r="C389" s="19" t="s">
        <v>19</v>
      </c>
      <c r="D389" s="20" t="s">
        <v>449</v>
      </c>
      <c r="E389" s="21" t="s">
        <v>1738</v>
      </c>
    </row>
    <row r="390" spans="2:5">
      <c r="B390" s="18" t="s">
        <v>401</v>
      </c>
      <c r="C390" s="19" t="s">
        <v>19</v>
      </c>
      <c r="D390" s="20" t="s">
        <v>450</v>
      </c>
      <c r="E390" s="21" t="s">
        <v>1738</v>
      </c>
    </row>
    <row r="391" spans="2:5">
      <c r="B391" s="18" t="s">
        <v>401</v>
      </c>
      <c r="C391" s="19" t="s">
        <v>19</v>
      </c>
      <c r="D391" s="20" t="s">
        <v>451</v>
      </c>
      <c r="E391" s="21" t="s">
        <v>1738</v>
      </c>
    </row>
    <row r="392" spans="2:5">
      <c r="B392" s="18" t="s">
        <v>401</v>
      </c>
      <c r="C392" s="19" t="s">
        <v>19</v>
      </c>
      <c r="D392" s="20" t="s">
        <v>452</v>
      </c>
      <c r="E392" s="21" t="s">
        <v>1738</v>
      </c>
    </row>
    <row r="393" spans="2:5">
      <c r="B393" s="18" t="s">
        <v>401</v>
      </c>
      <c r="C393" s="19" t="s">
        <v>19</v>
      </c>
      <c r="D393" s="20" t="s">
        <v>453</v>
      </c>
      <c r="E393" s="21" t="s">
        <v>1738</v>
      </c>
    </row>
    <row r="394" spans="2:5">
      <c r="B394" s="18" t="s">
        <v>401</v>
      </c>
      <c r="C394" s="19" t="s">
        <v>19</v>
      </c>
      <c r="D394" s="20" t="s">
        <v>454</v>
      </c>
      <c r="E394" s="21" t="s">
        <v>1738</v>
      </c>
    </row>
    <row r="395" spans="2:5">
      <c r="B395" s="18" t="s">
        <v>401</v>
      </c>
      <c r="C395" s="19" t="s">
        <v>19</v>
      </c>
      <c r="D395" s="20" t="s">
        <v>455</v>
      </c>
      <c r="E395" s="21" t="s">
        <v>1738</v>
      </c>
    </row>
    <row r="396" spans="2:5">
      <c r="B396" s="18" t="s">
        <v>401</v>
      </c>
      <c r="C396" s="19" t="s">
        <v>19</v>
      </c>
      <c r="D396" s="20" t="s">
        <v>456</v>
      </c>
      <c r="E396" s="21" t="s">
        <v>1738</v>
      </c>
    </row>
    <row r="397" spans="2:5">
      <c r="B397" s="18" t="s">
        <v>401</v>
      </c>
      <c r="C397" s="19" t="s">
        <v>19</v>
      </c>
      <c r="D397" s="20" t="s">
        <v>457</v>
      </c>
      <c r="E397" s="21" t="s">
        <v>1738</v>
      </c>
    </row>
    <row r="398" spans="2:5">
      <c r="B398" s="18" t="s">
        <v>401</v>
      </c>
      <c r="C398" s="19" t="s">
        <v>19</v>
      </c>
      <c r="D398" s="20" t="s">
        <v>458</v>
      </c>
      <c r="E398" s="21" t="s">
        <v>1738</v>
      </c>
    </row>
    <row r="399" spans="2:5">
      <c r="B399" s="18" t="s">
        <v>401</v>
      </c>
      <c r="C399" s="19" t="s">
        <v>19</v>
      </c>
      <c r="D399" s="20" t="s">
        <v>459</v>
      </c>
      <c r="E399" s="21" t="s">
        <v>1738</v>
      </c>
    </row>
    <row r="400" spans="2:5">
      <c r="B400" s="18" t="s">
        <v>401</v>
      </c>
      <c r="C400" s="19" t="s">
        <v>19</v>
      </c>
      <c r="D400" s="20" t="s">
        <v>460</v>
      </c>
      <c r="E400" s="21" t="s">
        <v>1738</v>
      </c>
    </row>
    <row r="401" spans="2:5">
      <c r="B401" s="18" t="s">
        <v>401</v>
      </c>
      <c r="C401" s="19" t="s">
        <v>19</v>
      </c>
      <c r="D401" s="20" t="s">
        <v>461</v>
      </c>
      <c r="E401" s="21" t="s">
        <v>1738</v>
      </c>
    </row>
    <row r="402" spans="2:5">
      <c r="B402" s="18" t="s">
        <v>401</v>
      </c>
      <c r="C402" s="19" t="s">
        <v>19</v>
      </c>
      <c r="D402" s="20" t="s">
        <v>462</v>
      </c>
      <c r="E402" s="21" t="s">
        <v>1738</v>
      </c>
    </row>
    <row r="403" spans="2:5">
      <c r="B403" s="18" t="s">
        <v>401</v>
      </c>
      <c r="C403" s="19" t="s">
        <v>19</v>
      </c>
      <c r="D403" s="20" t="s">
        <v>463</v>
      </c>
      <c r="E403" s="21" t="s">
        <v>1738</v>
      </c>
    </row>
    <row r="404" spans="2:5">
      <c r="B404" s="18" t="s">
        <v>401</v>
      </c>
      <c r="C404" s="19" t="s">
        <v>19</v>
      </c>
      <c r="D404" s="20" t="s">
        <v>464</v>
      </c>
      <c r="E404" s="21" t="s">
        <v>1738</v>
      </c>
    </row>
    <row r="405" spans="2:5">
      <c r="B405" s="18" t="s">
        <v>401</v>
      </c>
      <c r="C405" s="19" t="s">
        <v>19</v>
      </c>
      <c r="D405" s="20" t="s">
        <v>465</v>
      </c>
      <c r="E405" s="21" t="s">
        <v>1738</v>
      </c>
    </row>
    <row r="406" spans="2:5">
      <c r="B406" s="18" t="s">
        <v>401</v>
      </c>
      <c r="C406" s="19" t="s">
        <v>19</v>
      </c>
      <c r="D406" s="20" t="s">
        <v>466</v>
      </c>
      <c r="E406" s="21" t="s">
        <v>1738</v>
      </c>
    </row>
    <row r="407" spans="2:5">
      <c r="B407" s="18" t="s">
        <v>401</v>
      </c>
      <c r="C407" s="19" t="s">
        <v>19</v>
      </c>
      <c r="D407" s="20" t="s">
        <v>467</v>
      </c>
      <c r="E407" s="21" t="s">
        <v>1738</v>
      </c>
    </row>
    <row r="408" spans="2:5">
      <c r="B408" s="18" t="s">
        <v>401</v>
      </c>
      <c r="C408" s="19" t="s">
        <v>19</v>
      </c>
      <c r="D408" s="20" t="s">
        <v>468</v>
      </c>
      <c r="E408" s="21" t="s">
        <v>1738</v>
      </c>
    </row>
    <row r="409" spans="2:5">
      <c r="B409" s="18" t="s">
        <v>401</v>
      </c>
      <c r="C409" s="19" t="s">
        <v>19</v>
      </c>
      <c r="D409" s="20" t="s">
        <v>469</v>
      </c>
      <c r="E409" s="21" t="s">
        <v>1738</v>
      </c>
    </row>
    <row r="410" spans="2:5">
      <c r="B410" s="18" t="s">
        <v>401</v>
      </c>
      <c r="C410" s="19" t="s">
        <v>19</v>
      </c>
      <c r="D410" s="20" t="s">
        <v>470</v>
      </c>
      <c r="E410" s="21" t="s">
        <v>1738</v>
      </c>
    </row>
    <row r="411" spans="2:5">
      <c r="B411" s="18" t="s">
        <v>401</v>
      </c>
      <c r="C411" s="19" t="s">
        <v>19</v>
      </c>
      <c r="D411" s="20" t="s">
        <v>471</v>
      </c>
      <c r="E411" s="21" t="s">
        <v>1738</v>
      </c>
    </row>
    <row r="412" spans="2:5">
      <c r="B412" s="18" t="s">
        <v>401</v>
      </c>
      <c r="C412" s="19" t="s">
        <v>19</v>
      </c>
      <c r="D412" s="20" t="s">
        <v>472</v>
      </c>
      <c r="E412" s="21" t="s">
        <v>1738</v>
      </c>
    </row>
    <row r="413" spans="2:5">
      <c r="B413" s="18" t="s">
        <v>401</v>
      </c>
      <c r="C413" s="19" t="s">
        <v>19</v>
      </c>
      <c r="D413" s="20" t="s">
        <v>473</v>
      </c>
      <c r="E413" s="21" t="s">
        <v>1738</v>
      </c>
    </row>
    <row r="414" spans="2:5">
      <c r="B414" s="18" t="s">
        <v>401</v>
      </c>
      <c r="C414" s="19" t="s">
        <v>19</v>
      </c>
      <c r="D414" s="20" t="s">
        <v>474</v>
      </c>
      <c r="E414" s="21" t="s">
        <v>1738</v>
      </c>
    </row>
    <row r="415" spans="2:5">
      <c r="B415" s="18" t="s">
        <v>401</v>
      </c>
      <c r="C415" s="19" t="s">
        <v>19</v>
      </c>
      <c r="D415" s="20" t="s">
        <v>475</v>
      </c>
      <c r="E415" s="21" t="s">
        <v>1738</v>
      </c>
    </row>
    <row r="416" spans="2:5">
      <c r="B416" s="18" t="s">
        <v>401</v>
      </c>
      <c r="C416" s="19" t="s">
        <v>19</v>
      </c>
      <c r="D416" s="20" t="s">
        <v>476</v>
      </c>
      <c r="E416" s="21" t="s">
        <v>1738</v>
      </c>
    </row>
    <row r="417" spans="2:5">
      <c r="B417" s="18" t="s">
        <v>401</v>
      </c>
      <c r="C417" s="19" t="s">
        <v>19</v>
      </c>
      <c r="D417" s="20" t="s">
        <v>477</v>
      </c>
      <c r="E417" s="21" t="s">
        <v>1738</v>
      </c>
    </row>
    <row r="418" spans="2:5">
      <c r="B418" s="18" t="s">
        <v>401</v>
      </c>
      <c r="C418" s="19" t="s">
        <v>19</v>
      </c>
      <c r="D418" s="20" t="s">
        <v>478</v>
      </c>
      <c r="E418" s="21" t="s">
        <v>1738</v>
      </c>
    </row>
    <row r="419" spans="2:5">
      <c r="B419" s="18" t="s">
        <v>401</v>
      </c>
      <c r="C419" s="19" t="s">
        <v>19</v>
      </c>
      <c r="D419" s="20" t="s">
        <v>479</v>
      </c>
      <c r="E419" s="21" t="s">
        <v>1738</v>
      </c>
    </row>
    <row r="420" spans="2:5">
      <c r="B420" s="18" t="s">
        <v>401</v>
      </c>
      <c r="C420" s="19" t="s">
        <v>19</v>
      </c>
      <c r="D420" s="20" t="s">
        <v>480</v>
      </c>
      <c r="E420" s="21" t="s">
        <v>1738</v>
      </c>
    </row>
    <row r="421" spans="2:5">
      <c r="B421" s="18" t="s">
        <v>401</v>
      </c>
      <c r="C421" s="19" t="s">
        <v>19</v>
      </c>
      <c r="D421" s="20" t="s">
        <v>481</v>
      </c>
      <c r="E421" s="21" t="s">
        <v>1738</v>
      </c>
    </row>
    <row r="422" spans="2:5">
      <c r="B422" s="18" t="s">
        <v>401</v>
      </c>
      <c r="C422" s="19" t="s">
        <v>19</v>
      </c>
      <c r="D422" s="20" t="s">
        <v>482</v>
      </c>
      <c r="E422" s="21" t="s">
        <v>1738</v>
      </c>
    </row>
    <row r="423" spans="2:5">
      <c r="B423" s="18" t="s">
        <v>401</v>
      </c>
      <c r="C423" s="19" t="s">
        <v>19</v>
      </c>
      <c r="D423" s="20" t="s">
        <v>483</v>
      </c>
      <c r="E423" s="21" t="s">
        <v>1738</v>
      </c>
    </row>
    <row r="424" spans="2:5">
      <c r="B424" s="18" t="s">
        <v>401</v>
      </c>
      <c r="C424" s="19" t="s">
        <v>19</v>
      </c>
      <c r="D424" s="20" t="s">
        <v>484</v>
      </c>
      <c r="E424" s="21" t="s">
        <v>1738</v>
      </c>
    </row>
    <row r="425" spans="2:5">
      <c r="B425" s="18" t="s">
        <v>401</v>
      </c>
      <c r="C425" s="19" t="s">
        <v>19</v>
      </c>
      <c r="D425" s="20" t="s">
        <v>485</v>
      </c>
      <c r="E425" s="21" t="s">
        <v>1738</v>
      </c>
    </row>
    <row r="426" spans="2:5">
      <c r="B426" s="18" t="s">
        <v>401</v>
      </c>
      <c r="C426" s="19" t="s">
        <v>19</v>
      </c>
      <c r="D426" s="20" t="s">
        <v>486</v>
      </c>
      <c r="E426" s="21" t="s">
        <v>1738</v>
      </c>
    </row>
    <row r="427" spans="2:5">
      <c r="B427" s="18" t="s">
        <v>401</v>
      </c>
      <c r="C427" s="19" t="s">
        <v>19</v>
      </c>
      <c r="D427" s="20" t="s">
        <v>487</v>
      </c>
      <c r="E427" s="21" t="s">
        <v>1738</v>
      </c>
    </row>
    <row r="428" spans="2:5">
      <c r="B428" s="18" t="s">
        <v>401</v>
      </c>
      <c r="C428" s="19" t="s">
        <v>19</v>
      </c>
      <c r="D428" s="20" t="s">
        <v>488</v>
      </c>
      <c r="E428" s="21" t="s">
        <v>1738</v>
      </c>
    </row>
    <row r="429" spans="2:5">
      <c r="B429" s="18" t="s">
        <v>401</v>
      </c>
      <c r="C429" s="19" t="s">
        <v>19</v>
      </c>
      <c r="D429" s="20" t="s">
        <v>489</v>
      </c>
      <c r="E429" s="21" t="s">
        <v>1738</v>
      </c>
    </row>
    <row r="430" spans="2:5">
      <c r="B430" s="18" t="s">
        <v>401</v>
      </c>
      <c r="C430" s="19" t="s">
        <v>19</v>
      </c>
      <c r="D430" s="20" t="s">
        <v>490</v>
      </c>
      <c r="E430" s="21" t="s">
        <v>1738</v>
      </c>
    </row>
    <row r="431" spans="2:5">
      <c r="B431" s="18" t="s">
        <v>401</v>
      </c>
      <c r="C431" s="19" t="s">
        <v>19</v>
      </c>
      <c r="D431" s="20" t="s">
        <v>491</v>
      </c>
      <c r="E431" s="21" t="s">
        <v>1738</v>
      </c>
    </row>
    <row r="432" spans="2:5">
      <c r="B432" s="18" t="s">
        <v>401</v>
      </c>
      <c r="C432" s="19" t="s">
        <v>19</v>
      </c>
      <c r="D432" s="20" t="s">
        <v>492</v>
      </c>
      <c r="E432" s="21" t="s">
        <v>1738</v>
      </c>
    </row>
    <row r="433" spans="2:5">
      <c r="B433" s="18" t="s">
        <v>401</v>
      </c>
      <c r="C433" s="19" t="s">
        <v>19</v>
      </c>
      <c r="D433" s="20" t="s">
        <v>493</v>
      </c>
      <c r="E433" s="21" t="s">
        <v>1738</v>
      </c>
    </row>
    <row r="434" spans="2:5">
      <c r="B434" s="18" t="s">
        <v>401</v>
      </c>
      <c r="C434" s="19" t="s">
        <v>19</v>
      </c>
      <c r="D434" s="20" t="s">
        <v>494</v>
      </c>
      <c r="E434" s="21" t="s">
        <v>1738</v>
      </c>
    </row>
    <row r="435" spans="2:5">
      <c r="B435" s="18" t="s">
        <v>401</v>
      </c>
      <c r="C435" s="19" t="s">
        <v>19</v>
      </c>
      <c r="D435" s="20" t="s">
        <v>495</v>
      </c>
      <c r="E435" s="21" t="s">
        <v>1738</v>
      </c>
    </row>
    <row r="436" spans="2:5">
      <c r="B436" s="18" t="s">
        <v>401</v>
      </c>
      <c r="C436" s="19" t="s">
        <v>19</v>
      </c>
      <c r="D436" s="20" t="s">
        <v>496</v>
      </c>
      <c r="E436" s="21" t="s">
        <v>1738</v>
      </c>
    </row>
    <row r="437" spans="2:5">
      <c r="B437" s="18" t="s">
        <v>401</v>
      </c>
      <c r="C437" s="19" t="s">
        <v>19</v>
      </c>
      <c r="D437" s="20" t="s">
        <v>497</v>
      </c>
      <c r="E437" s="21" t="s">
        <v>1738</v>
      </c>
    </row>
    <row r="438" spans="2:5">
      <c r="B438" s="18" t="s">
        <v>401</v>
      </c>
      <c r="C438" s="19" t="s">
        <v>19</v>
      </c>
      <c r="D438" s="20" t="s">
        <v>498</v>
      </c>
      <c r="E438" s="21" t="s">
        <v>1738</v>
      </c>
    </row>
    <row r="439" spans="2:5">
      <c r="B439" s="18" t="s">
        <v>401</v>
      </c>
      <c r="C439" s="19" t="s">
        <v>19</v>
      </c>
      <c r="D439" s="20" t="s">
        <v>499</v>
      </c>
      <c r="E439" s="21" t="s">
        <v>1738</v>
      </c>
    </row>
    <row r="440" spans="2:5">
      <c r="B440" s="18" t="s">
        <v>401</v>
      </c>
      <c r="C440" s="19" t="s">
        <v>19</v>
      </c>
      <c r="D440" s="20" t="s">
        <v>500</v>
      </c>
      <c r="E440" s="21" t="s">
        <v>1738</v>
      </c>
    </row>
    <row r="441" spans="2:5">
      <c r="B441" s="18" t="s">
        <v>401</v>
      </c>
      <c r="C441" s="19" t="s">
        <v>19</v>
      </c>
      <c r="D441" s="20" t="s">
        <v>501</v>
      </c>
      <c r="E441" s="21" t="s">
        <v>1738</v>
      </c>
    </row>
    <row r="442" spans="2:5">
      <c r="B442" s="18" t="s">
        <v>401</v>
      </c>
      <c r="C442" s="19" t="s">
        <v>19</v>
      </c>
      <c r="D442" s="20" t="s">
        <v>502</v>
      </c>
      <c r="E442" s="21" t="s">
        <v>1738</v>
      </c>
    </row>
    <row r="443" spans="2:5">
      <c r="B443" s="18" t="s">
        <v>401</v>
      </c>
      <c r="C443" s="19" t="s">
        <v>19</v>
      </c>
      <c r="D443" s="20" t="s">
        <v>503</v>
      </c>
      <c r="E443" s="21" t="s">
        <v>1738</v>
      </c>
    </row>
    <row r="444" spans="2:5">
      <c r="B444" s="18" t="s">
        <v>401</v>
      </c>
      <c r="C444" s="19" t="s">
        <v>19</v>
      </c>
      <c r="D444" s="20" t="s">
        <v>504</v>
      </c>
      <c r="E444" s="21" t="s">
        <v>1738</v>
      </c>
    </row>
    <row r="445" spans="2:5">
      <c r="B445" s="18" t="s">
        <v>401</v>
      </c>
      <c r="C445" s="19" t="s">
        <v>19</v>
      </c>
      <c r="D445" s="20" t="s">
        <v>505</v>
      </c>
      <c r="E445" s="21" t="s">
        <v>1738</v>
      </c>
    </row>
    <row r="446" spans="2:5">
      <c r="B446" s="18" t="s">
        <v>401</v>
      </c>
      <c r="C446" s="19" t="s">
        <v>19</v>
      </c>
      <c r="D446" s="20" t="s">
        <v>506</v>
      </c>
      <c r="E446" s="21" t="s">
        <v>1738</v>
      </c>
    </row>
    <row r="447" spans="2:5">
      <c r="B447" s="18" t="s">
        <v>401</v>
      </c>
      <c r="C447" s="19" t="s">
        <v>19</v>
      </c>
      <c r="D447" s="20" t="s">
        <v>507</v>
      </c>
      <c r="E447" s="21" t="s">
        <v>1738</v>
      </c>
    </row>
    <row r="448" spans="2:5">
      <c r="B448" s="18" t="s">
        <v>401</v>
      </c>
      <c r="C448" s="19" t="s">
        <v>19</v>
      </c>
      <c r="D448" s="20" t="s">
        <v>508</v>
      </c>
      <c r="E448" s="21" t="s">
        <v>1738</v>
      </c>
    </row>
    <row r="449" spans="2:5">
      <c r="B449" s="18" t="s">
        <v>401</v>
      </c>
      <c r="C449" s="19" t="s">
        <v>19</v>
      </c>
      <c r="D449" s="20" t="s">
        <v>509</v>
      </c>
      <c r="E449" s="21" t="s">
        <v>1738</v>
      </c>
    </row>
    <row r="450" spans="2:5">
      <c r="B450" s="18" t="s">
        <v>401</v>
      </c>
      <c r="C450" s="19" t="s">
        <v>19</v>
      </c>
      <c r="D450" s="20" t="s">
        <v>510</v>
      </c>
      <c r="E450" s="21" t="s">
        <v>1738</v>
      </c>
    </row>
    <row r="451" spans="2:5">
      <c r="B451" s="18" t="s">
        <v>401</v>
      </c>
      <c r="C451" s="19" t="s">
        <v>19</v>
      </c>
      <c r="D451" s="20" t="s">
        <v>511</v>
      </c>
      <c r="E451" s="21" t="s">
        <v>1738</v>
      </c>
    </row>
    <row r="452" spans="2:5">
      <c r="B452" s="18" t="s">
        <v>401</v>
      </c>
      <c r="C452" s="19" t="s">
        <v>19</v>
      </c>
      <c r="D452" s="20" t="s">
        <v>512</v>
      </c>
      <c r="E452" s="21" t="s">
        <v>1738</v>
      </c>
    </row>
    <row r="453" spans="2:5">
      <c r="B453" s="18" t="s">
        <v>401</v>
      </c>
      <c r="C453" s="19" t="s">
        <v>19</v>
      </c>
      <c r="D453" s="20" t="s">
        <v>513</v>
      </c>
      <c r="E453" s="21" t="s">
        <v>1738</v>
      </c>
    </row>
    <row r="454" spans="2:5">
      <c r="B454" s="18" t="s">
        <v>401</v>
      </c>
      <c r="C454" s="19" t="s">
        <v>19</v>
      </c>
      <c r="D454" s="20" t="s">
        <v>514</v>
      </c>
      <c r="E454" s="21" t="s">
        <v>1738</v>
      </c>
    </row>
    <row r="455" spans="2:5">
      <c r="B455" s="18" t="s">
        <v>401</v>
      </c>
      <c r="C455" s="19" t="s">
        <v>19</v>
      </c>
      <c r="D455" s="20" t="s">
        <v>515</v>
      </c>
      <c r="E455" s="21" t="s">
        <v>1738</v>
      </c>
    </row>
    <row r="456" spans="2:5">
      <c r="B456" s="18" t="s">
        <v>401</v>
      </c>
      <c r="C456" s="19" t="s">
        <v>19</v>
      </c>
      <c r="D456" s="20" t="s">
        <v>516</v>
      </c>
      <c r="E456" s="21" t="s">
        <v>1738</v>
      </c>
    </row>
    <row r="457" spans="2:5">
      <c r="B457" s="18" t="s">
        <v>401</v>
      </c>
      <c r="C457" s="19" t="s">
        <v>19</v>
      </c>
      <c r="D457" s="20" t="s">
        <v>517</v>
      </c>
      <c r="E457" s="21" t="s">
        <v>1738</v>
      </c>
    </row>
    <row r="458" spans="2:5">
      <c r="B458" s="18" t="s">
        <v>401</v>
      </c>
      <c r="C458" s="19" t="s">
        <v>19</v>
      </c>
      <c r="D458" s="20" t="s">
        <v>518</v>
      </c>
      <c r="E458" s="21" t="s">
        <v>1738</v>
      </c>
    </row>
    <row r="459" spans="2:5">
      <c r="B459" s="18" t="s">
        <v>401</v>
      </c>
      <c r="C459" s="19" t="s">
        <v>19</v>
      </c>
      <c r="D459" s="20" t="s">
        <v>519</v>
      </c>
      <c r="E459" s="21" t="s">
        <v>1738</v>
      </c>
    </row>
    <row r="460" spans="2:5">
      <c r="B460" s="18" t="s">
        <v>401</v>
      </c>
      <c r="C460" s="19" t="s">
        <v>19</v>
      </c>
      <c r="D460" s="20" t="s">
        <v>520</v>
      </c>
      <c r="E460" s="21" t="s">
        <v>1738</v>
      </c>
    </row>
    <row r="461" spans="2:5">
      <c r="B461" s="18" t="s">
        <v>401</v>
      </c>
      <c r="C461" s="19" t="s">
        <v>19</v>
      </c>
      <c r="D461" s="20" t="s">
        <v>521</v>
      </c>
      <c r="E461" s="21" t="s">
        <v>1738</v>
      </c>
    </row>
    <row r="462" spans="2:5">
      <c r="B462" s="18" t="s">
        <v>401</v>
      </c>
      <c r="C462" s="19" t="s">
        <v>19</v>
      </c>
      <c r="D462" s="20" t="s">
        <v>522</v>
      </c>
      <c r="E462" s="21" t="s">
        <v>1738</v>
      </c>
    </row>
    <row r="463" spans="2:5">
      <c r="B463" s="18" t="s">
        <v>401</v>
      </c>
      <c r="C463" s="19" t="s">
        <v>19</v>
      </c>
      <c r="D463" s="20" t="s">
        <v>523</v>
      </c>
      <c r="E463" s="21" t="s">
        <v>1738</v>
      </c>
    </row>
    <row r="464" spans="2:5">
      <c r="B464" s="18" t="s">
        <v>401</v>
      </c>
      <c r="C464" s="19" t="s">
        <v>19</v>
      </c>
      <c r="D464" s="20" t="s">
        <v>524</v>
      </c>
      <c r="E464" s="21" t="s">
        <v>1738</v>
      </c>
    </row>
    <row r="465" spans="2:5">
      <c r="B465" s="18" t="s">
        <v>401</v>
      </c>
      <c r="C465" s="19" t="s">
        <v>19</v>
      </c>
      <c r="D465" s="20" t="s">
        <v>525</v>
      </c>
      <c r="E465" s="21" t="s">
        <v>1738</v>
      </c>
    </row>
    <row r="466" spans="2:5">
      <c r="B466" s="18" t="s">
        <v>401</v>
      </c>
      <c r="C466" s="19" t="s">
        <v>19</v>
      </c>
      <c r="D466" s="20" t="s">
        <v>526</v>
      </c>
      <c r="E466" s="21" t="s">
        <v>1738</v>
      </c>
    </row>
    <row r="467" spans="2:5">
      <c r="B467" s="18" t="s">
        <v>401</v>
      </c>
      <c r="C467" s="19" t="s">
        <v>19</v>
      </c>
      <c r="D467" s="20" t="s">
        <v>527</v>
      </c>
      <c r="E467" s="21" t="s">
        <v>1738</v>
      </c>
    </row>
    <row r="468" spans="2:5">
      <c r="B468" s="18" t="s">
        <v>401</v>
      </c>
      <c r="C468" s="19" t="s">
        <v>19</v>
      </c>
      <c r="D468" s="20" t="s">
        <v>528</v>
      </c>
      <c r="E468" s="21" t="s">
        <v>1738</v>
      </c>
    </row>
    <row r="469" spans="2:5">
      <c r="B469" s="18" t="s">
        <v>401</v>
      </c>
      <c r="C469" s="19" t="s">
        <v>19</v>
      </c>
      <c r="D469" s="20" t="s">
        <v>529</v>
      </c>
      <c r="E469" s="21" t="s">
        <v>1738</v>
      </c>
    </row>
    <row r="470" spans="2:5">
      <c r="B470" s="18" t="s">
        <v>401</v>
      </c>
      <c r="C470" s="19" t="s">
        <v>19</v>
      </c>
      <c r="D470" s="20" t="s">
        <v>530</v>
      </c>
      <c r="E470" s="21" t="s">
        <v>1738</v>
      </c>
    </row>
    <row r="471" spans="2:5">
      <c r="B471" s="18" t="s">
        <v>401</v>
      </c>
      <c r="C471" s="19" t="s">
        <v>19</v>
      </c>
      <c r="D471" s="20" t="s">
        <v>531</v>
      </c>
      <c r="E471" s="21" t="s">
        <v>1738</v>
      </c>
    </row>
    <row r="472" spans="2:5">
      <c r="B472" s="18" t="s">
        <v>401</v>
      </c>
      <c r="C472" s="19" t="s">
        <v>19</v>
      </c>
      <c r="D472" s="20" t="s">
        <v>532</v>
      </c>
      <c r="E472" s="21" t="s">
        <v>1738</v>
      </c>
    </row>
    <row r="473" spans="2:5">
      <c r="B473" s="18" t="s">
        <v>401</v>
      </c>
      <c r="C473" s="19" t="s">
        <v>19</v>
      </c>
      <c r="D473" s="20" t="s">
        <v>533</v>
      </c>
      <c r="E473" s="21" t="s">
        <v>1738</v>
      </c>
    </row>
    <row r="474" spans="2:5">
      <c r="B474" s="18" t="s">
        <v>401</v>
      </c>
      <c r="C474" s="19" t="s">
        <v>19</v>
      </c>
      <c r="D474" s="20" t="s">
        <v>534</v>
      </c>
      <c r="E474" s="21" t="s">
        <v>1738</v>
      </c>
    </row>
    <row r="475" spans="2:5">
      <c r="B475" s="18" t="s">
        <v>401</v>
      </c>
      <c r="C475" s="19" t="s">
        <v>19</v>
      </c>
      <c r="D475" s="20" t="s">
        <v>535</v>
      </c>
      <c r="E475" s="21" t="s">
        <v>1738</v>
      </c>
    </row>
    <row r="476" spans="2:5">
      <c r="B476" s="18" t="s">
        <v>401</v>
      </c>
      <c r="C476" s="19" t="s">
        <v>19</v>
      </c>
      <c r="D476" s="20" t="s">
        <v>536</v>
      </c>
      <c r="E476" s="21" t="s">
        <v>1738</v>
      </c>
    </row>
    <row r="477" spans="2:5">
      <c r="B477" s="18" t="s">
        <v>401</v>
      </c>
      <c r="C477" s="19" t="s">
        <v>19</v>
      </c>
      <c r="D477" s="20" t="s">
        <v>537</v>
      </c>
      <c r="E477" s="21" t="s">
        <v>1738</v>
      </c>
    </row>
    <row r="478" spans="2:5">
      <c r="B478" s="18" t="s">
        <v>401</v>
      </c>
      <c r="C478" s="19" t="s">
        <v>19</v>
      </c>
      <c r="D478" s="20" t="s">
        <v>538</v>
      </c>
      <c r="E478" s="21" t="s">
        <v>1738</v>
      </c>
    </row>
    <row r="479" spans="2:5">
      <c r="B479" s="18" t="s">
        <v>401</v>
      </c>
      <c r="C479" s="19" t="s">
        <v>19</v>
      </c>
      <c r="D479" s="20" t="s">
        <v>539</v>
      </c>
      <c r="E479" s="21" t="s">
        <v>1738</v>
      </c>
    </row>
    <row r="480" spans="2:5">
      <c r="B480" s="18" t="s">
        <v>401</v>
      </c>
      <c r="C480" s="19" t="s">
        <v>19</v>
      </c>
      <c r="D480" s="20" t="s">
        <v>540</v>
      </c>
      <c r="E480" s="21" t="s">
        <v>1738</v>
      </c>
    </row>
    <row r="481" spans="2:5">
      <c r="B481" s="18" t="s">
        <v>401</v>
      </c>
      <c r="C481" s="19" t="s">
        <v>19</v>
      </c>
      <c r="D481" s="20" t="s">
        <v>541</v>
      </c>
      <c r="E481" s="21" t="s">
        <v>1738</v>
      </c>
    </row>
    <row r="482" spans="2:5">
      <c r="B482" s="18" t="s">
        <v>401</v>
      </c>
      <c r="C482" s="19" t="s">
        <v>19</v>
      </c>
      <c r="D482" s="20" t="s">
        <v>542</v>
      </c>
      <c r="E482" s="21" t="s">
        <v>1738</v>
      </c>
    </row>
    <row r="483" spans="2:5">
      <c r="B483" s="18" t="s">
        <v>401</v>
      </c>
      <c r="C483" s="19" t="s">
        <v>19</v>
      </c>
      <c r="D483" s="20" t="s">
        <v>543</v>
      </c>
      <c r="E483" s="21" t="s">
        <v>1738</v>
      </c>
    </row>
    <row r="484" spans="2:5">
      <c r="B484" s="18" t="s">
        <v>401</v>
      </c>
      <c r="C484" s="19" t="s">
        <v>19</v>
      </c>
      <c r="D484" s="20" t="s">
        <v>544</v>
      </c>
      <c r="E484" s="21" t="s">
        <v>1738</v>
      </c>
    </row>
    <row r="485" spans="2:5">
      <c r="B485" s="18" t="s">
        <v>401</v>
      </c>
      <c r="C485" s="19" t="s">
        <v>19</v>
      </c>
      <c r="D485" s="20" t="s">
        <v>545</v>
      </c>
      <c r="E485" s="21" t="s">
        <v>1738</v>
      </c>
    </row>
    <row r="486" spans="2:5">
      <c r="B486" s="18" t="s">
        <v>401</v>
      </c>
      <c r="C486" s="19" t="s">
        <v>19</v>
      </c>
      <c r="D486" s="20" t="s">
        <v>546</v>
      </c>
      <c r="E486" s="21" t="s">
        <v>1738</v>
      </c>
    </row>
    <row r="487" spans="2:5">
      <c r="B487" s="18" t="s">
        <v>401</v>
      </c>
      <c r="C487" s="19" t="s">
        <v>19</v>
      </c>
      <c r="D487" s="20" t="s">
        <v>547</v>
      </c>
      <c r="E487" s="21" t="s">
        <v>1738</v>
      </c>
    </row>
    <row r="488" spans="2:5">
      <c r="B488" s="18" t="s">
        <v>401</v>
      </c>
      <c r="C488" s="19" t="s">
        <v>19</v>
      </c>
      <c r="D488" s="20" t="s">
        <v>548</v>
      </c>
      <c r="E488" s="21" t="s">
        <v>1738</v>
      </c>
    </row>
    <row r="489" spans="2:5">
      <c r="B489" s="18" t="s">
        <v>401</v>
      </c>
      <c r="C489" s="19" t="s">
        <v>19</v>
      </c>
      <c r="D489" s="20" t="s">
        <v>549</v>
      </c>
      <c r="E489" s="21" t="s">
        <v>1738</v>
      </c>
    </row>
    <row r="490" spans="2:5">
      <c r="B490" s="18" t="s">
        <v>401</v>
      </c>
      <c r="C490" s="19" t="s">
        <v>19</v>
      </c>
      <c r="D490" s="20" t="s">
        <v>550</v>
      </c>
      <c r="E490" s="21" t="s">
        <v>1738</v>
      </c>
    </row>
    <row r="491" spans="2:5">
      <c r="B491" s="18" t="s">
        <v>401</v>
      </c>
      <c r="C491" s="19" t="s">
        <v>19</v>
      </c>
      <c r="D491" s="20" t="s">
        <v>551</v>
      </c>
      <c r="E491" s="21" t="s">
        <v>1738</v>
      </c>
    </row>
    <row r="492" spans="2:5">
      <c r="B492" s="18" t="s">
        <v>401</v>
      </c>
      <c r="C492" s="19" t="s">
        <v>19</v>
      </c>
      <c r="D492" s="20" t="s">
        <v>552</v>
      </c>
      <c r="E492" s="21" t="s">
        <v>1738</v>
      </c>
    </row>
    <row r="493" spans="2:5">
      <c r="B493" s="18" t="s">
        <v>401</v>
      </c>
      <c r="C493" s="19" t="s">
        <v>19</v>
      </c>
      <c r="D493" s="20" t="s">
        <v>553</v>
      </c>
      <c r="E493" s="21" t="s">
        <v>1738</v>
      </c>
    </row>
    <row r="494" spans="2:5">
      <c r="B494" s="18" t="s">
        <v>401</v>
      </c>
      <c r="C494" s="19" t="s">
        <v>19</v>
      </c>
      <c r="D494" s="20" t="s">
        <v>554</v>
      </c>
      <c r="E494" s="21" t="s">
        <v>1738</v>
      </c>
    </row>
    <row r="495" spans="2:5">
      <c r="B495" s="18" t="s">
        <v>401</v>
      </c>
      <c r="C495" s="19" t="s">
        <v>19</v>
      </c>
      <c r="D495" s="20" t="s">
        <v>555</v>
      </c>
      <c r="E495" s="21" t="s">
        <v>1738</v>
      </c>
    </row>
    <row r="496" spans="2:5">
      <c r="B496" s="18" t="s">
        <v>401</v>
      </c>
      <c r="C496" s="19" t="s">
        <v>19</v>
      </c>
      <c r="D496" s="20" t="s">
        <v>556</v>
      </c>
      <c r="E496" s="21" t="s">
        <v>1738</v>
      </c>
    </row>
    <row r="497" spans="2:5">
      <c r="B497" s="18" t="s">
        <v>401</v>
      </c>
      <c r="C497" s="19" t="s">
        <v>19</v>
      </c>
      <c r="D497" s="20" t="s">
        <v>557</v>
      </c>
      <c r="E497" s="21" t="s">
        <v>1738</v>
      </c>
    </row>
    <row r="498" spans="2:5">
      <c r="B498" s="18" t="s">
        <v>401</v>
      </c>
      <c r="C498" s="19" t="s">
        <v>19</v>
      </c>
      <c r="D498" s="20" t="s">
        <v>558</v>
      </c>
      <c r="E498" s="21" t="s">
        <v>1738</v>
      </c>
    </row>
    <row r="499" spans="2:5">
      <c r="B499" s="18" t="s">
        <v>401</v>
      </c>
      <c r="C499" s="19" t="s">
        <v>19</v>
      </c>
      <c r="D499" s="20" t="s">
        <v>559</v>
      </c>
      <c r="E499" s="21" t="s">
        <v>1738</v>
      </c>
    </row>
    <row r="500" spans="2:5">
      <c r="B500" s="18" t="s">
        <v>401</v>
      </c>
      <c r="C500" s="19" t="s">
        <v>19</v>
      </c>
      <c r="D500" s="20" t="s">
        <v>560</v>
      </c>
      <c r="E500" s="21" t="s">
        <v>1738</v>
      </c>
    </row>
    <row r="501" spans="2:5">
      <c r="B501" s="18" t="s">
        <v>401</v>
      </c>
      <c r="C501" s="19" t="s">
        <v>19</v>
      </c>
      <c r="D501" s="20" t="s">
        <v>561</v>
      </c>
      <c r="E501" s="21" t="s">
        <v>1738</v>
      </c>
    </row>
    <row r="502" spans="2:5">
      <c r="B502" s="18" t="s">
        <v>401</v>
      </c>
      <c r="C502" s="19" t="s">
        <v>19</v>
      </c>
      <c r="D502" s="20" t="s">
        <v>562</v>
      </c>
      <c r="E502" s="21" t="s">
        <v>1738</v>
      </c>
    </row>
    <row r="503" spans="2:5">
      <c r="B503" s="18" t="s">
        <v>401</v>
      </c>
      <c r="C503" s="19" t="s">
        <v>19</v>
      </c>
      <c r="D503" s="20" t="s">
        <v>563</v>
      </c>
      <c r="E503" s="21" t="s">
        <v>1738</v>
      </c>
    </row>
    <row r="504" spans="2:5">
      <c r="B504" s="18" t="s">
        <v>401</v>
      </c>
      <c r="C504" s="19" t="s">
        <v>19</v>
      </c>
      <c r="D504" s="20" t="s">
        <v>564</v>
      </c>
      <c r="E504" s="21" t="s">
        <v>1738</v>
      </c>
    </row>
    <row r="505" spans="2:5">
      <c r="B505" s="18" t="s">
        <v>401</v>
      </c>
      <c r="C505" s="19" t="s">
        <v>19</v>
      </c>
      <c r="D505" s="20" t="s">
        <v>565</v>
      </c>
      <c r="E505" s="21" t="s">
        <v>1738</v>
      </c>
    </row>
    <row r="506" spans="2:5">
      <c r="B506" s="18" t="s">
        <v>401</v>
      </c>
      <c r="C506" s="19" t="s">
        <v>19</v>
      </c>
      <c r="D506" s="20" t="s">
        <v>566</v>
      </c>
      <c r="E506" s="21" t="s">
        <v>1738</v>
      </c>
    </row>
    <row r="507" spans="2:5">
      <c r="B507" s="18" t="s">
        <v>401</v>
      </c>
      <c r="C507" s="19" t="s">
        <v>19</v>
      </c>
      <c r="D507" s="20" t="s">
        <v>567</v>
      </c>
      <c r="E507" s="21" t="s">
        <v>1738</v>
      </c>
    </row>
    <row r="508" spans="2:5">
      <c r="B508" s="18" t="s">
        <v>401</v>
      </c>
      <c r="C508" s="19" t="s">
        <v>19</v>
      </c>
      <c r="D508" s="20" t="s">
        <v>568</v>
      </c>
      <c r="E508" s="21" t="s">
        <v>1738</v>
      </c>
    </row>
    <row r="509" spans="2:5">
      <c r="B509" s="18" t="s">
        <v>401</v>
      </c>
      <c r="C509" s="19" t="s">
        <v>19</v>
      </c>
      <c r="D509" s="20" t="s">
        <v>569</v>
      </c>
      <c r="E509" s="21" t="s">
        <v>1</v>
      </c>
    </row>
    <row r="510" spans="2:5">
      <c r="B510" s="18" t="s">
        <v>401</v>
      </c>
      <c r="C510" s="19" t="s">
        <v>19</v>
      </c>
      <c r="D510" s="20" t="s">
        <v>570</v>
      </c>
      <c r="E510" s="21" t="s">
        <v>1</v>
      </c>
    </row>
    <row r="511" spans="2:5">
      <c r="B511" s="18" t="s">
        <v>401</v>
      </c>
      <c r="C511" s="19" t="s">
        <v>19</v>
      </c>
      <c r="D511" s="20" t="s">
        <v>571</v>
      </c>
      <c r="E511" s="21" t="s">
        <v>1</v>
      </c>
    </row>
    <row r="512" spans="2:5">
      <c r="B512" s="18" t="s">
        <v>401</v>
      </c>
      <c r="C512" s="19" t="s">
        <v>19</v>
      </c>
      <c r="D512" s="20" t="s">
        <v>572</v>
      </c>
      <c r="E512" s="21" t="s">
        <v>1</v>
      </c>
    </row>
    <row r="513" spans="2:5">
      <c r="B513" s="18" t="s">
        <v>401</v>
      </c>
      <c r="C513" s="19" t="s">
        <v>19</v>
      </c>
      <c r="D513" s="20" t="s">
        <v>573</v>
      </c>
      <c r="E513" s="21" t="s">
        <v>1</v>
      </c>
    </row>
    <row r="514" spans="2:5">
      <c r="B514" s="18" t="s">
        <v>401</v>
      </c>
      <c r="C514" s="19" t="s">
        <v>19</v>
      </c>
      <c r="D514" s="20" t="s">
        <v>574</v>
      </c>
      <c r="E514" s="21" t="s">
        <v>1</v>
      </c>
    </row>
    <row r="515" spans="2:5">
      <c r="B515" s="18" t="s">
        <v>401</v>
      </c>
      <c r="C515" s="19" t="s">
        <v>19</v>
      </c>
      <c r="D515" s="20" t="s">
        <v>575</v>
      </c>
      <c r="E515" s="21" t="s">
        <v>1</v>
      </c>
    </row>
    <row r="516" spans="2:5">
      <c r="B516" s="18" t="s">
        <v>401</v>
      </c>
      <c r="C516" s="19" t="s">
        <v>19</v>
      </c>
      <c r="D516" s="20" t="s">
        <v>576</v>
      </c>
      <c r="E516" s="21" t="s">
        <v>1</v>
      </c>
    </row>
    <row r="517" spans="2:5">
      <c r="B517" s="18" t="s">
        <v>401</v>
      </c>
      <c r="C517" s="19" t="s">
        <v>19</v>
      </c>
      <c r="D517" s="20" t="s">
        <v>577</v>
      </c>
      <c r="E517" s="21" t="s">
        <v>1</v>
      </c>
    </row>
    <row r="518" spans="2:5">
      <c r="B518" s="18" t="s">
        <v>401</v>
      </c>
      <c r="C518" s="19" t="s">
        <v>19</v>
      </c>
      <c r="D518" s="20" t="s">
        <v>578</v>
      </c>
      <c r="E518" s="21" t="s">
        <v>1</v>
      </c>
    </row>
    <row r="519" spans="2:5">
      <c r="B519" s="18" t="s">
        <v>401</v>
      </c>
      <c r="C519" s="19" t="s">
        <v>19</v>
      </c>
      <c r="D519" s="20" t="s">
        <v>579</v>
      </c>
      <c r="E519" s="21" t="s">
        <v>1</v>
      </c>
    </row>
    <row r="520" spans="2:5">
      <c r="B520" s="18" t="s">
        <v>401</v>
      </c>
      <c r="C520" s="19" t="s">
        <v>19</v>
      </c>
      <c r="D520" s="20" t="s">
        <v>580</v>
      </c>
      <c r="E520" s="21" t="s">
        <v>1</v>
      </c>
    </row>
    <row r="521" spans="2:5">
      <c r="B521" s="18" t="s">
        <v>401</v>
      </c>
      <c r="C521" s="19" t="s">
        <v>19</v>
      </c>
      <c r="D521" s="20" t="s">
        <v>581</v>
      </c>
      <c r="E521" s="21" t="s">
        <v>1</v>
      </c>
    </row>
    <row r="522" spans="2:5">
      <c r="B522" s="18" t="s">
        <v>401</v>
      </c>
      <c r="C522" s="19" t="s">
        <v>19</v>
      </c>
      <c r="D522" s="20" t="s">
        <v>582</v>
      </c>
      <c r="E522" s="21" t="s">
        <v>1</v>
      </c>
    </row>
    <row r="523" spans="2:5">
      <c r="B523" s="18" t="s">
        <v>401</v>
      </c>
      <c r="C523" s="19" t="s">
        <v>19</v>
      </c>
      <c r="D523" s="20" t="s">
        <v>583</v>
      </c>
      <c r="E523" s="21" t="s">
        <v>1</v>
      </c>
    </row>
    <row r="524" spans="2:5">
      <c r="B524" s="18" t="s">
        <v>401</v>
      </c>
      <c r="C524" s="19" t="s">
        <v>19</v>
      </c>
      <c r="D524" s="20" t="s">
        <v>584</v>
      </c>
      <c r="E524" s="21" t="s">
        <v>1</v>
      </c>
    </row>
    <row r="525" spans="2:5">
      <c r="B525" s="18" t="s">
        <v>401</v>
      </c>
      <c r="C525" s="19" t="s">
        <v>19</v>
      </c>
      <c r="D525" s="20" t="s">
        <v>585</v>
      </c>
      <c r="E525" s="21" t="s">
        <v>1</v>
      </c>
    </row>
    <row r="526" spans="2:5">
      <c r="B526" s="18" t="s">
        <v>401</v>
      </c>
      <c r="C526" s="19" t="s">
        <v>19</v>
      </c>
      <c r="D526" s="20" t="s">
        <v>586</v>
      </c>
      <c r="E526" s="21" t="s">
        <v>1738</v>
      </c>
    </row>
    <row r="527" spans="2:5">
      <c r="B527" s="18" t="s">
        <v>401</v>
      </c>
      <c r="C527" s="19" t="s">
        <v>19</v>
      </c>
      <c r="D527" s="20" t="s">
        <v>587</v>
      </c>
      <c r="E527" s="21" t="s">
        <v>1738</v>
      </c>
    </row>
    <row r="528" spans="2:5">
      <c r="B528" s="18" t="s">
        <v>401</v>
      </c>
      <c r="C528" s="19" t="s">
        <v>19</v>
      </c>
      <c r="D528" s="20" t="s">
        <v>588</v>
      </c>
      <c r="E528" s="21" t="s">
        <v>1738</v>
      </c>
    </row>
    <row r="529" spans="2:5">
      <c r="B529" s="18" t="s">
        <v>401</v>
      </c>
      <c r="C529" s="19" t="s">
        <v>19</v>
      </c>
      <c r="D529" s="20" t="s">
        <v>589</v>
      </c>
      <c r="E529" s="21" t="s">
        <v>1738</v>
      </c>
    </row>
    <row r="530" spans="2:5">
      <c r="B530" s="18" t="s">
        <v>401</v>
      </c>
      <c r="C530" s="19" t="s">
        <v>19</v>
      </c>
      <c r="D530" s="20" t="s">
        <v>590</v>
      </c>
      <c r="E530" s="21" t="s">
        <v>1738</v>
      </c>
    </row>
    <row r="531" spans="2:5">
      <c r="B531" s="18" t="s">
        <v>401</v>
      </c>
      <c r="C531" s="19" t="s">
        <v>19</v>
      </c>
      <c r="D531" s="20" t="s">
        <v>591</v>
      </c>
      <c r="E531" s="21" t="s">
        <v>1738</v>
      </c>
    </row>
    <row r="532" spans="2:5">
      <c r="B532" s="18" t="s">
        <v>401</v>
      </c>
      <c r="C532" s="19" t="s">
        <v>19</v>
      </c>
      <c r="D532" s="20" t="s">
        <v>592</v>
      </c>
      <c r="E532" s="21" t="s">
        <v>1738</v>
      </c>
    </row>
    <row r="533" spans="2:5">
      <c r="B533" s="18" t="s">
        <v>401</v>
      </c>
      <c r="C533" s="19" t="s">
        <v>19</v>
      </c>
      <c r="D533" s="20" t="s">
        <v>593</v>
      </c>
      <c r="E533" s="21" t="s">
        <v>1738</v>
      </c>
    </row>
    <row r="534" spans="2:5">
      <c r="B534" s="18" t="s">
        <v>401</v>
      </c>
      <c r="C534" s="19" t="s">
        <v>19</v>
      </c>
      <c r="D534" s="20" t="s">
        <v>594</v>
      </c>
      <c r="E534" s="21" t="s">
        <v>1738</v>
      </c>
    </row>
    <row r="535" spans="2:5">
      <c r="B535" s="18" t="s">
        <v>401</v>
      </c>
      <c r="C535" s="19" t="s">
        <v>19</v>
      </c>
      <c r="D535" s="20" t="s">
        <v>595</v>
      </c>
      <c r="E535" s="21" t="s">
        <v>1738</v>
      </c>
    </row>
    <row r="536" spans="2:5">
      <c r="B536" s="18" t="s">
        <v>401</v>
      </c>
      <c r="C536" s="19" t="s">
        <v>19</v>
      </c>
      <c r="D536" s="20" t="s">
        <v>596</v>
      </c>
      <c r="E536" s="21" t="s">
        <v>1738</v>
      </c>
    </row>
    <row r="537" spans="2:5">
      <c r="B537" s="18" t="s">
        <v>401</v>
      </c>
      <c r="C537" s="19" t="s">
        <v>19</v>
      </c>
      <c r="D537" s="20" t="s">
        <v>597</v>
      </c>
      <c r="E537" s="21" t="s">
        <v>1738</v>
      </c>
    </row>
    <row r="538" spans="2:5">
      <c r="B538" s="18" t="s">
        <v>401</v>
      </c>
      <c r="C538" s="19" t="s">
        <v>19</v>
      </c>
      <c r="D538" s="20" t="s">
        <v>598</v>
      </c>
      <c r="E538" s="21" t="s">
        <v>1738</v>
      </c>
    </row>
    <row r="539" spans="2:5">
      <c r="B539" s="18" t="s">
        <v>401</v>
      </c>
      <c r="C539" s="19" t="s">
        <v>19</v>
      </c>
      <c r="D539" s="20" t="s">
        <v>599</v>
      </c>
      <c r="E539" s="21" t="s">
        <v>1738</v>
      </c>
    </row>
    <row r="540" spans="2:5">
      <c r="B540" s="18" t="s">
        <v>401</v>
      </c>
      <c r="C540" s="19" t="s">
        <v>19</v>
      </c>
      <c r="D540" s="20" t="s">
        <v>600</v>
      </c>
      <c r="E540" s="21" t="s">
        <v>1738</v>
      </c>
    </row>
    <row r="541" spans="2:5">
      <c r="B541" s="18" t="s">
        <v>401</v>
      </c>
      <c r="C541" s="19" t="s">
        <v>19</v>
      </c>
      <c r="D541" s="20" t="s">
        <v>601</v>
      </c>
      <c r="E541" s="21" t="s">
        <v>1738</v>
      </c>
    </row>
    <row r="542" spans="2:5">
      <c r="B542" s="18" t="s">
        <v>401</v>
      </c>
      <c r="C542" s="19" t="s">
        <v>19</v>
      </c>
      <c r="D542" s="20" t="s">
        <v>602</v>
      </c>
      <c r="E542" s="21" t="s">
        <v>1738</v>
      </c>
    </row>
    <row r="543" spans="2:5">
      <c r="B543" s="18" t="s">
        <v>401</v>
      </c>
      <c r="C543" s="19" t="s">
        <v>19</v>
      </c>
      <c r="D543" s="20" t="s">
        <v>603</v>
      </c>
      <c r="E543" s="21" t="s">
        <v>1738</v>
      </c>
    </row>
    <row r="544" spans="2:5">
      <c r="B544" s="18" t="s">
        <v>401</v>
      </c>
      <c r="C544" s="19" t="s">
        <v>19</v>
      </c>
      <c r="D544" s="20" t="s">
        <v>604</v>
      </c>
      <c r="E544" s="21" t="s">
        <v>1738</v>
      </c>
    </row>
    <row r="545" spans="2:5">
      <c r="B545" s="18" t="s">
        <v>401</v>
      </c>
      <c r="C545" s="19" t="s">
        <v>19</v>
      </c>
      <c r="D545" s="20" t="s">
        <v>605</v>
      </c>
      <c r="E545" s="21" t="s">
        <v>1738</v>
      </c>
    </row>
    <row r="546" spans="2:5">
      <c r="B546" s="18" t="s">
        <v>401</v>
      </c>
      <c r="C546" s="19" t="s">
        <v>19</v>
      </c>
      <c r="D546" s="20" t="s">
        <v>606</v>
      </c>
      <c r="E546" s="21" t="s">
        <v>1738</v>
      </c>
    </row>
    <row r="547" spans="2:5">
      <c r="B547" s="18" t="s">
        <v>401</v>
      </c>
      <c r="C547" s="19" t="s">
        <v>19</v>
      </c>
      <c r="D547" s="20" t="s">
        <v>607</v>
      </c>
      <c r="E547" s="21" t="s">
        <v>1738</v>
      </c>
    </row>
    <row r="548" spans="2:5">
      <c r="B548" s="18" t="s">
        <v>401</v>
      </c>
      <c r="C548" s="19" t="s">
        <v>19</v>
      </c>
      <c r="D548" s="20" t="s">
        <v>608</v>
      </c>
      <c r="E548" s="21" t="s">
        <v>1738</v>
      </c>
    </row>
    <row r="549" spans="2:5">
      <c r="B549" s="18" t="s">
        <v>401</v>
      </c>
      <c r="C549" s="19" t="s">
        <v>19</v>
      </c>
      <c r="D549" s="20" t="s">
        <v>609</v>
      </c>
      <c r="E549" s="21" t="s">
        <v>1738</v>
      </c>
    </row>
    <row r="550" spans="2:5">
      <c r="B550" s="18" t="s">
        <v>401</v>
      </c>
      <c r="C550" s="19" t="s">
        <v>19</v>
      </c>
      <c r="D550" s="20" t="s">
        <v>610</v>
      </c>
      <c r="E550" s="21" t="s">
        <v>1738</v>
      </c>
    </row>
    <row r="551" spans="2:5">
      <c r="B551" s="18" t="s">
        <v>401</v>
      </c>
      <c r="C551" s="19" t="s">
        <v>19</v>
      </c>
      <c r="D551" s="20" t="s">
        <v>611</v>
      </c>
      <c r="E551" s="21" t="s">
        <v>1738</v>
      </c>
    </row>
    <row r="552" spans="2:5">
      <c r="B552" s="18" t="s">
        <v>401</v>
      </c>
      <c r="C552" s="19" t="s">
        <v>19</v>
      </c>
      <c r="D552" s="20" t="s">
        <v>612</v>
      </c>
      <c r="E552" s="21" t="s">
        <v>1738</v>
      </c>
    </row>
    <row r="553" spans="2:5">
      <c r="B553" s="18" t="s">
        <v>401</v>
      </c>
      <c r="C553" s="19" t="s">
        <v>19</v>
      </c>
      <c r="D553" s="20" t="s">
        <v>613</v>
      </c>
      <c r="E553" s="21" t="s">
        <v>1738</v>
      </c>
    </row>
    <row r="554" spans="2:5">
      <c r="B554" s="18" t="s">
        <v>401</v>
      </c>
      <c r="C554" s="19" t="s">
        <v>19</v>
      </c>
      <c r="D554" s="20" t="s">
        <v>614</v>
      </c>
      <c r="E554" s="21" t="s">
        <v>1738</v>
      </c>
    </row>
    <row r="555" spans="2:5">
      <c r="B555" s="18" t="s">
        <v>401</v>
      </c>
      <c r="C555" s="19" t="s">
        <v>19</v>
      </c>
      <c r="D555" s="20" t="s">
        <v>615</v>
      </c>
      <c r="E555" s="21" t="s">
        <v>1738</v>
      </c>
    </row>
    <row r="556" spans="2:5">
      <c r="B556" s="18" t="s">
        <v>401</v>
      </c>
      <c r="C556" s="19" t="s">
        <v>19</v>
      </c>
      <c r="D556" s="20" t="s">
        <v>616</v>
      </c>
      <c r="E556" s="21" t="s">
        <v>1738</v>
      </c>
    </row>
    <row r="557" spans="2:5">
      <c r="B557" s="18" t="s">
        <v>401</v>
      </c>
      <c r="C557" s="19" t="s">
        <v>19</v>
      </c>
      <c r="D557" s="20" t="s">
        <v>617</v>
      </c>
      <c r="E557" s="21" t="s">
        <v>1738</v>
      </c>
    </row>
    <row r="558" spans="2:5">
      <c r="B558" s="18" t="s">
        <v>401</v>
      </c>
      <c r="C558" s="19" t="s">
        <v>19</v>
      </c>
      <c r="D558" s="20" t="s">
        <v>618</v>
      </c>
      <c r="E558" s="21" t="s">
        <v>1738</v>
      </c>
    </row>
    <row r="559" spans="2:5">
      <c r="B559" s="18" t="s">
        <v>401</v>
      </c>
      <c r="C559" s="19" t="s">
        <v>19</v>
      </c>
      <c r="D559" s="20" t="s">
        <v>619</v>
      </c>
      <c r="E559" s="21" t="s">
        <v>1738</v>
      </c>
    </row>
    <row r="560" spans="2:5">
      <c r="B560" s="18" t="s">
        <v>401</v>
      </c>
      <c r="C560" s="19" t="s">
        <v>19</v>
      </c>
      <c r="D560" s="20" t="s">
        <v>620</v>
      </c>
      <c r="E560" s="21" t="s">
        <v>1738</v>
      </c>
    </row>
    <row r="561" spans="2:5">
      <c r="B561" s="18" t="s">
        <v>401</v>
      </c>
      <c r="C561" s="19" t="s">
        <v>19</v>
      </c>
      <c r="D561" s="20" t="s">
        <v>621</v>
      </c>
      <c r="E561" s="21" t="s">
        <v>1738</v>
      </c>
    </row>
    <row r="562" spans="2:5">
      <c r="B562" s="18" t="s">
        <v>401</v>
      </c>
      <c r="C562" s="19" t="s">
        <v>19</v>
      </c>
      <c r="D562" s="20" t="s">
        <v>622</v>
      </c>
      <c r="E562" s="21" t="s">
        <v>1738</v>
      </c>
    </row>
    <row r="563" spans="2:5">
      <c r="B563" s="18" t="s">
        <v>401</v>
      </c>
      <c r="C563" s="19" t="s">
        <v>19</v>
      </c>
      <c r="D563" s="20" t="s">
        <v>623</v>
      </c>
      <c r="E563" s="21" t="s">
        <v>1738</v>
      </c>
    </row>
    <row r="564" spans="2:5">
      <c r="B564" s="18" t="s">
        <v>401</v>
      </c>
      <c r="C564" s="19" t="s">
        <v>19</v>
      </c>
      <c r="D564" s="20" t="s">
        <v>624</v>
      </c>
      <c r="E564" s="21" t="s">
        <v>1738</v>
      </c>
    </row>
    <row r="565" spans="2:5">
      <c r="B565" s="18" t="s">
        <v>401</v>
      </c>
      <c r="C565" s="19" t="s">
        <v>19</v>
      </c>
      <c r="D565" s="20" t="s">
        <v>625</v>
      </c>
      <c r="E565" s="21" t="s">
        <v>1738</v>
      </c>
    </row>
    <row r="566" spans="2:5">
      <c r="B566" s="18" t="s">
        <v>401</v>
      </c>
      <c r="C566" s="19" t="s">
        <v>19</v>
      </c>
      <c r="D566" s="20" t="s">
        <v>626</v>
      </c>
      <c r="E566" s="21" t="s">
        <v>1</v>
      </c>
    </row>
    <row r="567" spans="2:5">
      <c r="B567" s="18" t="s">
        <v>401</v>
      </c>
      <c r="C567" s="19" t="s">
        <v>19</v>
      </c>
      <c r="D567" s="20" t="s">
        <v>627</v>
      </c>
      <c r="E567" s="21" t="s">
        <v>1738</v>
      </c>
    </row>
    <row r="568" spans="2:5">
      <c r="B568" s="18" t="s">
        <v>401</v>
      </c>
      <c r="C568" s="19" t="s">
        <v>19</v>
      </c>
      <c r="D568" s="20" t="s">
        <v>628</v>
      </c>
      <c r="E568" s="21" t="s">
        <v>1738</v>
      </c>
    </row>
    <row r="569" spans="2:5">
      <c r="B569" s="18" t="s">
        <v>401</v>
      </c>
      <c r="C569" s="19" t="s">
        <v>19</v>
      </c>
      <c r="D569" s="20" t="s">
        <v>629</v>
      </c>
      <c r="E569" s="21" t="s">
        <v>1738</v>
      </c>
    </row>
    <row r="570" spans="2:5">
      <c r="B570" s="18" t="s">
        <v>401</v>
      </c>
      <c r="C570" s="19" t="s">
        <v>19</v>
      </c>
      <c r="D570" s="20" t="s">
        <v>630</v>
      </c>
      <c r="E570" s="21" t="s">
        <v>1738</v>
      </c>
    </row>
    <row r="571" spans="2:5">
      <c r="B571" s="18" t="s">
        <v>401</v>
      </c>
      <c r="C571" s="19" t="s">
        <v>19</v>
      </c>
      <c r="D571" s="20" t="s">
        <v>631</v>
      </c>
      <c r="E571" s="21" t="s">
        <v>1738</v>
      </c>
    </row>
    <row r="572" spans="2:5">
      <c r="B572" s="18" t="s">
        <v>401</v>
      </c>
      <c r="C572" s="19" t="s">
        <v>19</v>
      </c>
      <c r="D572" s="20" t="s">
        <v>632</v>
      </c>
      <c r="E572" s="21" t="s">
        <v>1738</v>
      </c>
    </row>
    <row r="573" spans="2:5">
      <c r="B573" s="18" t="s">
        <v>401</v>
      </c>
      <c r="C573" s="19" t="s">
        <v>19</v>
      </c>
      <c r="D573" s="20" t="s">
        <v>633</v>
      </c>
      <c r="E573" s="21" t="s">
        <v>1</v>
      </c>
    </row>
    <row r="574" spans="2:5">
      <c r="B574" s="18" t="s">
        <v>401</v>
      </c>
      <c r="C574" s="19" t="s">
        <v>19</v>
      </c>
      <c r="D574" s="20" t="s">
        <v>634</v>
      </c>
      <c r="E574" s="21" t="s">
        <v>1738</v>
      </c>
    </row>
    <row r="575" spans="2:5">
      <c r="B575" s="18" t="s">
        <v>401</v>
      </c>
      <c r="C575" s="19" t="s">
        <v>19</v>
      </c>
      <c r="D575" s="20" t="s">
        <v>635</v>
      </c>
      <c r="E575" s="21" t="s">
        <v>1738</v>
      </c>
    </row>
    <row r="576" spans="2:5">
      <c r="B576" s="18" t="s">
        <v>401</v>
      </c>
      <c r="C576" s="19" t="s">
        <v>19</v>
      </c>
      <c r="D576" s="20" t="s">
        <v>636</v>
      </c>
      <c r="E576" s="21" t="s">
        <v>1738</v>
      </c>
    </row>
    <row r="577" spans="2:5">
      <c r="B577" s="18" t="s">
        <v>401</v>
      </c>
      <c r="C577" s="19" t="s">
        <v>19</v>
      </c>
      <c r="D577" s="20" t="s">
        <v>637</v>
      </c>
      <c r="E577" s="21" t="s">
        <v>1738</v>
      </c>
    </row>
    <row r="578" spans="2:5">
      <c r="B578" s="18" t="s">
        <v>401</v>
      </c>
      <c r="C578" s="19" t="s">
        <v>19</v>
      </c>
      <c r="D578" s="20" t="s">
        <v>638</v>
      </c>
      <c r="E578" s="21" t="s">
        <v>1738</v>
      </c>
    </row>
    <row r="579" spans="2:5">
      <c r="B579" s="18" t="s">
        <v>401</v>
      </c>
      <c r="C579" s="19" t="s">
        <v>19</v>
      </c>
      <c r="D579" s="20" t="s">
        <v>639</v>
      </c>
      <c r="E579" s="21" t="s">
        <v>1738</v>
      </c>
    </row>
    <row r="580" spans="2:5">
      <c r="B580" s="18" t="s">
        <v>401</v>
      </c>
      <c r="C580" s="19" t="s">
        <v>19</v>
      </c>
      <c r="D580" s="20" t="s">
        <v>640</v>
      </c>
      <c r="E580" s="21" t="s">
        <v>1738</v>
      </c>
    </row>
    <row r="581" spans="2:5">
      <c r="B581" s="18" t="s">
        <v>401</v>
      </c>
      <c r="C581" s="19" t="s">
        <v>19</v>
      </c>
      <c r="D581" s="20" t="s">
        <v>641</v>
      </c>
      <c r="E581" s="21" t="s">
        <v>1738</v>
      </c>
    </row>
    <row r="582" spans="2:5">
      <c r="B582" s="18" t="s">
        <v>401</v>
      </c>
      <c r="C582" s="19" t="s">
        <v>19</v>
      </c>
      <c r="D582" s="20" t="s">
        <v>642</v>
      </c>
      <c r="E582" s="21" t="s">
        <v>1738</v>
      </c>
    </row>
    <row r="583" spans="2:5">
      <c r="B583" s="18" t="s">
        <v>401</v>
      </c>
      <c r="C583" s="19" t="s">
        <v>19</v>
      </c>
      <c r="D583" s="20" t="s">
        <v>643</v>
      </c>
      <c r="E583" s="21" t="s">
        <v>1738</v>
      </c>
    </row>
    <row r="584" spans="2:5">
      <c r="B584" s="18" t="s">
        <v>401</v>
      </c>
      <c r="C584" s="19" t="s">
        <v>19</v>
      </c>
      <c r="D584" s="20" t="s">
        <v>644</v>
      </c>
      <c r="E584" s="21" t="s">
        <v>1738</v>
      </c>
    </row>
    <row r="585" spans="2:5">
      <c r="B585" s="18" t="s">
        <v>401</v>
      </c>
      <c r="C585" s="19" t="s">
        <v>19</v>
      </c>
      <c r="D585" s="20" t="s">
        <v>645</v>
      </c>
      <c r="E585" s="21" t="s">
        <v>1738</v>
      </c>
    </row>
    <row r="586" spans="2:5">
      <c r="B586" s="18" t="s">
        <v>401</v>
      </c>
      <c r="C586" s="19" t="s">
        <v>19</v>
      </c>
      <c r="D586" s="20" t="s">
        <v>646</v>
      </c>
      <c r="E586" s="21" t="s">
        <v>1738</v>
      </c>
    </row>
    <row r="587" spans="2:5">
      <c r="B587" s="18" t="s">
        <v>401</v>
      </c>
      <c r="C587" s="19" t="s">
        <v>19</v>
      </c>
      <c r="D587" s="20" t="s">
        <v>647</v>
      </c>
      <c r="E587" s="21" t="s">
        <v>1738</v>
      </c>
    </row>
    <row r="588" spans="2:5">
      <c r="B588" s="18" t="s">
        <v>401</v>
      </c>
      <c r="C588" s="19" t="s">
        <v>19</v>
      </c>
      <c r="D588" s="20" t="s">
        <v>648</v>
      </c>
      <c r="E588" s="21" t="s">
        <v>1</v>
      </c>
    </row>
    <row r="589" spans="2:5">
      <c r="B589" s="18" t="s">
        <v>401</v>
      </c>
      <c r="C589" s="19" t="s">
        <v>19</v>
      </c>
      <c r="D589" s="20" t="s">
        <v>649</v>
      </c>
      <c r="E589" s="21" t="s">
        <v>1738</v>
      </c>
    </row>
    <row r="590" spans="2:5">
      <c r="B590" s="18" t="s">
        <v>401</v>
      </c>
      <c r="C590" s="19" t="s">
        <v>19</v>
      </c>
      <c r="D590" s="20" t="s">
        <v>650</v>
      </c>
      <c r="E590" s="21" t="s">
        <v>1738</v>
      </c>
    </row>
    <row r="591" spans="2:5">
      <c r="B591" s="18" t="s">
        <v>401</v>
      </c>
      <c r="C591" s="19" t="s">
        <v>19</v>
      </c>
      <c r="D591" s="20" t="s">
        <v>651</v>
      </c>
      <c r="E591" s="21" t="s">
        <v>1738</v>
      </c>
    </row>
    <row r="592" spans="2:5">
      <c r="B592" s="18" t="s">
        <v>401</v>
      </c>
      <c r="C592" s="19" t="s">
        <v>19</v>
      </c>
      <c r="D592" s="20" t="s">
        <v>652</v>
      </c>
      <c r="E592" s="21" t="s">
        <v>1738</v>
      </c>
    </row>
    <row r="593" spans="2:5">
      <c r="B593" s="18" t="s">
        <v>401</v>
      </c>
      <c r="C593" s="19" t="s">
        <v>19</v>
      </c>
      <c r="D593" s="20" t="s">
        <v>653</v>
      </c>
      <c r="E593" s="21" t="s">
        <v>1738</v>
      </c>
    </row>
    <row r="594" spans="2:5">
      <c r="B594" s="18" t="s">
        <v>401</v>
      </c>
      <c r="C594" s="19" t="s">
        <v>19</v>
      </c>
      <c r="D594" s="20" t="s">
        <v>654</v>
      </c>
      <c r="E594" s="21" t="s">
        <v>1738</v>
      </c>
    </row>
    <row r="595" spans="2:5">
      <c r="B595" s="18" t="s">
        <v>401</v>
      </c>
      <c r="C595" s="19" t="s">
        <v>19</v>
      </c>
      <c r="D595" s="20" t="s">
        <v>655</v>
      </c>
      <c r="E595" s="21" t="s">
        <v>1738</v>
      </c>
    </row>
    <row r="596" spans="2:5">
      <c r="B596" s="18" t="s">
        <v>401</v>
      </c>
      <c r="C596" s="19" t="s">
        <v>19</v>
      </c>
      <c r="D596" s="20" t="s">
        <v>656</v>
      </c>
      <c r="E596" s="21" t="s">
        <v>1738</v>
      </c>
    </row>
    <row r="597" spans="2:5">
      <c r="B597" s="18" t="s">
        <v>401</v>
      </c>
      <c r="C597" s="19" t="s">
        <v>19</v>
      </c>
      <c r="D597" s="20" t="s">
        <v>657</v>
      </c>
      <c r="E597" s="21" t="s">
        <v>1738</v>
      </c>
    </row>
    <row r="598" spans="2:5">
      <c r="B598" s="18" t="s">
        <v>401</v>
      </c>
      <c r="C598" s="19" t="s">
        <v>19</v>
      </c>
      <c r="D598" s="20" t="s">
        <v>658</v>
      </c>
      <c r="E598" s="21" t="s">
        <v>1738</v>
      </c>
    </row>
    <row r="599" spans="2:5">
      <c r="B599" s="18" t="s">
        <v>401</v>
      </c>
      <c r="C599" s="19" t="s">
        <v>19</v>
      </c>
      <c r="D599" s="20" t="s">
        <v>659</v>
      </c>
      <c r="E599" s="21" t="s">
        <v>1738</v>
      </c>
    </row>
    <row r="600" spans="2:5">
      <c r="B600" s="18" t="s">
        <v>401</v>
      </c>
      <c r="C600" s="19" t="s">
        <v>19</v>
      </c>
      <c r="D600" s="20" t="s">
        <v>660</v>
      </c>
      <c r="E600" s="21" t="s">
        <v>1738</v>
      </c>
    </row>
    <row r="601" spans="2:5">
      <c r="B601" s="18" t="s">
        <v>401</v>
      </c>
      <c r="C601" s="19" t="s">
        <v>19</v>
      </c>
      <c r="D601" s="20" t="s">
        <v>661</v>
      </c>
      <c r="E601" s="21" t="s">
        <v>1738</v>
      </c>
    </row>
    <row r="602" spans="2:5">
      <c r="B602" s="18" t="s">
        <v>401</v>
      </c>
      <c r="C602" s="19" t="s">
        <v>19</v>
      </c>
      <c r="D602" s="20" t="s">
        <v>662</v>
      </c>
      <c r="E602" s="21" t="s">
        <v>1738</v>
      </c>
    </row>
    <row r="603" spans="2:5">
      <c r="B603" s="18" t="s">
        <v>401</v>
      </c>
      <c r="C603" s="19" t="s">
        <v>19</v>
      </c>
      <c r="D603" s="20" t="s">
        <v>663</v>
      </c>
      <c r="E603" s="21" t="s">
        <v>1738</v>
      </c>
    </row>
    <row r="604" spans="2:5">
      <c r="B604" s="18" t="s">
        <v>401</v>
      </c>
      <c r="C604" s="19" t="s">
        <v>19</v>
      </c>
      <c r="D604" s="20" t="s">
        <v>664</v>
      </c>
      <c r="E604" s="21" t="s">
        <v>1738</v>
      </c>
    </row>
    <row r="605" spans="2:5">
      <c r="B605" s="18" t="s">
        <v>401</v>
      </c>
      <c r="C605" s="19" t="s">
        <v>19</v>
      </c>
      <c r="D605" s="20" t="s">
        <v>665</v>
      </c>
      <c r="E605" s="21" t="s">
        <v>1738</v>
      </c>
    </row>
    <row r="606" spans="2:5">
      <c r="B606" s="18" t="s">
        <v>401</v>
      </c>
      <c r="C606" s="19" t="s">
        <v>19</v>
      </c>
      <c r="D606" s="20" t="s">
        <v>666</v>
      </c>
      <c r="E606" s="21" t="s">
        <v>1738</v>
      </c>
    </row>
    <row r="607" spans="2:5">
      <c r="B607" s="18" t="s">
        <v>401</v>
      </c>
      <c r="C607" s="19" t="s">
        <v>19</v>
      </c>
      <c r="D607" s="20" t="s">
        <v>667</v>
      </c>
      <c r="E607" s="21" t="s">
        <v>1738</v>
      </c>
    </row>
    <row r="608" spans="2:5">
      <c r="B608" s="18" t="s">
        <v>401</v>
      </c>
      <c r="C608" s="19" t="s">
        <v>19</v>
      </c>
      <c r="D608" s="20" t="s">
        <v>668</v>
      </c>
      <c r="E608" s="21" t="s">
        <v>1738</v>
      </c>
    </row>
    <row r="609" spans="2:5">
      <c r="B609" s="18" t="s">
        <v>401</v>
      </c>
      <c r="C609" s="19" t="s">
        <v>19</v>
      </c>
      <c r="D609" s="20" t="s">
        <v>669</v>
      </c>
      <c r="E609" s="21" t="s">
        <v>1738</v>
      </c>
    </row>
    <row r="610" spans="2:5">
      <c r="B610" s="18" t="s">
        <v>401</v>
      </c>
      <c r="C610" s="19" t="s">
        <v>19</v>
      </c>
      <c r="D610" s="20" t="s">
        <v>670</v>
      </c>
      <c r="E610" s="21" t="s">
        <v>1738</v>
      </c>
    </row>
    <row r="611" spans="2:5">
      <c r="B611" s="18" t="s">
        <v>401</v>
      </c>
      <c r="C611" s="19" t="s">
        <v>19</v>
      </c>
      <c r="D611" s="20" t="s">
        <v>671</v>
      </c>
      <c r="E611" s="21" t="s">
        <v>1738</v>
      </c>
    </row>
    <row r="612" spans="2:5">
      <c r="B612" s="18" t="s">
        <v>401</v>
      </c>
      <c r="C612" s="19" t="s">
        <v>19</v>
      </c>
      <c r="D612" s="20" t="s">
        <v>672</v>
      </c>
      <c r="E612" s="21" t="s">
        <v>1738</v>
      </c>
    </row>
    <row r="613" spans="2:5">
      <c r="B613" s="18" t="s">
        <v>401</v>
      </c>
      <c r="C613" s="19" t="s">
        <v>19</v>
      </c>
      <c r="D613" s="20" t="s">
        <v>673</v>
      </c>
      <c r="E613" s="21" t="s">
        <v>1738</v>
      </c>
    </row>
    <row r="614" spans="2:5">
      <c r="B614" s="18" t="s">
        <v>401</v>
      </c>
      <c r="C614" s="19" t="s">
        <v>19</v>
      </c>
      <c r="D614" s="20" t="s">
        <v>674</v>
      </c>
      <c r="E614" s="21" t="s">
        <v>1738</v>
      </c>
    </row>
    <row r="615" spans="2:5">
      <c r="B615" s="18" t="s">
        <v>401</v>
      </c>
      <c r="C615" s="19" t="s">
        <v>19</v>
      </c>
      <c r="D615" s="20" t="s">
        <v>675</v>
      </c>
      <c r="E615" s="21" t="s">
        <v>1738</v>
      </c>
    </row>
    <row r="616" spans="2:5">
      <c r="B616" s="18" t="s">
        <v>401</v>
      </c>
      <c r="C616" s="19" t="s">
        <v>19</v>
      </c>
      <c r="D616" s="20" t="s">
        <v>676</v>
      </c>
      <c r="E616" s="21" t="s">
        <v>1738</v>
      </c>
    </row>
    <row r="617" spans="2:5">
      <c r="B617" s="18" t="s">
        <v>401</v>
      </c>
      <c r="C617" s="19" t="s">
        <v>19</v>
      </c>
      <c r="D617" s="20" t="s">
        <v>677</v>
      </c>
      <c r="E617" s="21" t="s">
        <v>1738</v>
      </c>
    </row>
    <row r="618" spans="2:5">
      <c r="B618" s="18" t="s">
        <v>401</v>
      </c>
      <c r="C618" s="19" t="s">
        <v>19</v>
      </c>
      <c r="D618" s="20" t="s">
        <v>678</v>
      </c>
      <c r="E618" s="21" t="s">
        <v>1738</v>
      </c>
    </row>
    <row r="619" spans="2:5">
      <c r="B619" s="18" t="s">
        <v>401</v>
      </c>
      <c r="C619" s="19" t="s">
        <v>19</v>
      </c>
      <c r="D619" s="20" t="s">
        <v>679</v>
      </c>
      <c r="E619" s="21" t="s">
        <v>1738</v>
      </c>
    </row>
    <row r="620" spans="2:5">
      <c r="B620" s="18" t="s">
        <v>401</v>
      </c>
      <c r="C620" s="19" t="s">
        <v>19</v>
      </c>
      <c r="D620" s="20" t="s">
        <v>680</v>
      </c>
      <c r="E620" s="21" t="s">
        <v>1738</v>
      </c>
    </row>
    <row r="621" spans="2:5">
      <c r="B621" s="18" t="s">
        <v>401</v>
      </c>
      <c r="C621" s="19" t="s">
        <v>19</v>
      </c>
      <c r="D621" s="20" t="s">
        <v>681</v>
      </c>
      <c r="E621" s="21" t="s">
        <v>1738</v>
      </c>
    </row>
    <row r="622" spans="2:5">
      <c r="B622" s="18" t="s">
        <v>401</v>
      </c>
      <c r="C622" s="19" t="s">
        <v>19</v>
      </c>
      <c r="D622" s="20" t="s">
        <v>682</v>
      </c>
      <c r="E622" s="21" t="s">
        <v>1738</v>
      </c>
    </row>
    <row r="623" spans="2:5">
      <c r="B623" s="18" t="s">
        <v>401</v>
      </c>
      <c r="C623" s="19" t="s">
        <v>19</v>
      </c>
      <c r="D623" s="20" t="s">
        <v>683</v>
      </c>
      <c r="E623" s="21" t="s">
        <v>1738</v>
      </c>
    </row>
    <row r="624" spans="2:5">
      <c r="B624" s="18" t="s">
        <v>401</v>
      </c>
      <c r="C624" s="19" t="s">
        <v>19</v>
      </c>
      <c r="D624" s="20" t="s">
        <v>684</v>
      </c>
      <c r="E624" s="21" t="s">
        <v>1738</v>
      </c>
    </row>
    <row r="625" spans="2:5">
      <c r="B625" s="18" t="s">
        <v>401</v>
      </c>
      <c r="C625" s="19" t="s">
        <v>19</v>
      </c>
      <c r="D625" s="20" t="s">
        <v>685</v>
      </c>
      <c r="E625" s="21" t="s">
        <v>1738</v>
      </c>
    </row>
    <row r="626" spans="2:5">
      <c r="B626" s="18" t="s">
        <v>401</v>
      </c>
      <c r="C626" s="19" t="s">
        <v>19</v>
      </c>
      <c r="D626" s="20" t="s">
        <v>686</v>
      </c>
      <c r="E626" s="21" t="s">
        <v>1738</v>
      </c>
    </row>
    <row r="627" spans="2:5">
      <c r="B627" s="18" t="s">
        <v>401</v>
      </c>
      <c r="C627" s="19" t="s">
        <v>19</v>
      </c>
      <c r="D627" s="20" t="s">
        <v>687</v>
      </c>
      <c r="E627" s="21" t="s">
        <v>1738</v>
      </c>
    </row>
    <row r="628" spans="2:5">
      <c r="B628" s="18" t="s">
        <v>401</v>
      </c>
      <c r="C628" s="19" t="s">
        <v>19</v>
      </c>
      <c r="D628" s="20" t="s">
        <v>688</v>
      </c>
      <c r="E628" s="21" t="s">
        <v>1738</v>
      </c>
    </row>
    <row r="629" spans="2:5">
      <c r="B629" s="18" t="s">
        <v>401</v>
      </c>
      <c r="C629" s="19" t="s">
        <v>19</v>
      </c>
      <c r="D629" s="20" t="s">
        <v>689</v>
      </c>
      <c r="E629" s="21" t="s">
        <v>1738</v>
      </c>
    </row>
    <row r="630" spans="2:5">
      <c r="B630" s="18" t="s">
        <v>401</v>
      </c>
      <c r="C630" s="19" t="s">
        <v>19</v>
      </c>
      <c r="D630" s="20" t="s">
        <v>690</v>
      </c>
      <c r="E630" s="21" t="s">
        <v>1738</v>
      </c>
    </row>
    <row r="631" spans="2:5">
      <c r="B631" s="18" t="s">
        <v>401</v>
      </c>
      <c r="C631" s="19" t="s">
        <v>19</v>
      </c>
      <c r="D631" s="20" t="s">
        <v>691</v>
      </c>
      <c r="E631" s="21" t="s">
        <v>1738</v>
      </c>
    </row>
    <row r="632" spans="2:5">
      <c r="B632" s="18" t="s">
        <v>401</v>
      </c>
      <c r="C632" s="19" t="s">
        <v>19</v>
      </c>
      <c r="D632" s="20" t="s">
        <v>692</v>
      </c>
      <c r="E632" s="21" t="s">
        <v>1738</v>
      </c>
    </row>
    <row r="633" spans="2:5">
      <c r="B633" s="18" t="s">
        <v>693</v>
      </c>
      <c r="C633" s="19" t="s">
        <v>21</v>
      </c>
      <c r="D633" s="20" t="s">
        <v>694</v>
      </c>
      <c r="E633" s="21" t="s">
        <v>1</v>
      </c>
    </row>
    <row r="634" spans="2:5">
      <c r="B634" s="18" t="s">
        <v>693</v>
      </c>
      <c r="C634" s="19" t="s">
        <v>21</v>
      </c>
      <c r="D634" s="20" t="s">
        <v>695</v>
      </c>
      <c r="E634" s="21" t="s">
        <v>1</v>
      </c>
    </row>
    <row r="635" spans="2:5">
      <c r="B635" s="18" t="s">
        <v>693</v>
      </c>
      <c r="C635" s="19" t="s">
        <v>21</v>
      </c>
      <c r="D635" s="20" t="s">
        <v>696</v>
      </c>
      <c r="E635" s="21" t="s">
        <v>1</v>
      </c>
    </row>
    <row r="636" spans="2:5">
      <c r="B636" s="18" t="s">
        <v>693</v>
      </c>
      <c r="C636" s="19" t="s">
        <v>21</v>
      </c>
      <c r="D636" s="20" t="s">
        <v>697</v>
      </c>
      <c r="E636" s="21" t="s">
        <v>1</v>
      </c>
    </row>
    <row r="637" spans="2:5">
      <c r="B637" s="18" t="s">
        <v>693</v>
      </c>
      <c r="C637" s="19" t="s">
        <v>21</v>
      </c>
      <c r="D637" s="20" t="s">
        <v>698</v>
      </c>
      <c r="E637" s="21" t="s">
        <v>1</v>
      </c>
    </row>
    <row r="638" spans="2:5">
      <c r="B638" s="18" t="s">
        <v>693</v>
      </c>
      <c r="C638" s="19" t="s">
        <v>21</v>
      </c>
      <c r="D638" s="20" t="s">
        <v>699</v>
      </c>
      <c r="E638" s="21" t="s">
        <v>1</v>
      </c>
    </row>
    <row r="639" spans="2:5">
      <c r="B639" s="18" t="s">
        <v>693</v>
      </c>
      <c r="C639" s="19" t="s">
        <v>21</v>
      </c>
      <c r="D639" s="20" t="s">
        <v>700</v>
      </c>
      <c r="E639" s="21" t="s">
        <v>1</v>
      </c>
    </row>
    <row r="640" spans="2:5">
      <c r="B640" s="18" t="s">
        <v>693</v>
      </c>
      <c r="C640" s="19" t="s">
        <v>21</v>
      </c>
      <c r="D640" s="20" t="s">
        <v>701</v>
      </c>
      <c r="E640" s="21" t="s">
        <v>1</v>
      </c>
    </row>
    <row r="641" spans="2:5">
      <c r="B641" s="18" t="s">
        <v>693</v>
      </c>
      <c r="C641" s="19" t="s">
        <v>21</v>
      </c>
      <c r="D641" s="20" t="s">
        <v>702</v>
      </c>
      <c r="E641" s="21" t="s">
        <v>1</v>
      </c>
    </row>
    <row r="642" spans="2:5">
      <c r="B642" s="18" t="s">
        <v>693</v>
      </c>
      <c r="C642" s="19" t="s">
        <v>21</v>
      </c>
      <c r="D642" s="20" t="s">
        <v>703</v>
      </c>
      <c r="E642" s="21" t="s">
        <v>1</v>
      </c>
    </row>
    <row r="643" spans="2:5">
      <c r="B643" s="18" t="s">
        <v>693</v>
      </c>
      <c r="C643" s="19" t="s">
        <v>21</v>
      </c>
      <c r="D643" s="20" t="s">
        <v>704</v>
      </c>
      <c r="E643" s="21" t="s">
        <v>1</v>
      </c>
    </row>
    <row r="644" spans="2:5">
      <c r="B644" s="18" t="s">
        <v>693</v>
      </c>
      <c r="C644" s="19" t="s">
        <v>21</v>
      </c>
      <c r="D644" s="20" t="s">
        <v>705</v>
      </c>
      <c r="E644" s="21" t="s">
        <v>1</v>
      </c>
    </row>
    <row r="645" spans="2:5">
      <c r="B645" s="18" t="s">
        <v>693</v>
      </c>
      <c r="C645" s="19" t="s">
        <v>21</v>
      </c>
      <c r="D645" s="20" t="s">
        <v>706</v>
      </c>
      <c r="E645" s="21" t="s">
        <v>1</v>
      </c>
    </row>
    <row r="646" spans="2:5">
      <c r="B646" s="18" t="s">
        <v>693</v>
      </c>
      <c r="C646" s="19" t="s">
        <v>21</v>
      </c>
      <c r="D646" s="20" t="s">
        <v>707</v>
      </c>
      <c r="E646" s="21" t="s">
        <v>1</v>
      </c>
    </row>
    <row r="647" spans="2:5">
      <c r="B647" s="18" t="s">
        <v>693</v>
      </c>
      <c r="C647" s="19" t="s">
        <v>21</v>
      </c>
      <c r="D647" s="20" t="s">
        <v>708</v>
      </c>
      <c r="E647" s="21" t="s">
        <v>1</v>
      </c>
    </row>
    <row r="648" spans="2:5">
      <c r="B648" s="18" t="s">
        <v>693</v>
      </c>
      <c r="C648" s="19" t="s">
        <v>21</v>
      </c>
      <c r="D648" s="20" t="s">
        <v>709</v>
      </c>
      <c r="E648" s="21" t="s">
        <v>1</v>
      </c>
    </row>
    <row r="649" spans="2:5">
      <c r="B649" s="18" t="s">
        <v>693</v>
      </c>
      <c r="C649" s="19" t="s">
        <v>21</v>
      </c>
      <c r="D649" s="20" t="s">
        <v>710</v>
      </c>
      <c r="E649" s="21" t="s">
        <v>1</v>
      </c>
    </row>
    <row r="650" spans="2:5">
      <c r="B650" s="18" t="s">
        <v>693</v>
      </c>
      <c r="C650" s="19" t="s">
        <v>21</v>
      </c>
      <c r="D650" s="20" t="s">
        <v>711</v>
      </c>
      <c r="E650" s="21" t="s">
        <v>1</v>
      </c>
    </row>
    <row r="651" spans="2:5">
      <c r="B651" s="18" t="s">
        <v>693</v>
      </c>
      <c r="C651" s="19" t="s">
        <v>21</v>
      </c>
      <c r="D651" s="20" t="s">
        <v>712</v>
      </c>
      <c r="E651" s="21" t="s">
        <v>1</v>
      </c>
    </row>
    <row r="652" spans="2:5">
      <c r="B652" s="18" t="s">
        <v>693</v>
      </c>
      <c r="C652" s="19" t="s">
        <v>21</v>
      </c>
      <c r="D652" s="20" t="s">
        <v>713</v>
      </c>
      <c r="E652" s="21" t="s">
        <v>1738</v>
      </c>
    </row>
    <row r="653" spans="2:5">
      <c r="B653" s="18" t="s">
        <v>693</v>
      </c>
      <c r="C653" s="19" t="s">
        <v>21</v>
      </c>
      <c r="D653" s="20" t="s">
        <v>714</v>
      </c>
      <c r="E653" s="21" t="s">
        <v>1738</v>
      </c>
    </row>
    <row r="654" spans="2:5">
      <c r="B654" s="18" t="s">
        <v>693</v>
      </c>
      <c r="C654" s="19" t="s">
        <v>21</v>
      </c>
      <c r="D654" s="20" t="s">
        <v>715</v>
      </c>
      <c r="E654" s="21" t="s">
        <v>1738</v>
      </c>
    </row>
    <row r="655" spans="2:5">
      <c r="B655" s="18" t="s">
        <v>693</v>
      </c>
      <c r="C655" s="19" t="s">
        <v>21</v>
      </c>
      <c r="D655" s="20" t="s">
        <v>716</v>
      </c>
      <c r="E655" s="21" t="s">
        <v>1</v>
      </c>
    </row>
    <row r="656" spans="2:5">
      <c r="B656" s="18" t="s">
        <v>693</v>
      </c>
      <c r="C656" s="19" t="s">
        <v>21</v>
      </c>
      <c r="D656" s="20" t="s">
        <v>717</v>
      </c>
      <c r="E656" s="21" t="s">
        <v>1</v>
      </c>
    </row>
    <row r="657" spans="2:5">
      <c r="B657" s="18" t="s">
        <v>693</v>
      </c>
      <c r="C657" s="19" t="s">
        <v>21</v>
      </c>
      <c r="D657" s="20" t="s">
        <v>718</v>
      </c>
      <c r="E657" s="21" t="s">
        <v>1</v>
      </c>
    </row>
    <row r="658" spans="2:5">
      <c r="B658" s="18" t="s">
        <v>693</v>
      </c>
      <c r="C658" s="19" t="s">
        <v>21</v>
      </c>
      <c r="D658" s="20" t="s">
        <v>719</v>
      </c>
      <c r="E658" s="21" t="s">
        <v>1</v>
      </c>
    </row>
    <row r="659" spans="2:5">
      <c r="B659" s="18" t="s">
        <v>693</v>
      </c>
      <c r="C659" s="19" t="s">
        <v>21</v>
      </c>
      <c r="D659" s="20" t="s">
        <v>720</v>
      </c>
      <c r="E659" s="21" t="s">
        <v>1</v>
      </c>
    </row>
    <row r="660" spans="2:5">
      <c r="B660" s="18" t="s">
        <v>693</v>
      </c>
      <c r="C660" s="19" t="s">
        <v>21</v>
      </c>
      <c r="D660" s="20" t="s">
        <v>721</v>
      </c>
      <c r="E660" s="21" t="s">
        <v>1</v>
      </c>
    </row>
    <row r="661" spans="2:5">
      <c r="B661" s="18" t="s">
        <v>693</v>
      </c>
      <c r="C661" s="19" t="s">
        <v>21</v>
      </c>
      <c r="D661" s="20" t="s">
        <v>722</v>
      </c>
      <c r="E661" s="21" t="s">
        <v>1</v>
      </c>
    </row>
    <row r="662" spans="2:5">
      <c r="B662" s="18" t="s">
        <v>693</v>
      </c>
      <c r="C662" s="19" t="s">
        <v>21</v>
      </c>
      <c r="D662" s="20" t="s">
        <v>723</v>
      </c>
      <c r="E662" s="21" t="s">
        <v>1</v>
      </c>
    </row>
    <row r="663" spans="2:5">
      <c r="B663" s="18" t="s">
        <v>693</v>
      </c>
      <c r="C663" s="19" t="s">
        <v>21</v>
      </c>
      <c r="D663" s="20" t="s">
        <v>724</v>
      </c>
      <c r="E663" s="21" t="s">
        <v>1</v>
      </c>
    </row>
    <row r="664" spans="2:5">
      <c r="B664" s="18" t="s">
        <v>693</v>
      </c>
      <c r="C664" s="19" t="s">
        <v>21</v>
      </c>
      <c r="D664" s="20" t="s">
        <v>725</v>
      </c>
      <c r="E664" s="21" t="s">
        <v>1</v>
      </c>
    </row>
    <row r="665" spans="2:5">
      <c r="B665" s="18" t="s">
        <v>693</v>
      </c>
      <c r="C665" s="19" t="s">
        <v>21</v>
      </c>
      <c r="D665" s="20" t="s">
        <v>726</v>
      </c>
      <c r="E665" s="21" t="s">
        <v>1</v>
      </c>
    </row>
    <row r="666" spans="2:5">
      <c r="B666" s="18" t="s">
        <v>693</v>
      </c>
      <c r="C666" s="19" t="s">
        <v>21</v>
      </c>
      <c r="D666" s="20" t="s">
        <v>727</v>
      </c>
      <c r="E666" s="21" t="s">
        <v>1</v>
      </c>
    </row>
    <row r="667" spans="2:5">
      <c r="B667" s="18" t="s">
        <v>693</v>
      </c>
      <c r="C667" s="19" t="s">
        <v>21</v>
      </c>
      <c r="D667" s="20" t="s">
        <v>728</v>
      </c>
      <c r="E667" s="21" t="s">
        <v>1</v>
      </c>
    </row>
    <row r="668" spans="2:5">
      <c r="B668" s="18" t="s">
        <v>693</v>
      </c>
      <c r="C668" s="19" t="s">
        <v>21</v>
      </c>
      <c r="D668" s="20" t="s">
        <v>729</v>
      </c>
      <c r="E668" s="21" t="s">
        <v>1</v>
      </c>
    </row>
    <row r="669" spans="2:5">
      <c r="B669" s="18" t="s">
        <v>693</v>
      </c>
      <c r="C669" s="19" t="s">
        <v>21</v>
      </c>
      <c r="D669" s="20" t="s">
        <v>730</v>
      </c>
      <c r="E669" s="21" t="s">
        <v>1</v>
      </c>
    </row>
    <row r="670" spans="2:5">
      <c r="B670" s="18" t="s">
        <v>693</v>
      </c>
      <c r="C670" s="19" t="s">
        <v>21</v>
      </c>
      <c r="D670" s="20" t="s">
        <v>731</v>
      </c>
      <c r="E670" s="21" t="s">
        <v>1</v>
      </c>
    </row>
    <row r="671" spans="2:5">
      <c r="B671" s="18" t="s">
        <v>693</v>
      </c>
      <c r="C671" s="19" t="s">
        <v>21</v>
      </c>
      <c r="D671" s="20" t="s">
        <v>732</v>
      </c>
      <c r="E671" s="21" t="s">
        <v>1</v>
      </c>
    </row>
    <row r="672" spans="2:5">
      <c r="B672" s="18" t="s">
        <v>693</v>
      </c>
      <c r="C672" s="19" t="s">
        <v>21</v>
      </c>
      <c r="D672" s="20" t="s">
        <v>733</v>
      </c>
      <c r="E672" s="21" t="s">
        <v>1</v>
      </c>
    </row>
    <row r="673" spans="2:5">
      <c r="B673" s="18" t="s">
        <v>693</v>
      </c>
      <c r="C673" s="19" t="s">
        <v>21</v>
      </c>
      <c r="D673" s="20" t="s">
        <v>734</v>
      </c>
      <c r="E673" s="21" t="s">
        <v>1</v>
      </c>
    </row>
    <row r="674" spans="2:5">
      <c r="B674" s="18" t="s">
        <v>693</v>
      </c>
      <c r="C674" s="19" t="s">
        <v>21</v>
      </c>
      <c r="D674" s="20" t="s">
        <v>735</v>
      </c>
      <c r="E674" s="21" t="s">
        <v>1</v>
      </c>
    </row>
    <row r="675" spans="2:5">
      <c r="B675" s="18" t="s">
        <v>693</v>
      </c>
      <c r="C675" s="19" t="s">
        <v>21</v>
      </c>
      <c r="D675" s="20" t="s">
        <v>736</v>
      </c>
      <c r="E675" s="21" t="s">
        <v>1</v>
      </c>
    </row>
    <row r="676" spans="2:5">
      <c r="B676" s="18" t="s">
        <v>693</v>
      </c>
      <c r="C676" s="19" t="s">
        <v>21</v>
      </c>
      <c r="D676" s="20" t="s">
        <v>737</v>
      </c>
      <c r="E676" s="21" t="s">
        <v>1</v>
      </c>
    </row>
    <row r="677" spans="2:5">
      <c r="B677" s="18" t="s">
        <v>693</v>
      </c>
      <c r="C677" s="19" t="s">
        <v>21</v>
      </c>
      <c r="D677" s="20" t="s">
        <v>738</v>
      </c>
      <c r="E677" s="21" t="s">
        <v>1</v>
      </c>
    </row>
    <row r="678" spans="2:5">
      <c r="B678" s="18" t="s">
        <v>693</v>
      </c>
      <c r="C678" s="19" t="s">
        <v>21</v>
      </c>
      <c r="D678" s="20" t="s">
        <v>739</v>
      </c>
      <c r="E678" s="21" t="s">
        <v>1</v>
      </c>
    </row>
    <row r="679" spans="2:5">
      <c r="B679" s="18" t="s">
        <v>693</v>
      </c>
      <c r="C679" s="19" t="s">
        <v>21</v>
      </c>
      <c r="D679" s="20" t="s">
        <v>740</v>
      </c>
      <c r="E679" s="21" t="s">
        <v>1</v>
      </c>
    </row>
    <row r="680" spans="2:5">
      <c r="B680" s="18" t="s">
        <v>693</v>
      </c>
      <c r="C680" s="19" t="s">
        <v>21</v>
      </c>
      <c r="D680" s="20" t="s">
        <v>741</v>
      </c>
      <c r="E680" s="21" t="s">
        <v>1</v>
      </c>
    </row>
    <row r="681" spans="2:5">
      <c r="B681" s="18" t="s">
        <v>693</v>
      </c>
      <c r="C681" s="19" t="s">
        <v>21</v>
      </c>
      <c r="D681" s="20" t="s">
        <v>742</v>
      </c>
      <c r="E681" s="21" t="s">
        <v>1</v>
      </c>
    </row>
    <row r="682" spans="2:5">
      <c r="B682" s="18" t="s">
        <v>693</v>
      </c>
      <c r="C682" s="19" t="s">
        <v>21</v>
      </c>
      <c r="D682" s="20" t="s">
        <v>743</v>
      </c>
      <c r="E682" s="21" t="s">
        <v>1</v>
      </c>
    </row>
    <row r="683" spans="2:5">
      <c r="B683" s="18" t="s">
        <v>693</v>
      </c>
      <c r="C683" s="19" t="s">
        <v>21</v>
      </c>
      <c r="D683" s="20" t="s">
        <v>744</v>
      </c>
      <c r="E683" s="21" t="s">
        <v>1</v>
      </c>
    </row>
    <row r="684" spans="2:5">
      <c r="B684" s="18" t="s">
        <v>693</v>
      </c>
      <c r="C684" s="19" t="s">
        <v>21</v>
      </c>
      <c r="D684" s="20" t="s">
        <v>745</v>
      </c>
      <c r="E684" s="21" t="s">
        <v>1</v>
      </c>
    </row>
    <row r="685" spans="2:5">
      <c r="B685" s="18" t="s">
        <v>693</v>
      </c>
      <c r="C685" s="19" t="s">
        <v>21</v>
      </c>
      <c r="D685" s="20" t="s">
        <v>746</v>
      </c>
      <c r="E685" s="21" t="s">
        <v>1</v>
      </c>
    </row>
    <row r="686" spans="2:5">
      <c r="B686" s="18" t="s">
        <v>693</v>
      </c>
      <c r="C686" s="19" t="s">
        <v>21</v>
      </c>
      <c r="D686" s="20" t="s">
        <v>747</v>
      </c>
      <c r="E686" s="21" t="s">
        <v>1</v>
      </c>
    </row>
    <row r="687" spans="2:5">
      <c r="B687" s="18" t="s">
        <v>693</v>
      </c>
      <c r="C687" s="19" t="s">
        <v>21</v>
      </c>
      <c r="D687" s="20" t="s">
        <v>748</v>
      </c>
      <c r="E687" s="21" t="s">
        <v>1</v>
      </c>
    </row>
    <row r="688" spans="2:5">
      <c r="B688" s="18" t="s">
        <v>693</v>
      </c>
      <c r="C688" s="19" t="s">
        <v>21</v>
      </c>
      <c r="D688" s="20" t="s">
        <v>749</v>
      </c>
      <c r="E688" s="21" t="s">
        <v>1</v>
      </c>
    </row>
    <row r="689" spans="2:5">
      <c r="B689" s="18" t="s">
        <v>693</v>
      </c>
      <c r="C689" s="19" t="s">
        <v>21</v>
      </c>
      <c r="D689" s="20" t="s">
        <v>750</v>
      </c>
      <c r="E689" s="21" t="s">
        <v>1</v>
      </c>
    </row>
    <row r="690" spans="2:5">
      <c r="B690" s="18" t="s">
        <v>693</v>
      </c>
      <c r="C690" s="19" t="s">
        <v>21</v>
      </c>
      <c r="D690" s="20" t="s">
        <v>751</v>
      </c>
      <c r="E690" s="21" t="s">
        <v>1</v>
      </c>
    </row>
    <row r="691" spans="2:5">
      <c r="B691" s="18" t="s">
        <v>693</v>
      </c>
      <c r="C691" s="19" t="s">
        <v>21</v>
      </c>
      <c r="D691" s="20" t="s">
        <v>752</v>
      </c>
      <c r="E691" s="21" t="s">
        <v>1</v>
      </c>
    </row>
    <row r="692" spans="2:5">
      <c r="B692" s="18" t="s">
        <v>693</v>
      </c>
      <c r="C692" s="19" t="s">
        <v>21</v>
      </c>
      <c r="D692" s="20" t="s">
        <v>753</v>
      </c>
      <c r="E692" s="21" t="s">
        <v>1</v>
      </c>
    </row>
    <row r="693" spans="2:5">
      <c r="B693" s="18" t="s">
        <v>693</v>
      </c>
      <c r="C693" s="19" t="s">
        <v>21</v>
      </c>
      <c r="D693" s="20" t="s">
        <v>754</v>
      </c>
      <c r="E693" s="21" t="s">
        <v>1</v>
      </c>
    </row>
    <row r="694" spans="2:5">
      <c r="B694" s="18" t="s">
        <v>693</v>
      </c>
      <c r="C694" s="19" t="s">
        <v>21</v>
      </c>
      <c r="D694" s="20" t="s">
        <v>755</v>
      </c>
      <c r="E694" s="21" t="s">
        <v>1</v>
      </c>
    </row>
    <row r="695" spans="2:5">
      <c r="B695" s="18" t="s">
        <v>693</v>
      </c>
      <c r="C695" s="19" t="s">
        <v>21</v>
      </c>
      <c r="D695" s="20" t="s">
        <v>756</v>
      </c>
      <c r="E695" s="21" t="s">
        <v>1</v>
      </c>
    </row>
    <row r="696" spans="2:5">
      <c r="B696" s="18" t="s">
        <v>693</v>
      </c>
      <c r="C696" s="19" t="s">
        <v>21</v>
      </c>
      <c r="D696" s="20" t="s">
        <v>757</v>
      </c>
      <c r="E696" s="21" t="s">
        <v>1</v>
      </c>
    </row>
    <row r="697" spans="2:5">
      <c r="B697" s="18" t="s">
        <v>693</v>
      </c>
      <c r="C697" s="19" t="s">
        <v>21</v>
      </c>
      <c r="D697" s="20" t="s">
        <v>758</v>
      </c>
      <c r="E697" s="21" t="s">
        <v>1</v>
      </c>
    </row>
    <row r="698" spans="2:5">
      <c r="B698" s="18" t="s">
        <v>693</v>
      </c>
      <c r="C698" s="19" t="s">
        <v>21</v>
      </c>
      <c r="D698" s="20" t="s">
        <v>759</v>
      </c>
      <c r="E698" s="21" t="s">
        <v>1</v>
      </c>
    </row>
    <row r="699" spans="2:5">
      <c r="B699" s="18" t="s">
        <v>693</v>
      </c>
      <c r="C699" s="19" t="s">
        <v>21</v>
      </c>
      <c r="D699" s="20" t="s">
        <v>760</v>
      </c>
      <c r="E699" s="21" t="s">
        <v>1</v>
      </c>
    </row>
    <row r="700" spans="2:5">
      <c r="B700" s="18" t="s">
        <v>693</v>
      </c>
      <c r="C700" s="19" t="s">
        <v>21</v>
      </c>
      <c r="D700" s="20" t="s">
        <v>761</v>
      </c>
      <c r="E700" s="21" t="s">
        <v>1</v>
      </c>
    </row>
    <row r="701" spans="2:5">
      <c r="B701" s="18" t="s">
        <v>693</v>
      </c>
      <c r="C701" s="19" t="s">
        <v>21</v>
      </c>
      <c r="D701" s="20" t="s">
        <v>762</v>
      </c>
      <c r="E701" s="21" t="s">
        <v>1</v>
      </c>
    </row>
    <row r="702" spans="2:5">
      <c r="B702" s="18" t="s">
        <v>693</v>
      </c>
      <c r="C702" s="19" t="s">
        <v>21</v>
      </c>
      <c r="D702" s="20" t="s">
        <v>763</v>
      </c>
      <c r="E702" s="21" t="s">
        <v>1</v>
      </c>
    </row>
    <row r="703" spans="2:5">
      <c r="B703" s="18" t="s">
        <v>693</v>
      </c>
      <c r="C703" s="19" t="s">
        <v>21</v>
      </c>
      <c r="D703" s="20" t="s">
        <v>764</v>
      </c>
      <c r="E703" s="21" t="s">
        <v>1</v>
      </c>
    </row>
    <row r="704" spans="2:5">
      <c r="B704" s="18" t="s">
        <v>693</v>
      </c>
      <c r="C704" s="19" t="s">
        <v>21</v>
      </c>
      <c r="D704" s="20" t="s">
        <v>765</v>
      </c>
      <c r="E704" s="21" t="s">
        <v>1</v>
      </c>
    </row>
    <row r="705" spans="2:5">
      <c r="B705" s="18" t="s">
        <v>693</v>
      </c>
      <c r="C705" s="19" t="s">
        <v>21</v>
      </c>
      <c r="D705" s="20" t="s">
        <v>766</v>
      </c>
      <c r="E705" s="21" t="s">
        <v>1</v>
      </c>
    </row>
    <row r="706" spans="2:5">
      <c r="B706" s="18" t="s">
        <v>693</v>
      </c>
      <c r="C706" s="19" t="s">
        <v>21</v>
      </c>
      <c r="D706" s="20" t="s">
        <v>767</v>
      </c>
      <c r="E706" s="21" t="s">
        <v>1</v>
      </c>
    </row>
    <row r="707" spans="2:5">
      <c r="B707" s="18" t="s">
        <v>693</v>
      </c>
      <c r="C707" s="19" t="s">
        <v>21</v>
      </c>
      <c r="D707" s="20" t="s">
        <v>768</v>
      </c>
      <c r="E707" s="21" t="s">
        <v>1</v>
      </c>
    </row>
    <row r="708" spans="2:5">
      <c r="B708" s="18" t="s">
        <v>693</v>
      </c>
      <c r="C708" s="19" t="s">
        <v>21</v>
      </c>
      <c r="D708" s="20" t="s">
        <v>769</v>
      </c>
      <c r="E708" s="21" t="s">
        <v>1</v>
      </c>
    </row>
    <row r="709" spans="2:5">
      <c r="B709" s="18" t="s">
        <v>693</v>
      </c>
      <c r="C709" s="19" t="s">
        <v>21</v>
      </c>
      <c r="D709" s="20" t="s">
        <v>770</v>
      </c>
      <c r="E709" s="21" t="s">
        <v>1</v>
      </c>
    </row>
    <row r="710" spans="2:5">
      <c r="B710" s="18" t="s">
        <v>693</v>
      </c>
      <c r="C710" s="19" t="s">
        <v>21</v>
      </c>
      <c r="D710" s="20" t="s">
        <v>771</v>
      </c>
      <c r="E710" s="21" t="s">
        <v>1</v>
      </c>
    </row>
    <row r="711" spans="2:5">
      <c r="B711" s="18" t="s">
        <v>693</v>
      </c>
      <c r="C711" s="19" t="s">
        <v>21</v>
      </c>
      <c r="D711" s="20" t="s">
        <v>772</v>
      </c>
      <c r="E711" s="21" t="s">
        <v>1</v>
      </c>
    </row>
    <row r="712" spans="2:5">
      <c r="B712" s="18" t="s">
        <v>693</v>
      </c>
      <c r="C712" s="19" t="s">
        <v>21</v>
      </c>
      <c r="D712" s="20" t="s">
        <v>773</v>
      </c>
      <c r="E712" s="21" t="s">
        <v>1</v>
      </c>
    </row>
    <row r="713" spans="2:5">
      <c r="B713" s="18" t="s">
        <v>693</v>
      </c>
      <c r="C713" s="19" t="s">
        <v>21</v>
      </c>
      <c r="D713" s="20" t="s">
        <v>774</v>
      </c>
      <c r="E713" s="21" t="s">
        <v>1</v>
      </c>
    </row>
    <row r="714" spans="2:5">
      <c r="B714" s="18" t="s">
        <v>693</v>
      </c>
      <c r="C714" s="19" t="s">
        <v>21</v>
      </c>
      <c r="D714" s="20" t="s">
        <v>775</v>
      </c>
      <c r="E714" s="21" t="s">
        <v>1</v>
      </c>
    </row>
    <row r="715" spans="2:5">
      <c r="B715" s="18" t="s">
        <v>693</v>
      </c>
      <c r="C715" s="19" t="s">
        <v>21</v>
      </c>
      <c r="D715" s="20" t="s">
        <v>776</v>
      </c>
      <c r="E715" s="21" t="s">
        <v>1</v>
      </c>
    </row>
    <row r="716" spans="2:5">
      <c r="B716" s="18" t="s">
        <v>693</v>
      </c>
      <c r="C716" s="19" t="s">
        <v>21</v>
      </c>
      <c r="D716" s="20" t="s">
        <v>777</v>
      </c>
      <c r="E716" s="21" t="s">
        <v>1</v>
      </c>
    </row>
    <row r="717" spans="2:5">
      <c r="B717" s="18" t="s">
        <v>693</v>
      </c>
      <c r="C717" s="19" t="s">
        <v>21</v>
      </c>
      <c r="D717" s="20" t="s">
        <v>778</v>
      </c>
      <c r="E717" s="21" t="s">
        <v>1</v>
      </c>
    </row>
    <row r="718" spans="2:5">
      <c r="B718" s="18" t="s">
        <v>693</v>
      </c>
      <c r="C718" s="19" t="s">
        <v>21</v>
      </c>
      <c r="D718" s="20" t="s">
        <v>779</v>
      </c>
      <c r="E718" s="21" t="s">
        <v>1</v>
      </c>
    </row>
    <row r="719" spans="2:5">
      <c r="B719" s="18" t="s">
        <v>693</v>
      </c>
      <c r="C719" s="19" t="s">
        <v>21</v>
      </c>
      <c r="D719" s="20" t="s">
        <v>780</v>
      </c>
      <c r="E719" s="21" t="s">
        <v>1</v>
      </c>
    </row>
    <row r="720" spans="2:5">
      <c r="B720" s="18" t="s">
        <v>693</v>
      </c>
      <c r="C720" s="19" t="s">
        <v>21</v>
      </c>
      <c r="D720" s="20" t="s">
        <v>781</v>
      </c>
      <c r="E720" s="21" t="s">
        <v>1</v>
      </c>
    </row>
    <row r="721" spans="2:5">
      <c r="B721" s="18" t="s">
        <v>693</v>
      </c>
      <c r="C721" s="19" t="s">
        <v>21</v>
      </c>
      <c r="D721" s="20" t="s">
        <v>782</v>
      </c>
      <c r="E721" s="21" t="s">
        <v>1</v>
      </c>
    </row>
    <row r="722" spans="2:5">
      <c r="B722" s="18" t="s">
        <v>693</v>
      </c>
      <c r="C722" s="19" t="s">
        <v>21</v>
      </c>
      <c r="D722" s="20" t="s">
        <v>783</v>
      </c>
      <c r="E722" s="21" t="s">
        <v>1</v>
      </c>
    </row>
    <row r="723" spans="2:5">
      <c r="B723" s="18" t="s">
        <v>693</v>
      </c>
      <c r="C723" s="19" t="s">
        <v>21</v>
      </c>
      <c r="D723" s="20" t="s">
        <v>784</v>
      </c>
      <c r="E723" s="21" t="s">
        <v>1</v>
      </c>
    </row>
    <row r="724" spans="2:5">
      <c r="B724" s="18" t="s">
        <v>693</v>
      </c>
      <c r="C724" s="19" t="s">
        <v>21</v>
      </c>
      <c r="D724" s="20" t="s">
        <v>785</v>
      </c>
      <c r="E724" s="21" t="s">
        <v>1</v>
      </c>
    </row>
    <row r="725" spans="2:5">
      <c r="B725" s="18" t="s">
        <v>693</v>
      </c>
      <c r="C725" s="19" t="s">
        <v>21</v>
      </c>
      <c r="D725" s="20" t="s">
        <v>786</v>
      </c>
      <c r="E725" s="21" t="s">
        <v>1</v>
      </c>
    </row>
    <row r="726" spans="2:5">
      <c r="B726" s="18" t="s">
        <v>693</v>
      </c>
      <c r="C726" s="19" t="s">
        <v>21</v>
      </c>
      <c r="D726" s="20" t="s">
        <v>787</v>
      </c>
      <c r="E726" s="21" t="s">
        <v>1</v>
      </c>
    </row>
    <row r="727" spans="2:5">
      <c r="B727" s="18" t="s">
        <v>693</v>
      </c>
      <c r="C727" s="19" t="s">
        <v>21</v>
      </c>
      <c r="D727" s="20" t="s">
        <v>788</v>
      </c>
      <c r="E727" s="21" t="s">
        <v>1</v>
      </c>
    </row>
    <row r="728" spans="2:5">
      <c r="B728" s="18" t="s">
        <v>693</v>
      </c>
      <c r="C728" s="19" t="s">
        <v>21</v>
      </c>
      <c r="D728" s="20" t="s">
        <v>789</v>
      </c>
      <c r="E728" s="21" t="s">
        <v>1</v>
      </c>
    </row>
    <row r="729" spans="2:5">
      <c r="B729" s="18" t="s">
        <v>693</v>
      </c>
      <c r="C729" s="19" t="s">
        <v>21</v>
      </c>
      <c r="D729" s="20" t="s">
        <v>790</v>
      </c>
      <c r="E729" s="21" t="s">
        <v>1</v>
      </c>
    </row>
    <row r="730" spans="2:5">
      <c r="B730" s="18" t="s">
        <v>693</v>
      </c>
      <c r="C730" s="19" t="s">
        <v>21</v>
      </c>
      <c r="D730" s="20" t="s">
        <v>791</v>
      </c>
      <c r="E730" s="21" t="s">
        <v>1</v>
      </c>
    </row>
    <row r="731" spans="2:5">
      <c r="B731" s="18" t="s">
        <v>693</v>
      </c>
      <c r="C731" s="19" t="s">
        <v>21</v>
      </c>
      <c r="D731" s="20" t="s">
        <v>792</v>
      </c>
      <c r="E731" s="21" t="s">
        <v>1</v>
      </c>
    </row>
    <row r="732" spans="2:5">
      <c r="B732" s="18" t="s">
        <v>693</v>
      </c>
      <c r="C732" s="19" t="s">
        <v>21</v>
      </c>
      <c r="D732" s="20" t="s">
        <v>793</v>
      </c>
      <c r="E732" s="21" t="s">
        <v>1</v>
      </c>
    </row>
    <row r="733" spans="2:5">
      <c r="B733" s="18" t="s">
        <v>693</v>
      </c>
      <c r="C733" s="19" t="s">
        <v>21</v>
      </c>
      <c r="D733" s="20" t="s">
        <v>794</v>
      </c>
      <c r="E733" s="21" t="s">
        <v>1</v>
      </c>
    </row>
    <row r="734" spans="2:5">
      <c r="B734" s="18" t="s">
        <v>693</v>
      </c>
      <c r="C734" s="19" t="s">
        <v>21</v>
      </c>
      <c r="D734" s="20" t="s">
        <v>795</v>
      </c>
      <c r="E734" s="21" t="s">
        <v>1</v>
      </c>
    </row>
    <row r="735" spans="2:5">
      <c r="B735" s="18" t="s">
        <v>693</v>
      </c>
      <c r="C735" s="19" t="s">
        <v>21</v>
      </c>
      <c r="D735" s="20" t="s">
        <v>796</v>
      </c>
      <c r="E735" s="21" t="s">
        <v>1</v>
      </c>
    </row>
    <row r="736" spans="2:5">
      <c r="B736" s="18" t="s">
        <v>693</v>
      </c>
      <c r="C736" s="19" t="s">
        <v>21</v>
      </c>
      <c r="D736" s="20" t="s">
        <v>797</v>
      </c>
      <c r="E736" s="21" t="s">
        <v>1</v>
      </c>
    </row>
    <row r="737" spans="2:5">
      <c r="B737" s="18" t="s">
        <v>693</v>
      </c>
      <c r="C737" s="19" t="s">
        <v>21</v>
      </c>
      <c r="D737" s="20" t="s">
        <v>798</v>
      </c>
      <c r="E737" s="21" t="s">
        <v>1</v>
      </c>
    </row>
    <row r="738" spans="2:5">
      <c r="B738" s="18" t="s">
        <v>693</v>
      </c>
      <c r="C738" s="19" t="s">
        <v>21</v>
      </c>
      <c r="D738" s="20" t="s">
        <v>799</v>
      </c>
      <c r="E738" s="21" t="s">
        <v>1</v>
      </c>
    </row>
    <row r="739" spans="2:5">
      <c r="B739" s="18" t="s">
        <v>693</v>
      </c>
      <c r="C739" s="19" t="s">
        <v>21</v>
      </c>
      <c r="D739" s="20" t="s">
        <v>800</v>
      </c>
      <c r="E739" s="21" t="s">
        <v>1</v>
      </c>
    </row>
    <row r="740" spans="2:5">
      <c r="B740" s="18" t="s">
        <v>693</v>
      </c>
      <c r="C740" s="19" t="s">
        <v>21</v>
      </c>
      <c r="D740" s="20" t="s">
        <v>801</v>
      </c>
      <c r="E740" s="21" t="s">
        <v>1</v>
      </c>
    </row>
    <row r="741" spans="2:5">
      <c r="B741" s="18" t="s">
        <v>693</v>
      </c>
      <c r="C741" s="19" t="s">
        <v>21</v>
      </c>
      <c r="D741" s="20" t="s">
        <v>802</v>
      </c>
      <c r="E741" s="21" t="s">
        <v>1</v>
      </c>
    </row>
    <row r="742" spans="2:5">
      <c r="B742" s="18" t="s">
        <v>693</v>
      </c>
      <c r="C742" s="19" t="s">
        <v>21</v>
      </c>
      <c r="D742" s="20" t="s">
        <v>803</v>
      </c>
      <c r="E742" s="21" t="s">
        <v>1</v>
      </c>
    </row>
    <row r="743" spans="2:5">
      <c r="B743" s="18" t="s">
        <v>693</v>
      </c>
      <c r="C743" s="19" t="s">
        <v>21</v>
      </c>
      <c r="D743" s="20" t="s">
        <v>804</v>
      </c>
      <c r="E743" s="21" t="s">
        <v>1</v>
      </c>
    </row>
    <row r="744" spans="2:5">
      <c r="B744" s="18" t="s">
        <v>693</v>
      </c>
      <c r="C744" s="19" t="s">
        <v>21</v>
      </c>
      <c r="D744" s="20" t="s">
        <v>805</v>
      </c>
      <c r="E744" s="21" t="s">
        <v>1</v>
      </c>
    </row>
    <row r="745" spans="2:5">
      <c r="B745" s="18" t="s">
        <v>693</v>
      </c>
      <c r="C745" s="19" t="s">
        <v>21</v>
      </c>
      <c r="D745" s="20" t="s">
        <v>806</v>
      </c>
      <c r="E745" s="21" t="s">
        <v>1</v>
      </c>
    </row>
    <row r="746" spans="2:5">
      <c r="B746" s="18" t="s">
        <v>693</v>
      </c>
      <c r="C746" s="19" t="s">
        <v>21</v>
      </c>
      <c r="D746" s="20" t="s">
        <v>807</v>
      </c>
      <c r="E746" s="21" t="s">
        <v>1</v>
      </c>
    </row>
    <row r="747" spans="2:5">
      <c r="B747" s="18" t="s">
        <v>693</v>
      </c>
      <c r="C747" s="19" t="s">
        <v>21</v>
      </c>
      <c r="D747" s="20" t="s">
        <v>808</v>
      </c>
      <c r="E747" s="21" t="s">
        <v>1</v>
      </c>
    </row>
    <row r="748" spans="2:5">
      <c r="B748" s="18" t="s">
        <v>693</v>
      </c>
      <c r="C748" s="19" t="s">
        <v>21</v>
      </c>
      <c r="D748" s="20" t="s">
        <v>809</v>
      </c>
      <c r="E748" s="21" t="s">
        <v>1</v>
      </c>
    </row>
    <row r="749" spans="2:5">
      <c r="B749" s="18" t="s">
        <v>693</v>
      </c>
      <c r="C749" s="19" t="s">
        <v>21</v>
      </c>
      <c r="D749" s="20" t="s">
        <v>810</v>
      </c>
      <c r="E749" s="21" t="s">
        <v>1</v>
      </c>
    </row>
    <row r="750" spans="2:5">
      <c r="B750" s="18" t="s">
        <v>693</v>
      </c>
      <c r="C750" s="19" t="s">
        <v>21</v>
      </c>
      <c r="D750" s="20" t="s">
        <v>811</v>
      </c>
      <c r="E750" s="21" t="s">
        <v>1</v>
      </c>
    </row>
    <row r="751" spans="2:5">
      <c r="B751" s="18" t="s">
        <v>693</v>
      </c>
      <c r="C751" s="19" t="s">
        <v>21</v>
      </c>
      <c r="D751" s="20" t="s">
        <v>812</v>
      </c>
      <c r="E751" s="21" t="s">
        <v>1</v>
      </c>
    </row>
    <row r="752" spans="2:5">
      <c r="B752" s="18" t="s">
        <v>693</v>
      </c>
      <c r="C752" s="19" t="s">
        <v>21</v>
      </c>
      <c r="D752" s="20" t="s">
        <v>813</v>
      </c>
      <c r="E752" s="21" t="s">
        <v>1</v>
      </c>
    </row>
    <row r="753" spans="2:5">
      <c r="B753" s="18" t="s">
        <v>693</v>
      </c>
      <c r="C753" s="19" t="s">
        <v>21</v>
      </c>
      <c r="D753" s="20" t="s">
        <v>814</v>
      </c>
      <c r="E753" s="21" t="s">
        <v>1</v>
      </c>
    </row>
    <row r="754" spans="2:5">
      <c r="B754" s="18" t="s">
        <v>693</v>
      </c>
      <c r="C754" s="19" t="s">
        <v>21</v>
      </c>
      <c r="D754" s="20" t="s">
        <v>815</v>
      </c>
      <c r="E754" s="21" t="s">
        <v>1</v>
      </c>
    </row>
    <row r="755" spans="2:5">
      <c r="B755" s="18" t="s">
        <v>693</v>
      </c>
      <c r="C755" s="19" t="s">
        <v>21</v>
      </c>
      <c r="D755" s="20" t="s">
        <v>816</v>
      </c>
      <c r="E755" s="21" t="s">
        <v>1</v>
      </c>
    </row>
    <row r="756" spans="2:5">
      <c r="B756" s="18" t="s">
        <v>693</v>
      </c>
      <c r="C756" s="19" t="s">
        <v>21</v>
      </c>
      <c r="D756" s="20" t="s">
        <v>817</v>
      </c>
      <c r="E756" s="21" t="s">
        <v>1</v>
      </c>
    </row>
    <row r="757" spans="2:5">
      <c r="B757" s="18" t="s">
        <v>693</v>
      </c>
      <c r="C757" s="19" t="s">
        <v>21</v>
      </c>
      <c r="D757" s="20" t="s">
        <v>818</v>
      </c>
      <c r="E757" s="21" t="s">
        <v>1</v>
      </c>
    </row>
    <row r="758" spans="2:5">
      <c r="B758" s="18" t="s">
        <v>693</v>
      </c>
      <c r="C758" s="19" t="s">
        <v>21</v>
      </c>
      <c r="D758" s="20" t="s">
        <v>819</v>
      </c>
      <c r="E758" s="21" t="s">
        <v>1</v>
      </c>
    </row>
    <row r="759" spans="2:5">
      <c r="B759" s="18" t="s">
        <v>693</v>
      </c>
      <c r="C759" s="19" t="s">
        <v>21</v>
      </c>
      <c r="D759" s="20" t="s">
        <v>820</v>
      </c>
      <c r="E759" s="21" t="s">
        <v>1</v>
      </c>
    </row>
    <row r="760" spans="2:5">
      <c r="B760" s="18" t="s">
        <v>693</v>
      </c>
      <c r="C760" s="19" t="s">
        <v>21</v>
      </c>
      <c r="D760" s="20" t="s">
        <v>821</v>
      </c>
      <c r="E760" s="21" t="s">
        <v>1</v>
      </c>
    </row>
    <row r="761" spans="2:5">
      <c r="B761" s="18" t="s">
        <v>693</v>
      </c>
      <c r="C761" s="19" t="s">
        <v>21</v>
      </c>
      <c r="D761" s="20" t="s">
        <v>822</v>
      </c>
      <c r="E761" s="21" t="s">
        <v>1</v>
      </c>
    </row>
    <row r="762" spans="2:5">
      <c r="B762" s="18" t="s">
        <v>693</v>
      </c>
      <c r="C762" s="19" t="s">
        <v>21</v>
      </c>
      <c r="D762" s="20" t="s">
        <v>823</v>
      </c>
      <c r="E762" s="21" t="s">
        <v>1</v>
      </c>
    </row>
    <row r="763" spans="2:5">
      <c r="B763" s="18" t="s">
        <v>693</v>
      </c>
      <c r="C763" s="19" t="s">
        <v>21</v>
      </c>
      <c r="D763" s="20" t="s">
        <v>824</v>
      </c>
      <c r="E763" s="21" t="s">
        <v>1</v>
      </c>
    </row>
    <row r="764" spans="2:5">
      <c r="B764" s="18" t="s">
        <v>693</v>
      </c>
      <c r="C764" s="19" t="s">
        <v>21</v>
      </c>
      <c r="D764" s="20" t="s">
        <v>825</v>
      </c>
      <c r="E764" s="21" t="s">
        <v>1</v>
      </c>
    </row>
    <row r="765" spans="2:5">
      <c r="B765" s="18" t="s">
        <v>693</v>
      </c>
      <c r="C765" s="19" t="s">
        <v>21</v>
      </c>
      <c r="D765" s="20" t="s">
        <v>826</v>
      </c>
      <c r="E765" s="21" t="s">
        <v>1</v>
      </c>
    </row>
    <row r="766" spans="2:5">
      <c r="B766" s="18" t="s">
        <v>693</v>
      </c>
      <c r="C766" s="19" t="s">
        <v>21</v>
      </c>
      <c r="D766" s="20" t="s">
        <v>827</v>
      </c>
      <c r="E766" s="21" t="s">
        <v>1</v>
      </c>
    </row>
    <row r="767" spans="2:5">
      <c r="B767" s="18" t="s">
        <v>693</v>
      </c>
      <c r="C767" s="19" t="s">
        <v>21</v>
      </c>
      <c r="D767" s="20" t="s">
        <v>828</v>
      </c>
      <c r="E767" s="21" t="s">
        <v>1</v>
      </c>
    </row>
    <row r="768" spans="2:5">
      <c r="B768" s="18" t="s">
        <v>693</v>
      </c>
      <c r="C768" s="19" t="s">
        <v>21</v>
      </c>
      <c r="D768" s="20" t="s">
        <v>829</v>
      </c>
      <c r="E768" s="21" t="s">
        <v>1</v>
      </c>
    </row>
    <row r="769" spans="2:5">
      <c r="B769" s="18" t="s">
        <v>693</v>
      </c>
      <c r="C769" s="19" t="s">
        <v>21</v>
      </c>
      <c r="D769" s="20" t="s">
        <v>830</v>
      </c>
      <c r="E769" s="21" t="s">
        <v>1</v>
      </c>
    </row>
    <row r="770" spans="2:5">
      <c r="B770" s="18" t="s">
        <v>693</v>
      </c>
      <c r="C770" s="19" t="s">
        <v>21</v>
      </c>
      <c r="D770" s="20" t="s">
        <v>831</v>
      </c>
      <c r="E770" s="21" t="s">
        <v>1</v>
      </c>
    </row>
    <row r="771" spans="2:5">
      <c r="B771" s="18" t="s">
        <v>693</v>
      </c>
      <c r="C771" s="19" t="s">
        <v>21</v>
      </c>
      <c r="D771" s="20" t="s">
        <v>832</v>
      </c>
      <c r="E771" s="21" t="s">
        <v>1</v>
      </c>
    </row>
    <row r="772" spans="2:5">
      <c r="B772" s="18" t="s">
        <v>693</v>
      </c>
      <c r="C772" s="19" t="s">
        <v>21</v>
      </c>
      <c r="D772" s="20" t="s">
        <v>833</v>
      </c>
      <c r="E772" s="21" t="s">
        <v>1</v>
      </c>
    </row>
    <row r="773" spans="2:5">
      <c r="B773" s="18" t="s">
        <v>693</v>
      </c>
      <c r="C773" s="19" t="s">
        <v>21</v>
      </c>
      <c r="D773" s="20" t="s">
        <v>834</v>
      </c>
      <c r="E773" s="21" t="s">
        <v>1</v>
      </c>
    </row>
    <row r="774" spans="2:5">
      <c r="B774" s="18" t="s">
        <v>693</v>
      </c>
      <c r="C774" s="19" t="s">
        <v>21</v>
      </c>
      <c r="D774" s="20" t="s">
        <v>835</v>
      </c>
      <c r="E774" s="21" t="s">
        <v>1</v>
      </c>
    </row>
    <row r="775" spans="2:5">
      <c r="B775" s="18" t="s">
        <v>693</v>
      </c>
      <c r="C775" s="19" t="s">
        <v>21</v>
      </c>
      <c r="D775" s="20" t="s">
        <v>836</v>
      </c>
      <c r="E775" s="21" t="s">
        <v>1</v>
      </c>
    </row>
    <row r="776" spans="2:5">
      <c r="B776" s="18" t="s">
        <v>693</v>
      </c>
      <c r="C776" s="19" t="s">
        <v>21</v>
      </c>
      <c r="D776" s="20" t="s">
        <v>837</v>
      </c>
      <c r="E776" s="21" t="s">
        <v>1</v>
      </c>
    </row>
    <row r="777" spans="2:5">
      <c r="B777" s="18" t="s">
        <v>693</v>
      </c>
      <c r="C777" s="19" t="s">
        <v>21</v>
      </c>
      <c r="D777" s="20" t="s">
        <v>838</v>
      </c>
      <c r="E777" s="21" t="s">
        <v>1</v>
      </c>
    </row>
    <row r="778" spans="2:5">
      <c r="B778" s="18" t="s">
        <v>693</v>
      </c>
      <c r="C778" s="19" t="s">
        <v>21</v>
      </c>
      <c r="D778" s="20" t="s">
        <v>839</v>
      </c>
      <c r="E778" s="21" t="s">
        <v>1</v>
      </c>
    </row>
    <row r="779" spans="2:5">
      <c r="B779" s="18" t="s">
        <v>693</v>
      </c>
      <c r="C779" s="19" t="s">
        <v>21</v>
      </c>
      <c r="D779" s="20" t="s">
        <v>840</v>
      </c>
      <c r="E779" s="21" t="s">
        <v>1</v>
      </c>
    </row>
    <row r="780" spans="2:5">
      <c r="B780" s="18" t="s">
        <v>693</v>
      </c>
      <c r="C780" s="19" t="s">
        <v>21</v>
      </c>
      <c r="D780" s="20" t="s">
        <v>841</v>
      </c>
      <c r="E780" s="21" t="s">
        <v>1</v>
      </c>
    </row>
    <row r="781" spans="2:5">
      <c r="B781" s="18" t="s">
        <v>693</v>
      </c>
      <c r="C781" s="19" t="s">
        <v>21</v>
      </c>
      <c r="D781" s="20" t="s">
        <v>842</v>
      </c>
      <c r="E781" s="21" t="s">
        <v>1</v>
      </c>
    </row>
    <row r="782" spans="2:5">
      <c r="B782" s="18" t="s">
        <v>693</v>
      </c>
      <c r="C782" s="19" t="s">
        <v>21</v>
      </c>
      <c r="D782" s="20" t="s">
        <v>843</v>
      </c>
      <c r="E782" s="21" t="s">
        <v>1</v>
      </c>
    </row>
    <row r="783" spans="2:5">
      <c r="B783" s="18" t="s">
        <v>693</v>
      </c>
      <c r="C783" s="19" t="s">
        <v>21</v>
      </c>
      <c r="D783" s="20" t="s">
        <v>844</v>
      </c>
      <c r="E783" s="21" t="s">
        <v>1</v>
      </c>
    </row>
    <row r="784" spans="2:5">
      <c r="B784" s="18" t="s">
        <v>693</v>
      </c>
      <c r="C784" s="19" t="s">
        <v>21</v>
      </c>
      <c r="D784" s="20" t="s">
        <v>845</v>
      </c>
      <c r="E784" s="21" t="s">
        <v>1</v>
      </c>
    </row>
    <row r="785" spans="2:5">
      <c r="B785" s="18" t="s">
        <v>693</v>
      </c>
      <c r="C785" s="19" t="s">
        <v>21</v>
      </c>
      <c r="D785" s="20" t="s">
        <v>846</v>
      </c>
      <c r="E785" s="21" t="s">
        <v>1</v>
      </c>
    </row>
    <row r="786" spans="2:5">
      <c r="B786" s="18" t="s">
        <v>693</v>
      </c>
      <c r="C786" s="19" t="s">
        <v>21</v>
      </c>
      <c r="D786" s="20" t="s">
        <v>847</v>
      </c>
      <c r="E786" s="21" t="s">
        <v>1</v>
      </c>
    </row>
    <row r="787" spans="2:5">
      <c r="B787" s="18" t="s">
        <v>693</v>
      </c>
      <c r="C787" s="19" t="s">
        <v>21</v>
      </c>
      <c r="D787" s="20" t="s">
        <v>848</v>
      </c>
      <c r="E787" s="21" t="s">
        <v>1</v>
      </c>
    </row>
    <row r="788" spans="2:5">
      <c r="B788" s="18" t="s">
        <v>693</v>
      </c>
      <c r="C788" s="19" t="s">
        <v>21</v>
      </c>
      <c r="D788" s="20" t="s">
        <v>849</v>
      </c>
      <c r="E788" s="21" t="s">
        <v>1</v>
      </c>
    </row>
    <row r="789" spans="2:5">
      <c r="B789" s="18" t="s">
        <v>693</v>
      </c>
      <c r="C789" s="19" t="s">
        <v>21</v>
      </c>
      <c r="D789" s="20" t="s">
        <v>850</v>
      </c>
      <c r="E789" s="21" t="s">
        <v>1</v>
      </c>
    </row>
    <row r="790" spans="2:5">
      <c r="B790" s="18" t="s">
        <v>693</v>
      </c>
      <c r="C790" s="19" t="s">
        <v>21</v>
      </c>
      <c r="D790" s="20" t="s">
        <v>851</v>
      </c>
      <c r="E790" s="21" t="s">
        <v>1</v>
      </c>
    </row>
    <row r="791" spans="2:5">
      <c r="B791" s="18" t="s">
        <v>693</v>
      </c>
      <c r="C791" s="19" t="s">
        <v>21</v>
      </c>
      <c r="D791" s="20" t="s">
        <v>852</v>
      </c>
      <c r="E791" s="21" t="s">
        <v>1</v>
      </c>
    </row>
    <row r="792" spans="2:5">
      <c r="B792" s="18" t="s">
        <v>693</v>
      </c>
      <c r="C792" s="19" t="s">
        <v>21</v>
      </c>
      <c r="D792" s="20" t="s">
        <v>853</v>
      </c>
      <c r="E792" s="21" t="s">
        <v>1</v>
      </c>
    </row>
    <row r="793" spans="2:5">
      <c r="B793" s="18" t="s">
        <v>693</v>
      </c>
      <c r="C793" s="19" t="s">
        <v>21</v>
      </c>
      <c r="D793" s="20" t="s">
        <v>854</v>
      </c>
      <c r="E793" s="21" t="s">
        <v>1</v>
      </c>
    </row>
    <row r="794" spans="2:5">
      <c r="B794" s="18" t="s">
        <v>693</v>
      </c>
      <c r="C794" s="19" t="s">
        <v>21</v>
      </c>
      <c r="D794" s="20" t="s">
        <v>855</v>
      </c>
      <c r="E794" s="21" t="s">
        <v>1</v>
      </c>
    </row>
    <row r="795" spans="2:5">
      <c r="B795" s="18" t="s">
        <v>693</v>
      </c>
      <c r="C795" s="19" t="s">
        <v>21</v>
      </c>
      <c r="D795" s="20" t="s">
        <v>856</v>
      </c>
      <c r="E795" s="21" t="s">
        <v>1</v>
      </c>
    </row>
    <row r="796" spans="2:5">
      <c r="B796" s="18" t="s">
        <v>693</v>
      </c>
      <c r="C796" s="19" t="s">
        <v>21</v>
      </c>
      <c r="D796" s="20" t="s">
        <v>857</v>
      </c>
      <c r="E796" s="21" t="s">
        <v>1</v>
      </c>
    </row>
    <row r="797" spans="2:5">
      <c r="B797" s="18" t="s">
        <v>693</v>
      </c>
      <c r="C797" s="19" t="s">
        <v>21</v>
      </c>
      <c r="D797" s="20" t="s">
        <v>858</v>
      </c>
      <c r="E797" s="21" t="s">
        <v>1</v>
      </c>
    </row>
    <row r="798" spans="2:5">
      <c r="B798" s="18" t="s">
        <v>693</v>
      </c>
      <c r="C798" s="19" t="s">
        <v>21</v>
      </c>
      <c r="D798" s="20" t="s">
        <v>859</v>
      </c>
      <c r="E798" s="21" t="s">
        <v>1</v>
      </c>
    </row>
    <row r="799" spans="2:5">
      <c r="B799" s="18" t="s">
        <v>693</v>
      </c>
      <c r="C799" s="19" t="s">
        <v>21</v>
      </c>
      <c r="D799" s="20" t="s">
        <v>20</v>
      </c>
      <c r="E799" s="21" t="s">
        <v>1</v>
      </c>
    </row>
    <row r="800" spans="2:5">
      <c r="B800" s="18" t="s">
        <v>693</v>
      </c>
      <c r="C800" s="19" t="s">
        <v>21</v>
      </c>
      <c r="D800" s="20" t="s">
        <v>860</v>
      </c>
      <c r="E800" s="21" t="s">
        <v>1</v>
      </c>
    </row>
    <row r="801" spans="2:5">
      <c r="B801" s="18" t="s">
        <v>693</v>
      </c>
      <c r="C801" s="19" t="s">
        <v>21</v>
      </c>
      <c r="D801" s="20" t="s">
        <v>861</v>
      </c>
      <c r="E801" s="21" t="s">
        <v>1</v>
      </c>
    </row>
    <row r="802" spans="2:5">
      <c r="B802" s="18" t="s">
        <v>693</v>
      </c>
      <c r="C802" s="19" t="s">
        <v>21</v>
      </c>
      <c r="D802" s="20" t="s">
        <v>862</v>
      </c>
      <c r="E802" s="21" t="s">
        <v>1</v>
      </c>
    </row>
    <row r="803" spans="2:5">
      <c r="B803" s="18" t="s">
        <v>693</v>
      </c>
      <c r="C803" s="19" t="s">
        <v>21</v>
      </c>
      <c r="D803" s="20" t="s">
        <v>863</v>
      </c>
      <c r="E803" s="21" t="s">
        <v>1738</v>
      </c>
    </row>
    <row r="804" spans="2:5">
      <c r="B804" s="18" t="s">
        <v>693</v>
      </c>
      <c r="C804" s="19" t="s">
        <v>21</v>
      </c>
      <c r="D804" s="20" t="s">
        <v>864</v>
      </c>
      <c r="E804" s="21" t="s">
        <v>1738</v>
      </c>
    </row>
    <row r="805" spans="2:5">
      <c r="B805" s="18" t="s">
        <v>693</v>
      </c>
      <c r="C805" s="19" t="s">
        <v>21</v>
      </c>
      <c r="D805" s="20" t="s">
        <v>865</v>
      </c>
      <c r="E805" s="21" t="s">
        <v>1738</v>
      </c>
    </row>
    <row r="806" spans="2:5">
      <c r="B806" s="18" t="s">
        <v>693</v>
      </c>
      <c r="C806" s="19" t="s">
        <v>21</v>
      </c>
      <c r="D806" s="20" t="s">
        <v>866</v>
      </c>
      <c r="E806" s="21" t="s">
        <v>1</v>
      </c>
    </row>
    <row r="807" spans="2:5">
      <c r="B807" s="18" t="s">
        <v>693</v>
      </c>
      <c r="C807" s="19" t="s">
        <v>21</v>
      </c>
      <c r="D807" s="20" t="s">
        <v>867</v>
      </c>
      <c r="E807" s="21" t="s">
        <v>1</v>
      </c>
    </row>
    <row r="808" spans="2:5">
      <c r="B808" s="18" t="s">
        <v>693</v>
      </c>
      <c r="C808" s="19" t="s">
        <v>21</v>
      </c>
      <c r="D808" s="20" t="s">
        <v>868</v>
      </c>
      <c r="E808" s="21" t="s">
        <v>1</v>
      </c>
    </row>
    <row r="809" spans="2:5">
      <c r="B809" s="18" t="s">
        <v>693</v>
      </c>
      <c r="C809" s="19" t="s">
        <v>21</v>
      </c>
      <c r="D809" s="20" t="s">
        <v>869</v>
      </c>
      <c r="E809" s="21" t="s">
        <v>1</v>
      </c>
    </row>
    <row r="810" spans="2:5">
      <c r="B810" s="18" t="s">
        <v>693</v>
      </c>
      <c r="C810" s="19" t="s">
        <v>21</v>
      </c>
      <c r="D810" s="20" t="s">
        <v>870</v>
      </c>
      <c r="E810" s="21" t="s">
        <v>1</v>
      </c>
    </row>
    <row r="811" spans="2:5">
      <c r="B811" s="18" t="s">
        <v>693</v>
      </c>
      <c r="C811" s="19" t="s">
        <v>21</v>
      </c>
      <c r="D811" s="20" t="s">
        <v>871</v>
      </c>
      <c r="E811" s="21" t="s">
        <v>1</v>
      </c>
    </row>
    <row r="812" spans="2:5">
      <c r="B812" s="18" t="s">
        <v>693</v>
      </c>
      <c r="C812" s="19" t="s">
        <v>21</v>
      </c>
      <c r="D812" s="20" t="s">
        <v>872</v>
      </c>
      <c r="E812" s="21" t="s">
        <v>1</v>
      </c>
    </row>
    <row r="813" spans="2:5">
      <c r="B813" s="18" t="s">
        <v>693</v>
      </c>
      <c r="C813" s="19" t="s">
        <v>21</v>
      </c>
      <c r="D813" s="20" t="s">
        <v>873</v>
      </c>
      <c r="E813" s="21" t="s">
        <v>1</v>
      </c>
    </row>
    <row r="814" spans="2:5">
      <c r="B814" s="18" t="s">
        <v>693</v>
      </c>
      <c r="C814" s="19" t="s">
        <v>21</v>
      </c>
      <c r="D814" s="20" t="s">
        <v>874</v>
      </c>
      <c r="E814" s="21" t="s">
        <v>1</v>
      </c>
    </row>
    <row r="815" spans="2:5">
      <c r="B815" s="18" t="s">
        <v>693</v>
      </c>
      <c r="C815" s="19" t="s">
        <v>21</v>
      </c>
      <c r="D815" s="20" t="s">
        <v>875</v>
      </c>
      <c r="E815" s="21" t="s">
        <v>1</v>
      </c>
    </row>
    <row r="816" spans="2:5">
      <c r="B816" s="18" t="s">
        <v>693</v>
      </c>
      <c r="C816" s="19" t="s">
        <v>21</v>
      </c>
      <c r="D816" s="20" t="s">
        <v>876</v>
      </c>
      <c r="E816" s="21" t="s">
        <v>1</v>
      </c>
    </row>
    <row r="817" spans="2:5">
      <c r="B817" s="18" t="s">
        <v>693</v>
      </c>
      <c r="C817" s="19" t="s">
        <v>21</v>
      </c>
      <c r="D817" s="20" t="s">
        <v>877</v>
      </c>
      <c r="E817" s="21" t="s">
        <v>1</v>
      </c>
    </row>
    <row r="818" spans="2:5">
      <c r="B818" s="18" t="s">
        <v>693</v>
      </c>
      <c r="C818" s="19" t="s">
        <v>21</v>
      </c>
      <c r="D818" s="20" t="s">
        <v>878</v>
      </c>
      <c r="E818" s="21" t="s">
        <v>1</v>
      </c>
    </row>
    <row r="819" spans="2:5">
      <c r="B819" s="18" t="s">
        <v>693</v>
      </c>
      <c r="C819" s="19" t="s">
        <v>21</v>
      </c>
      <c r="D819" s="20" t="s">
        <v>879</v>
      </c>
      <c r="E819" s="21" t="s">
        <v>1</v>
      </c>
    </row>
    <row r="820" spans="2:5">
      <c r="B820" s="18" t="s">
        <v>693</v>
      </c>
      <c r="C820" s="19" t="s">
        <v>21</v>
      </c>
      <c r="D820" s="20" t="s">
        <v>880</v>
      </c>
      <c r="E820" s="21" t="s">
        <v>1</v>
      </c>
    </row>
    <row r="821" spans="2:5">
      <c r="B821" s="18" t="s">
        <v>693</v>
      </c>
      <c r="C821" s="19" t="s">
        <v>21</v>
      </c>
      <c r="D821" s="20" t="s">
        <v>881</v>
      </c>
      <c r="E821" s="21" t="s">
        <v>1</v>
      </c>
    </row>
    <row r="822" spans="2:5">
      <c r="B822" s="18" t="s">
        <v>693</v>
      </c>
      <c r="C822" s="19" t="s">
        <v>21</v>
      </c>
      <c r="D822" s="20" t="s">
        <v>882</v>
      </c>
      <c r="E822" s="21" t="s">
        <v>1</v>
      </c>
    </row>
    <row r="823" spans="2:5">
      <c r="B823" s="18" t="s">
        <v>693</v>
      </c>
      <c r="C823" s="19" t="s">
        <v>21</v>
      </c>
      <c r="D823" s="20" t="s">
        <v>883</v>
      </c>
      <c r="E823" s="21" t="s">
        <v>1</v>
      </c>
    </row>
    <row r="824" spans="2:5">
      <c r="B824" s="18" t="s">
        <v>693</v>
      </c>
      <c r="C824" s="19" t="s">
        <v>21</v>
      </c>
      <c r="D824" s="20" t="s">
        <v>884</v>
      </c>
      <c r="E824" s="21" t="s">
        <v>1</v>
      </c>
    </row>
    <row r="825" spans="2:5">
      <c r="B825" s="18" t="s">
        <v>693</v>
      </c>
      <c r="C825" s="19" t="s">
        <v>21</v>
      </c>
      <c r="D825" s="20" t="s">
        <v>885</v>
      </c>
      <c r="E825" s="21" t="s">
        <v>1</v>
      </c>
    </row>
    <row r="826" spans="2:5">
      <c r="B826" s="18" t="s">
        <v>693</v>
      </c>
      <c r="C826" s="19" t="s">
        <v>21</v>
      </c>
      <c r="D826" s="20" t="s">
        <v>886</v>
      </c>
      <c r="E826" s="21" t="s">
        <v>1</v>
      </c>
    </row>
    <row r="827" spans="2:5">
      <c r="B827" s="18" t="s">
        <v>693</v>
      </c>
      <c r="C827" s="19" t="s">
        <v>21</v>
      </c>
      <c r="D827" s="20" t="s">
        <v>887</v>
      </c>
      <c r="E827" s="21" t="s">
        <v>1</v>
      </c>
    </row>
    <row r="828" spans="2:5">
      <c r="B828" s="18" t="s">
        <v>693</v>
      </c>
      <c r="C828" s="19" t="s">
        <v>21</v>
      </c>
      <c r="D828" s="20" t="s">
        <v>888</v>
      </c>
      <c r="E828" s="21" t="s">
        <v>1</v>
      </c>
    </row>
    <row r="829" spans="2:5">
      <c r="B829" s="18" t="s">
        <v>693</v>
      </c>
      <c r="C829" s="19" t="s">
        <v>21</v>
      </c>
      <c r="D829" s="20" t="s">
        <v>889</v>
      </c>
      <c r="E829" s="21" t="s">
        <v>1</v>
      </c>
    </row>
    <row r="830" spans="2:5">
      <c r="B830" s="18" t="s">
        <v>693</v>
      </c>
      <c r="C830" s="19" t="s">
        <v>21</v>
      </c>
      <c r="D830" s="20" t="s">
        <v>890</v>
      </c>
      <c r="E830" s="21" t="s">
        <v>1</v>
      </c>
    </row>
    <row r="831" spans="2:5">
      <c r="B831" s="18" t="s">
        <v>693</v>
      </c>
      <c r="C831" s="19" t="s">
        <v>21</v>
      </c>
      <c r="D831" s="20" t="s">
        <v>891</v>
      </c>
      <c r="E831" s="21" t="s">
        <v>1</v>
      </c>
    </row>
    <row r="832" spans="2:5">
      <c r="B832" s="18" t="s">
        <v>693</v>
      </c>
      <c r="C832" s="19" t="s">
        <v>21</v>
      </c>
      <c r="D832" s="20" t="s">
        <v>892</v>
      </c>
      <c r="E832" s="21" t="s">
        <v>1</v>
      </c>
    </row>
    <row r="833" spans="2:5">
      <c r="B833" s="18" t="s">
        <v>693</v>
      </c>
      <c r="C833" s="19" t="s">
        <v>21</v>
      </c>
      <c r="D833" s="20" t="s">
        <v>893</v>
      </c>
      <c r="E833" s="21" t="s">
        <v>1</v>
      </c>
    </row>
    <row r="834" spans="2:5">
      <c r="B834" s="18" t="s">
        <v>693</v>
      </c>
      <c r="C834" s="19" t="s">
        <v>21</v>
      </c>
      <c r="D834" s="20" t="s">
        <v>894</v>
      </c>
      <c r="E834" s="21" t="s">
        <v>1</v>
      </c>
    </row>
    <row r="835" spans="2:5">
      <c r="B835" s="18" t="s">
        <v>693</v>
      </c>
      <c r="C835" s="19" t="s">
        <v>21</v>
      </c>
      <c r="D835" s="20" t="s">
        <v>895</v>
      </c>
      <c r="E835" s="21" t="s">
        <v>1</v>
      </c>
    </row>
    <row r="836" spans="2:5">
      <c r="B836" s="18" t="s">
        <v>693</v>
      </c>
      <c r="C836" s="19" t="s">
        <v>21</v>
      </c>
      <c r="D836" s="20" t="s">
        <v>896</v>
      </c>
      <c r="E836" s="21" t="s">
        <v>1</v>
      </c>
    </row>
    <row r="837" spans="2:5">
      <c r="B837" s="18" t="s">
        <v>693</v>
      </c>
      <c r="C837" s="19" t="s">
        <v>21</v>
      </c>
      <c r="D837" s="20" t="s">
        <v>897</v>
      </c>
      <c r="E837" s="21" t="s">
        <v>1</v>
      </c>
    </row>
    <row r="838" spans="2:5">
      <c r="B838" s="18" t="s">
        <v>693</v>
      </c>
      <c r="C838" s="19" t="s">
        <v>21</v>
      </c>
      <c r="D838" s="20" t="s">
        <v>898</v>
      </c>
      <c r="E838" s="21" t="s">
        <v>1</v>
      </c>
    </row>
    <row r="839" spans="2:5">
      <c r="B839" s="18" t="s">
        <v>693</v>
      </c>
      <c r="C839" s="19" t="s">
        <v>21</v>
      </c>
      <c r="D839" s="20" t="s">
        <v>899</v>
      </c>
      <c r="E839" s="21" t="s">
        <v>1</v>
      </c>
    </row>
    <row r="840" spans="2:5">
      <c r="B840" s="18" t="s">
        <v>693</v>
      </c>
      <c r="C840" s="19" t="s">
        <v>21</v>
      </c>
      <c r="D840" s="20" t="s">
        <v>900</v>
      </c>
      <c r="E840" s="21" t="s">
        <v>1</v>
      </c>
    </row>
    <row r="841" spans="2:5">
      <c r="B841" s="18" t="s">
        <v>693</v>
      </c>
      <c r="C841" s="19" t="s">
        <v>21</v>
      </c>
      <c r="D841" s="20" t="s">
        <v>901</v>
      </c>
      <c r="E841" s="21" t="s">
        <v>1</v>
      </c>
    </row>
    <row r="842" spans="2:5">
      <c r="B842" s="18" t="s">
        <v>693</v>
      </c>
      <c r="C842" s="19" t="s">
        <v>21</v>
      </c>
      <c r="D842" s="20" t="s">
        <v>902</v>
      </c>
      <c r="E842" s="21" t="s">
        <v>1</v>
      </c>
    </row>
    <row r="843" spans="2:5">
      <c r="B843" s="18" t="s">
        <v>693</v>
      </c>
      <c r="C843" s="19" t="s">
        <v>21</v>
      </c>
      <c r="D843" s="20" t="s">
        <v>903</v>
      </c>
      <c r="E843" s="21" t="s">
        <v>1</v>
      </c>
    </row>
    <row r="844" spans="2:5">
      <c r="B844" s="18" t="s">
        <v>693</v>
      </c>
      <c r="C844" s="19" t="s">
        <v>21</v>
      </c>
      <c r="D844" s="20" t="s">
        <v>904</v>
      </c>
      <c r="E844" s="21" t="s">
        <v>1</v>
      </c>
    </row>
    <row r="845" spans="2:5">
      <c r="B845" s="18" t="s">
        <v>693</v>
      </c>
      <c r="C845" s="19" t="s">
        <v>21</v>
      </c>
      <c r="D845" s="20" t="s">
        <v>905</v>
      </c>
      <c r="E845" s="21" t="s">
        <v>1</v>
      </c>
    </row>
    <row r="846" spans="2:5">
      <c r="B846" s="18" t="s">
        <v>693</v>
      </c>
      <c r="C846" s="19" t="s">
        <v>21</v>
      </c>
      <c r="D846" s="20" t="s">
        <v>906</v>
      </c>
      <c r="E846" s="21" t="s">
        <v>1</v>
      </c>
    </row>
    <row r="847" spans="2:5">
      <c r="B847" s="18" t="s">
        <v>693</v>
      </c>
      <c r="C847" s="19" t="s">
        <v>21</v>
      </c>
      <c r="D847" s="20" t="s">
        <v>907</v>
      </c>
      <c r="E847" s="21" t="s">
        <v>1</v>
      </c>
    </row>
    <row r="848" spans="2:5">
      <c r="B848" s="18" t="s">
        <v>693</v>
      </c>
      <c r="C848" s="19" t="s">
        <v>21</v>
      </c>
      <c r="D848" s="20" t="s">
        <v>908</v>
      </c>
      <c r="E848" s="21" t="s">
        <v>1</v>
      </c>
    </row>
    <row r="849" spans="2:5">
      <c r="B849" s="18" t="s">
        <v>693</v>
      </c>
      <c r="C849" s="19" t="s">
        <v>21</v>
      </c>
      <c r="D849" s="20" t="s">
        <v>909</v>
      </c>
      <c r="E849" s="21" t="s">
        <v>1</v>
      </c>
    </row>
    <row r="850" spans="2:5">
      <c r="B850" s="18" t="s">
        <v>693</v>
      </c>
      <c r="C850" s="19" t="s">
        <v>21</v>
      </c>
      <c r="D850" s="20" t="s">
        <v>910</v>
      </c>
      <c r="E850" s="21" t="s">
        <v>1</v>
      </c>
    </row>
    <row r="851" spans="2:5">
      <c r="B851" s="18" t="s">
        <v>693</v>
      </c>
      <c r="C851" s="19" t="s">
        <v>21</v>
      </c>
      <c r="D851" s="20" t="s">
        <v>911</v>
      </c>
      <c r="E851" s="21" t="s">
        <v>1</v>
      </c>
    </row>
    <row r="852" spans="2:5">
      <c r="B852" s="18" t="s">
        <v>693</v>
      </c>
      <c r="C852" s="19" t="s">
        <v>21</v>
      </c>
      <c r="D852" s="20" t="s">
        <v>912</v>
      </c>
      <c r="E852" s="21" t="s">
        <v>1</v>
      </c>
    </row>
    <row r="853" spans="2:5">
      <c r="B853" s="18" t="s">
        <v>693</v>
      </c>
      <c r="C853" s="19" t="s">
        <v>21</v>
      </c>
      <c r="D853" s="20" t="s">
        <v>913</v>
      </c>
      <c r="E853" s="21" t="s">
        <v>1</v>
      </c>
    </row>
    <row r="854" spans="2:5">
      <c r="B854" s="18" t="s">
        <v>693</v>
      </c>
      <c r="C854" s="19" t="s">
        <v>21</v>
      </c>
      <c r="D854" s="20" t="s">
        <v>914</v>
      </c>
      <c r="E854" s="21" t="s">
        <v>1</v>
      </c>
    </row>
    <row r="855" spans="2:5">
      <c r="B855" s="18" t="s">
        <v>693</v>
      </c>
      <c r="C855" s="19" t="s">
        <v>21</v>
      </c>
      <c r="D855" s="20" t="s">
        <v>915</v>
      </c>
      <c r="E855" s="21" t="s">
        <v>1</v>
      </c>
    </row>
    <row r="856" spans="2:5">
      <c r="B856" s="18" t="s">
        <v>693</v>
      </c>
      <c r="C856" s="19" t="s">
        <v>21</v>
      </c>
      <c r="D856" s="20" t="s">
        <v>916</v>
      </c>
      <c r="E856" s="21" t="s">
        <v>1</v>
      </c>
    </row>
    <row r="857" spans="2:5">
      <c r="B857" s="18" t="s">
        <v>693</v>
      </c>
      <c r="C857" s="19" t="s">
        <v>21</v>
      </c>
      <c r="D857" s="20" t="s">
        <v>917</v>
      </c>
      <c r="E857" s="21" t="s">
        <v>1</v>
      </c>
    </row>
    <row r="858" spans="2:5">
      <c r="B858" s="18" t="s">
        <v>693</v>
      </c>
      <c r="C858" s="19" t="s">
        <v>21</v>
      </c>
      <c r="D858" s="20" t="s">
        <v>918</v>
      </c>
      <c r="E858" s="21" t="s">
        <v>1</v>
      </c>
    </row>
    <row r="859" spans="2:5">
      <c r="B859" s="18" t="s">
        <v>693</v>
      </c>
      <c r="C859" s="19" t="s">
        <v>21</v>
      </c>
      <c r="D859" s="20" t="s">
        <v>919</v>
      </c>
      <c r="E859" s="21" t="s">
        <v>1</v>
      </c>
    </row>
    <row r="860" spans="2:5">
      <c r="B860" s="18" t="s">
        <v>693</v>
      </c>
      <c r="C860" s="19" t="s">
        <v>21</v>
      </c>
      <c r="D860" s="20" t="s">
        <v>920</v>
      </c>
      <c r="E860" s="21" t="s">
        <v>1</v>
      </c>
    </row>
    <row r="861" spans="2:5">
      <c r="B861" s="18" t="s">
        <v>693</v>
      </c>
      <c r="C861" s="19" t="s">
        <v>21</v>
      </c>
      <c r="D861" s="20" t="s">
        <v>921</v>
      </c>
      <c r="E861" s="21" t="s">
        <v>1</v>
      </c>
    </row>
    <row r="862" spans="2:5">
      <c r="B862" s="18" t="s">
        <v>693</v>
      </c>
      <c r="C862" s="19" t="s">
        <v>21</v>
      </c>
      <c r="D862" s="20" t="s">
        <v>922</v>
      </c>
      <c r="E862" s="21" t="s">
        <v>1</v>
      </c>
    </row>
    <row r="863" spans="2:5">
      <c r="B863" s="18" t="s">
        <v>693</v>
      </c>
      <c r="C863" s="19" t="s">
        <v>21</v>
      </c>
      <c r="D863" s="20" t="s">
        <v>923</v>
      </c>
      <c r="E863" s="21" t="s">
        <v>1</v>
      </c>
    </row>
    <row r="864" spans="2:5">
      <c r="B864" s="18" t="s">
        <v>693</v>
      </c>
      <c r="C864" s="19" t="s">
        <v>21</v>
      </c>
      <c r="D864" s="20" t="s">
        <v>924</v>
      </c>
      <c r="E864" s="21" t="s">
        <v>1</v>
      </c>
    </row>
    <row r="865" spans="2:5">
      <c r="B865" s="18" t="s">
        <v>693</v>
      </c>
      <c r="C865" s="19" t="s">
        <v>21</v>
      </c>
      <c r="D865" s="20" t="s">
        <v>925</v>
      </c>
      <c r="E865" s="21" t="s">
        <v>1</v>
      </c>
    </row>
    <row r="866" spans="2:5">
      <c r="B866" s="18" t="s">
        <v>693</v>
      </c>
      <c r="C866" s="19" t="s">
        <v>21</v>
      </c>
      <c r="D866" s="20" t="s">
        <v>926</v>
      </c>
      <c r="E866" s="21" t="s">
        <v>1</v>
      </c>
    </row>
    <row r="867" spans="2:5">
      <c r="B867" s="18" t="s">
        <v>693</v>
      </c>
      <c r="C867" s="19" t="s">
        <v>21</v>
      </c>
      <c r="D867" s="20" t="s">
        <v>927</v>
      </c>
      <c r="E867" s="21" t="s">
        <v>1</v>
      </c>
    </row>
    <row r="868" spans="2:5">
      <c r="B868" s="18" t="s">
        <v>693</v>
      </c>
      <c r="C868" s="19" t="s">
        <v>21</v>
      </c>
      <c r="D868" s="20" t="s">
        <v>928</v>
      </c>
      <c r="E868" s="21" t="s">
        <v>1</v>
      </c>
    </row>
    <row r="869" spans="2:5">
      <c r="B869" s="18" t="s">
        <v>693</v>
      </c>
      <c r="C869" s="19" t="s">
        <v>21</v>
      </c>
      <c r="D869" s="20" t="s">
        <v>929</v>
      </c>
      <c r="E869" s="21" t="s">
        <v>1</v>
      </c>
    </row>
    <row r="870" spans="2:5">
      <c r="B870" s="18" t="s">
        <v>693</v>
      </c>
      <c r="C870" s="19" t="s">
        <v>21</v>
      </c>
      <c r="D870" s="20" t="s">
        <v>930</v>
      </c>
      <c r="E870" s="21" t="s">
        <v>1</v>
      </c>
    </row>
    <row r="871" spans="2:5">
      <c r="B871" s="18" t="s">
        <v>693</v>
      </c>
      <c r="C871" s="19" t="s">
        <v>21</v>
      </c>
      <c r="D871" s="20" t="s">
        <v>931</v>
      </c>
      <c r="E871" s="21" t="s">
        <v>1</v>
      </c>
    </row>
    <row r="872" spans="2:5">
      <c r="B872" s="18" t="s">
        <v>693</v>
      </c>
      <c r="C872" s="19" t="s">
        <v>21</v>
      </c>
      <c r="D872" s="20" t="s">
        <v>932</v>
      </c>
      <c r="E872" s="21" t="s">
        <v>1</v>
      </c>
    </row>
    <row r="873" spans="2:5">
      <c r="B873" s="18" t="s">
        <v>693</v>
      </c>
      <c r="C873" s="19" t="s">
        <v>21</v>
      </c>
      <c r="D873" s="20" t="s">
        <v>933</v>
      </c>
      <c r="E873" s="21" t="s">
        <v>1</v>
      </c>
    </row>
    <row r="874" spans="2:5">
      <c r="B874" s="18" t="s">
        <v>693</v>
      </c>
      <c r="C874" s="19" t="s">
        <v>21</v>
      </c>
      <c r="D874" s="20" t="s">
        <v>934</v>
      </c>
      <c r="E874" s="21" t="s">
        <v>1</v>
      </c>
    </row>
    <row r="875" spans="2:5">
      <c r="B875" s="18" t="s">
        <v>693</v>
      </c>
      <c r="C875" s="19" t="s">
        <v>21</v>
      </c>
      <c r="D875" s="20" t="s">
        <v>935</v>
      </c>
      <c r="E875" s="21" t="s">
        <v>1</v>
      </c>
    </row>
    <row r="876" spans="2:5">
      <c r="B876" s="18" t="s">
        <v>693</v>
      </c>
      <c r="C876" s="19" t="s">
        <v>21</v>
      </c>
      <c r="D876" s="20" t="s">
        <v>936</v>
      </c>
      <c r="E876" s="21" t="s">
        <v>1</v>
      </c>
    </row>
    <row r="877" spans="2:5">
      <c r="B877" s="18" t="s">
        <v>693</v>
      </c>
      <c r="C877" s="19" t="s">
        <v>21</v>
      </c>
      <c r="D877" s="20" t="s">
        <v>937</v>
      </c>
      <c r="E877" s="21" t="s">
        <v>1</v>
      </c>
    </row>
    <row r="878" spans="2:5">
      <c r="B878" s="18" t="s">
        <v>693</v>
      </c>
      <c r="C878" s="19" t="s">
        <v>21</v>
      </c>
      <c r="D878" s="20" t="s">
        <v>938</v>
      </c>
      <c r="E878" s="21" t="s">
        <v>1</v>
      </c>
    </row>
    <row r="879" spans="2:5">
      <c r="B879" s="18" t="s">
        <v>693</v>
      </c>
      <c r="C879" s="19" t="s">
        <v>21</v>
      </c>
      <c r="D879" s="20" t="s">
        <v>939</v>
      </c>
      <c r="E879" s="21" t="s">
        <v>1</v>
      </c>
    </row>
    <row r="880" spans="2:5">
      <c r="B880" s="18" t="s">
        <v>693</v>
      </c>
      <c r="C880" s="19" t="s">
        <v>21</v>
      </c>
      <c r="D880" s="20" t="s">
        <v>940</v>
      </c>
      <c r="E880" s="21" t="s">
        <v>1</v>
      </c>
    </row>
    <row r="881" spans="2:5">
      <c r="B881" s="18" t="s">
        <v>693</v>
      </c>
      <c r="C881" s="19" t="s">
        <v>21</v>
      </c>
      <c r="D881" s="20" t="s">
        <v>941</v>
      </c>
      <c r="E881" s="21" t="s">
        <v>1</v>
      </c>
    </row>
    <row r="882" spans="2:5">
      <c r="B882" s="18" t="s">
        <v>693</v>
      </c>
      <c r="C882" s="19" t="s">
        <v>21</v>
      </c>
      <c r="D882" s="20" t="s">
        <v>942</v>
      </c>
      <c r="E882" s="21" t="s">
        <v>1</v>
      </c>
    </row>
    <row r="883" spans="2:5">
      <c r="B883" s="18" t="s">
        <v>693</v>
      </c>
      <c r="C883" s="19" t="s">
        <v>21</v>
      </c>
      <c r="D883" s="20" t="s">
        <v>943</v>
      </c>
      <c r="E883" s="21" t="s">
        <v>1</v>
      </c>
    </row>
    <row r="884" spans="2:5">
      <c r="B884" s="18" t="s">
        <v>693</v>
      </c>
      <c r="C884" s="19" t="s">
        <v>21</v>
      </c>
      <c r="D884" s="20" t="s">
        <v>944</v>
      </c>
      <c r="E884" s="21" t="s">
        <v>1</v>
      </c>
    </row>
    <row r="885" spans="2:5">
      <c r="B885" s="18" t="s">
        <v>693</v>
      </c>
      <c r="C885" s="19" t="s">
        <v>21</v>
      </c>
      <c r="D885" s="20" t="s">
        <v>945</v>
      </c>
      <c r="E885" s="21" t="s">
        <v>1</v>
      </c>
    </row>
    <row r="886" spans="2:5">
      <c r="B886" s="18" t="s">
        <v>693</v>
      </c>
      <c r="C886" s="19" t="s">
        <v>21</v>
      </c>
      <c r="D886" s="20" t="s">
        <v>946</v>
      </c>
      <c r="E886" s="21" t="s">
        <v>1</v>
      </c>
    </row>
    <row r="887" spans="2:5">
      <c r="B887" s="18" t="s">
        <v>693</v>
      </c>
      <c r="C887" s="19" t="s">
        <v>21</v>
      </c>
      <c r="D887" s="20" t="s">
        <v>947</v>
      </c>
      <c r="E887" s="21" t="s">
        <v>1</v>
      </c>
    </row>
    <row r="888" spans="2:5">
      <c r="B888" s="18" t="s">
        <v>693</v>
      </c>
      <c r="C888" s="19" t="s">
        <v>21</v>
      </c>
      <c r="D888" s="20" t="s">
        <v>948</v>
      </c>
      <c r="E888" s="21" t="s">
        <v>1</v>
      </c>
    </row>
    <row r="889" spans="2:5">
      <c r="B889" s="18" t="s">
        <v>949</v>
      </c>
      <c r="C889" s="19" t="s">
        <v>23</v>
      </c>
      <c r="D889" s="20" t="s">
        <v>950</v>
      </c>
      <c r="E889" s="21" t="s">
        <v>1</v>
      </c>
    </row>
    <row r="890" spans="2:5">
      <c r="B890" s="18" t="s">
        <v>949</v>
      </c>
      <c r="C890" s="19" t="s">
        <v>23</v>
      </c>
      <c r="D890" s="20" t="s">
        <v>951</v>
      </c>
      <c r="E890" s="21" t="s">
        <v>1</v>
      </c>
    </row>
    <row r="891" spans="2:5">
      <c r="B891" s="18" t="s">
        <v>949</v>
      </c>
      <c r="C891" s="19" t="s">
        <v>23</v>
      </c>
      <c r="D891" s="20" t="s">
        <v>952</v>
      </c>
      <c r="E891" s="21" t="s">
        <v>1</v>
      </c>
    </row>
    <row r="892" spans="2:5">
      <c r="B892" s="18" t="s">
        <v>949</v>
      </c>
      <c r="C892" s="19" t="s">
        <v>23</v>
      </c>
      <c r="D892" s="20" t="s">
        <v>953</v>
      </c>
      <c r="E892" s="21" t="s">
        <v>1</v>
      </c>
    </row>
    <row r="893" spans="2:5">
      <c r="B893" s="18" t="s">
        <v>949</v>
      </c>
      <c r="C893" s="19" t="s">
        <v>23</v>
      </c>
      <c r="D893" s="20" t="s">
        <v>954</v>
      </c>
      <c r="E893" s="21" t="s">
        <v>1</v>
      </c>
    </row>
    <row r="894" spans="2:5">
      <c r="B894" s="18" t="s">
        <v>949</v>
      </c>
      <c r="C894" s="19" t="s">
        <v>23</v>
      </c>
      <c r="D894" s="20" t="s">
        <v>955</v>
      </c>
      <c r="E894" s="21" t="s">
        <v>1</v>
      </c>
    </row>
    <row r="895" spans="2:5">
      <c r="B895" s="18" t="s">
        <v>949</v>
      </c>
      <c r="C895" s="19" t="s">
        <v>23</v>
      </c>
      <c r="D895" s="20" t="s">
        <v>956</v>
      </c>
      <c r="E895" s="21" t="s">
        <v>1</v>
      </c>
    </row>
    <row r="896" spans="2:5">
      <c r="B896" s="18" t="s">
        <v>949</v>
      </c>
      <c r="C896" s="19" t="s">
        <v>23</v>
      </c>
      <c r="D896" s="20" t="s">
        <v>957</v>
      </c>
      <c r="E896" s="21" t="s">
        <v>1</v>
      </c>
    </row>
    <row r="897" spans="2:5">
      <c r="B897" s="18" t="s">
        <v>949</v>
      </c>
      <c r="C897" s="19" t="s">
        <v>23</v>
      </c>
      <c r="D897" s="20" t="s">
        <v>958</v>
      </c>
      <c r="E897" s="21" t="s">
        <v>1</v>
      </c>
    </row>
    <row r="898" spans="2:5">
      <c r="B898" s="18" t="s">
        <v>949</v>
      </c>
      <c r="C898" s="19" t="s">
        <v>23</v>
      </c>
      <c r="D898" s="20" t="s">
        <v>959</v>
      </c>
      <c r="E898" s="21" t="s">
        <v>1</v>
      </c>
    </row>
    <row r="899" spans="2:5">
      <c r="B899" s="18" t="s">
        <v>949</v>
      </c>
      <c r="C899" s="19" t="s">
        <v>23</v>
      </c>
      <c r="D899" s="20" t="s">
        <v>960</v>
      </c>
      <c r="E899" s="21" t="s">
        <v>1</v>
      </c>
    </row>
    <row r="900" spans="2:5">
      <c r="B900" s="18" t="s">
        <v>949</v>
      </c>
      <c r="C900" s="19" t="s">
        <v>23</v>
      </c>
      <c r="D900" s="20" t="s">
        <v>961</v>
      </c>
      <c r="E900" s="21" t="s">
        <v>1</v>
      </c>
    </row>
    <row r="901" spans="2:5">
      <c r="B901" s="18" t="s">
        <v>949</v>
      </c>
      <c r="C901" s="19" t="s">
        <v>23</v>
      </c>
      <c r="D901" s="20" t="s">
        <v>962</v>
      </c>
      <c r="E901" s="21" t="s">
        <v>1</v>
      </c>
    </row>
    <row r="902" spans="2:5">
      <c r="B902" s="18" t="s">
        <v>949</v>
      </c>
      <c r="C902" s="19" t="s">
        <v>23</v>
      </c>
      <c r="D902" s="20" t="s">
        <v>963</v>
      </c>
      <c r="E902" s="21" t="s">
        <v>1</v>
      </c>
    </row>
    <row r="903" spans="2:5">
      <c r="B903" s="18" t="s">
        <v>949</v>
      </c>
      <c r="C903" s="19" t="s">
        <v>23</v>
      </c>
      <c r="D903" s="20" t="s">
        <v>964</v>
      </c>
      <c r="E903" s="21" t="s">
        <v>1</v>
      </c>
    </row>
    <row r="904" spans="2:5">
      <c r="B904" s="18" t="s">
        <v>949</v>
      </c>
      <c r="C904" s="19" t="s">
        <v>23</v>
      </c>
      <c r="D904" s="20" t="s">
        <v>965</v>
      </c>
      <c r="E904" s="21" t="s">
        <v>1</v>
      </c>
    </row>
    <row r="905" spans="2:5">
      <c r="B905" s="18" t="s">
        <v>949</v>
      </c>
      <c r="C905" s="19" t="s">
        <v>23</v>
      </c>
      <c r="D905" s="20" t="s">
        <v>966</v>
      </c>
      <c r="E905" s="21" t="s">
        <v>1</v>
      </c>
    </row>
    <row r="906" spans="2:5">
      <c r="B906" s="18" t="s">
        <v>949</v>
      </c>
      <c r="C906" s="19" t="s">
        <v>23</v>
      </c>
      <c r="D906" s="20" t="s">
        <v>967</v>
      </c>
      <c r="E906" s="21" t="s">
        <v>1</v>
      </c>
    </row>
    <row r="907" spans="2:5">
      <c r="B907" s="18" t="s">
        <v>949</v>
      </c>
      <c r="C907" s="19" t="s">
        <v>23</v>
      </c>
      <c r="D907" s="20" t="s">
        <v>968</v>
      </c>
      <c r="E907" s="21" t="s">
        <v>1</v>
      </c>
    </row>
    <row r="908" spans="2:5">
      <c r="B908" s="18" t="s">
        <v>949</v>
      </c>
      <c r="C908" s="19" t="s">
        <v>23</v>
      </c>
      <c r="D908" s="20" t="s">
        <v>969</v>
      </c>
      <c r="E908" s="21" t="s">
        <v>1</v>
      </c>
    </row>
    <row r="909" spans="2:5">
      <c r="B909" s="18" t="s">
        <v>949</v>
      </c>
      <c r="C909" s="19" t="s">
        <v>23</v>
      </c>
      <c r="D909" s="20" t="s">
        <v>970</v>
      </c>
      <c r="E909" s="21" t="s">
        <v>1</v>
      </c>
    </row>
    <row r="910" spans="2:5">
      <c r="B910" s="18" t="s">
        <v>949</v>
      </c>
      <c r="C910" s="19" t="s">
        <v>23</v>
      </c>
      <c r="D910" s="20" t="s">
        <v>971</v>
      </c>
      <c r="E910" s="21" t="s">
        <v>1</v>
      </c>
    </row>
    <row r="911" spans="2:5">
      <c r="B911" s="18" t="s">
        <v>949</v>
      </c>
      <c r="C911" s="19" t="s">
        <v>23</v>
      </c>
      <c r="D911" s="20" t="s">
        <v>972</v>
      </c>
      <c r="E911" s="21" t="s">
        <v>1</v>
      </c>
    </row>
    <row r="912" spans="2:5">
      <c r="B912" s="18" t="s">
        <v>949</v>
      </c>
      <c r="C912" s="19" t="s">
        <v>23</v>
      </c>
      <c r="D912" s="20" t="s">
        <v>973</v>
      </c>
      <c r="E912" s="21" t="s">
        <v>1</v>
      </c>
    </row>
    <row r="913" spans="2:5">
      <c r="B913" s="18" t="s">
        <v>949</v>
      </c>
      <c r="C913" s="19" t="s">
        <v>23</v>
      </c>
      <c r="D913" s="20" t="s">
        <v>974</v>
      </c>
      <c r="E913" s="21" t="s">
        <v>1</v>
      </c>
    </row>
    <row r="914" spans="2:5">
      <c r="B914" s="18" t="s">
        <v>949</v>
      </c>
      <c r="C914" s="19" t="s">
        <v>23</v>
      </c>
      <c r="D914" s="20" t="s">
        <v>975</v>
      </c>
      <c r="E914" s="21" t="s">
        <v>1</v>
      </c>
    </row>
    <row r="915" spans="2:5">
      <c r="B915" s="18" t="s">
        <v>949</v>
      </c>
      <c r="C915" s="19" t="s">
        <v>23</v>
      </c>
      <c r="D915" s="20" t="s">
        <v>976</v>
      </c>
      <c r="E915" s="21" t="s">
        <v>1</v>
      </c>
    </row>
    <row r="916" spans="2:5">
      <c r="B916" s="18" t="s">
        <v>949</v>
      </c>
      <c r="C916" s="19" t="s">
        <v>23</v>
      </c>
      <c r="D916" s="20" t="s">
        <v>977</v>
      </c>
      <c r="E916" s="21" t="s">
        <v>1</v>
      </c>
    </row>
    <row r="917" spans="2:5">
      <c r="B917" s="18" t="s">
        <v>949</v>
      </c>
      <c r="C917" s="19" t="s">
        <v>23</v>
      </c>
      <c r="D917" s="20" t="s">
        <v>978</v>
      </c>
      <c r="E917" s="21" t="s">
        <v>1</v>
      </c>
    </row>
    <row r="918" spans="2:5">
      <c r="B918" s="18" t="s">
        <v>949</v>
      </c>
      <c r="C918" s="19" t="s">
        <v>23</v>
      </c>
      <c r="D918" s="20" t="s">
        <v>979</v>
      </c>
      <c r="E918" s="21" t="s">
        <v>1</v>
      </c>
    </row>
    <row r="919" spans="2:5">
      <c r="B919" s="18" t="s">
        <v>949</v>
      </c>
      <c r="C919" s="19" t="s">
        <v>23</v>
      </c>
      <c r="D919" s="20" t="s">
        <v>980</v>
      </c>
      <c r="E919" s="21" t="s">
        <v>1</v>
      </c>
    </row>
    <row r="920" spans="2:5">
      <c r="B920" s="18" t="s">
        <v>949</v>
      </c>
      <c r="C920" s="19" t="s">
        <v>23</v>
      </c>
      <c r="D920" s="20" t="s">
        <v>981</v>
      </c>
      <c r="E920" s="21" t="s">
        <v>1</v>
      </c>
    </row>
    <row r="921" spans="2:5">
      <c r="B921" s="18" t="s">
        <v>949</v>
      </c>
      <c r="C921" s="19" t="s">
        <v>23</v>
      </c>
      <c r="D921" s="20" t="s">
        <v>982</v>
      </c>
      <c r="E921" s="21" t="s">
        <v>1</v>
      </c>
    </row>
    <row r="922" spans="2:5">
      <c r="B922" s="18" t="s">
        <v>949</v>
      </c>
      <c r="C922" s="19" t="s">
        <v>23</v>
      </c>
      <c r="D922" s="20" t="s">
        <v>983</v>
      </c>
      <c r="E922" s="21" t="s">
        <v>1</v>
      </c>
    </row>
    <row r="923" spans="2:5">
      <c r="B923" s="18" t="s">
        <v>949</v>
      </c>
      <c r="C923" s="19" t="s">
        <v>23</v>
      </c>
      <c r="D923" s="20" t="s">
        <v>22</v>
      </c>
      <c r="E923" s="21" t="s">
        <v>1</v>
      </c>
    </row>
    <row r="924" spans="2:5">
      <c r="B924" s="18" t="s">
        <v>949</v>
      </c>
      <c r="C924" s="19" t="s">
        <v>23</v>
      </c>
      <c r="D924" s="20" t="s">
        <v>984</v>
      </c>
      <c r="E924" s="21" t="s">
        <v>1</v>
      </c>
    </row>
    <row r="925" spans="2:5">
      <c r="B925" s="18" t="s">
        <v>949</v>
      </c>
      <c r="C925" s="19" t="s">
        <v>23</v>
      </c>
      <c r="D925" s="20" t="s">
        <v>985</v>
      </c>
      <c r="E925" s="21" t="s">
        <v>1</v>
      </c>
    </row>
    <row r="926" spans="2:5">
      <c r="B926" s="18" t="s">
        <v>949</v>
      </c>
      <c r="C926" s="19" t="s">
        <v>23</v>
      </c>
      <c r="D926" s="20" t="s">
        <v>986</v>
      </c>
      <c r="E926" s="21" t="s">
        <v>1</v>
      </c>
    </row>
    <row r="927" spans="2:5">
      <c r="B927" s="18" t="s">
        <v>949</v>
      </c>
      <c r="C927" s="19" t="s">
        <v>23</v>
      </c>
      <c r="D927" s="20" t="s">
        <v>987</v>
      </c>
      <c r="E927" s="21" t="s">
        <v>1</v>
      </c>
    </row>
    <row r="928" spans="2:5">
      <c r="B928" s="18" t="s">
        <v>949</v>
      </c>
      <c r="C928" s="19" t="s">
        <v>23</v>
      </c>
      <c r="D928" s="20" t="s">
        <v>988</v>
      </c>
      <c r="E928" s="21" t="s">
        <v>1</v>
      </c>
    </row>
    <row r="929" spans="2:5">
      <c r="B929" s="18" t="s">
        <v>949</v>
      </c>
      <c r="C929" s="19" t="s">
        <v>23</v>
      </c>
      <c r="D929" s="20" t="s">
        <v>989</v>
      </c>
      <c r="E929" s="21" t="s">
        <v>1</v>
      </c>
    </row>
    <row r="930" spans="2:5">
      <c r="B930" s="18" t="s">
        <v>949</v>
      </c>
      <c r="C930" s="19" t="s">
        <v>23</v>
      </c>
      <c r="D930" s="20" t="s">
        <v>990</v>
      </c>
      <c r="E930" s="21" t="s">
        <v>1</v>
      </c>
    </row>
    <row r="931" spans="2:5">
      <c r="B931" s="18" t="s">
        <v>949</v>
      </c>
      <c r="C931" s="19" t="s">
        <v>23</v>
      </c>
      <c r="D931" s="20" t="s">
        <v>991</v>
      </c>
      <c r="E931" s="21" t="s">
        <v>1</v>
      </c>
    </row>
    <row r="932" spans="2:5">
      <c r="B932" s="18" t="s">
        <v>949</v>
      </c>
      <c r="C932" s="19" t="s">
        <v>23</v>
      </c>
      <c r="D932" s="20" t="s">
        <v>992</v>
      </c>
      <c r="E932" s="21" t="s">
        <v>1</v>
      </c>
    </row>
    <row r="933" spans="2:5">
      <c r="B933" s="18" t="s">
        <v>949</v>
      </c>
      <c r="C933" s="19" t="s">
        <v>23</v>
      </c>
      <c r="D933" s="20" t="s">
        <v>993</v>
      </c>
      <c r="E933" s="21" t="s">
        <v>1</v>
      </c>
    </row>
    <row r="934" spans="2:5">
      <c r="B934" s="18" t="s">
        <v>949</v>
      </c>
      <c r="C934" s="19" t="s">
        <v>23</v>
      </c>
      <c r="D934" s="20" t="s">
        <v>994</v>
      </c>
      <c r="E934" s="21" t="s">
        <v>1</v>
      </c>
    </row>
    <row r="935" spans="2:5">
      <c r="B935" s="18" t="s">
        <v>949</v>
      </c>
      <c r="C935" s="19" t="s">
        <v>23</v>
      </c>
      <c r="D935" s="20" t="s">
        <v>995</v>
      </c>
      <c r="E935" s="21" t="s">
        <v>1</v>
      </c>
    </row>
    <row r="936" spans="2:5">
      <c r="B936" s="18" t="s">
        <v>949</v>
      </c>
      <c r="C936" s="19" t="s">
        <v>23</v>
      </c>
      <c r="D936" s="20" t="s">
        <v>996</v>
      </c>
      <c r="E936" s="21" t="s">
        <v>1</v>
      </c>
    </row>
    <row r="937" spans="2:5">
      <c r="B937" s="18" t="s">
        <v>949</v>
      </c>
      <c r="C937" s="19" t="s">
        <v>23</v>
      </c>
      <c r="D937" s="20" t="s">
        <v>997</v>
      </c>
      <c r="E937" s="21" t="s">
        <v>1</v>
      </c>
    </row>
    <row r="938" spans="2:5">
      <c r="B938" s="18" t="s">
        <v>949</v>
      </c>
      <c r="C938" s="19" t="s">
        <v>23</v>
      </c>
      <c r="D938" s="20" t="s">
        <v>998</v>
      </c>
      <c r="E938" s="21" t="s">
        <v>1</v>
      </c>
    </row>
    <row r="939" spans="2:5">
      <c r="B939" s="18" t="s">
        <v>949</v>
      </c>
      <c r="C939" s="19" t="s">
        <v>23</v>
      </c>
      <c r="D939" s="20" t="s">
        <v>999</v>
      </c>
      <c r="E939" s="21" t="s">
        <v>1</v>
      </c>
    </row>
    <row r="940" spans="2:5">
      <c r="B940" s="18" t="s">
        <v>949</v>
      </c>
      <c r="C940" s="19" t="s">
        <v>23</v>
      </c>
      <c r="D940" s="20" t="s">
        <v>1000</v>
      </c>
      <c r="E940" s="21" t="s">
        <v>1</v>
      </c>
    </row>
    <row r="941" spans="2:5">
      <c r="B941" s="18" t="s">
        <v>949</v>
      </c>
      <c r="C941" s="19" t="s">
        <v>23</v>
      </c>
      <c r="D941" s="20" t="s">
        <v>1001</v>
      </c>
      <c r="E941" s="21" t="s">
        <v>1</v>
      </c>
    </row>
    <row r="942" spans="2:5">
      <c r="B942" s="18" t="s">
        <v>949</v>
      </c>
      <c r="C942" s="19" t="s">
        <v>23</v>
      </c>
      <c r="D942" s="20" t="s">
        <v>1002</v>
      </c>
      <c r="E942" s="21" t="s">
        <v>1</v>
      </c>
    </row>
    <row r="943" spans="2:5">
      <c r="B943" s="18" t="s">
        <v>949</v>
      </c>
      <c r="C943" s="19" t="s">
        <v>23</v>
      </c>
      <c r="D943" s="20" t="s">
        <v>1003</v>
      </c>
      <c r="E943" s="21" t="s">
        <v>1</v>
      </c>
    </row>
    <row r="944" spans="2:5">
      <c r="B944" s="18" t="s">
        <v>949</v>
      </c>
      <c r="C944" s="19" t="s">
        <v>23</v>
      </c>
      <c r="D944" s="20" t="s">
        <v>1004</v>
      </c>
      <c r="E944" s="21" t="s">
        <v>1</v>
      </c>
    </row>
    <row r="945" spans="2:5">
      <c r="B945" s="18" t="s">
        <v>949</v>
      </c>
      <c r="C945" s="19" t="s">
        <v>23</v>
      </c>
      <c r="D945" s="20" t="s">
        <v>1005</v>
      </c>
      <c r="E945" s="21" t="s">
        <v>1</v>
      </c>
    </row>
    <row r="946" spans="2:5">
      <c r="B946" s="18" t="s">
        <v>949</v>
      </c>
      <c r="C946" s="19" t="s">
        <v>23</v>
      </c>
      <c r="D946" s="20" t="s">
        <v>1006</v>
      </c>
      <c r="E946" s="21" t="s">
        <v>1</v>
      </c>
    </row>
    <row r="947" spans="2:5">
      <c r="B947" s="18" t="s">
        <v>949</v>
      </c>
      <c r="C947" s="19" t="s">
        <v>23</v>
      </c>
      <c r="D947" s="20" t="s">
        <v>1007</v>
      </c>
      <c r="E947" s="21" t="s">
        <v>1</v>
      </c>
    </row>
    <row r="948" spans="2:5">
      <c r="B948" s="18" t="s">
        <v>949</v>
      </c>
      <c r="C948" s="19" t="s">
        <v>23</v>
      </c>
      <c r="D948" s="20" t="s">
        <v>1008</v>
      </c>
      <c r="E948" s="21" t="s">
        <v>1</v>
      </c>
    </row>
    <row r="949" spans="2:5">
      <c r="B949" s="18" t="s">
        <v>949</v>
      </c>
      <c r="C949" s="19" t="s">
        <v>23</v>
      </c>
      <c r="D949" s="20" t="s">
        <v>1009</v>
      </c>
      <c r="E949" s="21" t="s">
        <v>1</v>
      </c>
    </row>
    <row r="950" spans="2:5">
      <c r="B950" s="18" t="s">
        <v>949</v>
      </c>
      <c r="C950" s="19" t="s">
        <v>23</v>
      </c>
      <c r="D950" s="20" t="s">
        <v>1010</v>
      </c>
      <c r="E950" s="21" t="s">
        <v>1</v>
      </c>
    </row>
    <row r="951" spans="2:5">
      <c r="B951" s="18" t="s">
        <v>949</v>
      </c>
      <c r="C951" s="19" t="s">
        <v>23</v>
      </c>
      <c r="D951" s="20" t="s">
        <v>1011</v>
      </c>
      <c r="E951" s="21" t="s">
        <v>1</v>
      </c>
    </row>
    <row r="952" spans="2:5">
      <c r="B952" s="18" t="s">
        <v>949</v>
      </c>
      <c r="C952" s="19" t="s">
        <v>23</v>
      </c>
      <c r="D952" s="20" t="s">
        <v>1012</v>
      </c>
      <c r="E952" s="21" t="s">
        <v>1</v>
      </c>
    </row>
    <row r="953" spans="2:5">
      <c r="B953" s="18" t="s">
        <v>949</v>
      </c>
      <c r="C953" s="19" t="s">
        <v>23</v>
      </c>
      <c r="D953" s="20" t="s">
        <v>1013</v>
      </c>
      <c r="E953" s="21" t="s">
        <v>1</v>
      </c>
    </row>
    <row r="954" spans="2:5">
      <c r="B954" s="18" t="s">
        <v>949</v>
      </c>
      <c r="C954" s="19" t="s">
        <v>23</v>
      </c>
      <c r="D954" s="20" t="s">
        <v>1014</v>
      </c>
      <c r="E954" s="21" t="s">
        <v>1</v>
      </c>
    </row>
    <row r="955" spans="2:5">
      <c r="B955" s="18" t="s">
        <v>949</v>
      </c>
      <c r="C955" s="19" t="s">
        <v>23</v>
      </c>
      <c r="D955" s="20" t="s">
        <v>1015</v>
      </c>
      <c r="E955" s="21" t="s">
        <v>1</v>
      </c>
    </row>
    <row r="956" spans="2:5">
      <c r="B956" s="18" t="s">
        <v>949</v>
      </c>
      <c r="C956" s="19" t="s">
        <v>23</v>
      </c>
      <c r="D956" s="20" t="s">
        <v>1016</v>
      </c>
      <c r="E956" s="21" t="s">
        <v>1</v>
      </c>
    </row>
    <row r="957" spans="2:5">
      <c r="B957" s="18" t="s">
        <v>949</v>
      </c>
      <c r="C957" s="19" t="s">
        <v>23</v>
      </c>
      <c r="D957" s="20" t="s">
        <v>1017</v>
      </c>
      <c r="E957" s="21" t="s">
        <v>1</v>
      </c>
    </row>
    <row r="958" spans="2:5">
      <c r="B958" s="18" t="s">
        <v>949</v>
      </c>
      <c r="C958" s="19" t="s">
        <v>23</v>
      </c>
      <c r="D958" s="20" t="s">
        <v>1018</v>
      </c>
      <c r="E958" s="21" t="s">
        <v>1</v>
      </c>
    </row>
    <row r="959" spans="2:5">
      <c r="B959" s="18" t="s">
        <v>949</v>
      </c>
      <c r="C959" s="19" t="s">
        <v>23</v>
      </c>
      <c r="D959" s="20" t="s">
        <v>1019</v>
      </c>
      <c r="E959" s="21" t="s">
        <v>1</v>
      </c>
    </row>
    <row r="960" spans="2:5">
      <c r="B960" s="18" t="s">
        <v>949</v>
      </c>
      <c r="C960" s="19" t="s">
        <v>23</v>
      </c>
      <c r="D960" s="20" t="s">
        <v>1020</v>
      </c>
      <c r="E960" s="21" t="s">
        <v>1</v>
      </c>
    </row>
    <row r="961" spans="2:5">
      <c r="B961" s="18" t="s">
        <v>949</v>
      </c>
      <c r="C961" s="19" t="s">
        <v>23</v>
      </c>
      <c r="D961" s="20" t="s">
        <v>1021</v>
      </c>
      <c r="E961" s="21" t="s">
        <v>1</v>
      </c>
    </row>
    <row r="962" spans="2:5">
      <c r="B962" s="18" t="s">
        <v>949</v>
      </c>
      <c r="C962" s="19" t="s">
        <v>23</v>
      </c>
      <c r="D962" s="20" t="s">
        <v>1022</v>
      </c>
      <c r="E962" s="21" t="s">
        <v>1</v>
      </c>
    </row>
    <row r="963" spans="2:5">
      <c r="B963" s="18" t="s">
        <v>949</v>
      </c>
      <c r="C963" s="19" t="s">
        <v>23</v>
      </c>
      <c r="D963" s="20" t="s">
        <v>1023</v>
      </c>
      <c r="E963" s="21" t="s">
        <v>1</v>
      </c>
    </row>
    <row r="964" spans="2:5">
      <c r="B964" s="18" t="s">
        <v>949</v>
      </c>
      <c r="C964" s="19" t="s">
        <v>23</v>
      </c>
      <c r="D964" s="20" t="s">
        <v>1024</v>
      </c>
      <c r="E964" s="21" t="s">
        <v>1</v>
      </c>
    </row>
    <row r="965" spans="2:5">
      <c r="B965" s="18" t="s">
        <v>949</v>
      </c>
      <c r="C965" s="19" t="s">
        <v>23</v>
      </c>
      <c r="D965" s="20" t="s">
        <v>1025</v>
      </c>
      <c r="E965" s="21" t="s">
        <v>1</v>
      </c>
    </row>
    <row r="966" spans="2:5">
      <c r="B966" s="18" t="s">
        <v>949</v>
      </c>
      <c r="C966" s="19" t="s">
        <v>23</v>
      </c>
      <c r="D966" s="20" t="s">
        <v>1026</v>
      </c>
      <c r="E966" s="21" t="s">
        <v>1</v>
      </c>
    </row>
    <row r="967" spans="2:5">
      <c r="B967" s="18" t="s">
        <v>949</v>
      </c>
      <c r="C967" s="19" t="s">
        <v>23</v>
      </c>
      <c r="D967" s="20" t="s">
        <v>1027</v>
      </c>
      <c r="E967" s="21" t="s">
        <v>1</v>
      </c>
    </row>
    <row r="968" spans="2:5">
      <c r="B968" s="18" t="s">
        <v>949</v>
      </c>
      <c r="C968" s="19" t="s">
        <v>23</v>
      </c>
      <c r="D968" s="20" t="s">
        <v>1028</v>
      </c>
      <c r="E968" s="21" t="s">
        <v>1</v>
      </c>
    </row>
    <row r="969" spans="2:5">
      <c r="B969" s="18" t="s">
        <v>949</v>
      </c>
      <c r="C969" s="19" t="s">
        <v>23</v>
      </c>
      <c r="D969" s="20" t="s">
        <v>1029</v>
      </c>
      <c r="E969" s="21" t="s">
        <v>1</v>
      </c>
    </row>
    <row r="970" spans="2:5">
      <c r="B970" s="18" t="s">
        <v>949</v>
      </c>
      <c r="C970" s="19" t="s">
        <v>23</v>
      </c>
      <c r="D970" s="20" t="s">
        <v>1030</v>
      </c>
      <c r="E970" s="21" t="s">
        <v>1</v>
      </c>
    </row>
    <row r="971" spans="2:5">
      <c r="B971" s="18" t="s">
        <v>949</v>
      </c>
      <c r="C971" s="19" t="s">
        <v>23</v>
      </c>
      <c r="D971" s="20" t="s">
        <v>1031</v>
      </c>
      <c r="E971" s="21" t="s">
        <v>1</v>
      </c>
    </row>
    <row r="972" spans="2:5">
      <c r="B972" s="18" t="s">
        <v>949</v>
      </c>
      <c r="C972" s="19" t="s">
        <v>23</v>
      </c>
      <c r="D972" s="20" t="s">
        <v>1032</v>
      </c>
      <c r="E972" s="21" t="s">
        <v>1</v>
      </c>
    </row>
    <row r="973" spans="2:5">
      <c r="B973" s="18" t="s">
        <v>949</v>
      </c>
      <c r="C973" s="19" t="s">
        <v>23</v>
      </c>
      <c r="D973" s="20" t="s">
        <v>1033</v>
      </c>
      <c r="E973" s="21" t="s">
        <v>1</v>
      </c>
    </row>
    <row r="974" spans="2:5">
      <c r="B974" s="18" t="s">
        <v>949</v>
      </c>
      <c r="C974" s="19" t="s">
        <v>23</v>
      </c>
      <c r="D974" s="20" t="s">
        <v>1034</v>
      </c>
      <c r="E974" s="21" t="s">
        <v>1</v>
      </c>
    </row>
    <row r="975" spans="2:5">
      <c r="B975" s="18" t="s">
        <v>949</v>
      </c>
      <c r="C975" s="19" t="s">
        <v>23</v>
      </c>
      <c r="D975" s="20" t="s">
        <v>1035</v>
      </c>
      <c r="E975" s="21" t="s">
        <v>1</v>
      </c>
    </row>
    <row r="976" spans="2:5">
      <c r="B976" s="18" t="s">
        <v>949</v>
      </c>
      <c r="C976" s="19" t="s">
        <v>23</v>
      </c>
      <c r="D976" s="20" t="s">
        <v>1036</v>
      </c>
      <c r="E976" s="21" t="s">
        <v>1</v>
      </c>
    </row>
    <row r="977" spans="2:5">
      <c r="B977" s="18" t="s">
        <v>949</v>
      </c>
      <c r="C977" s="19" t="s">
        <v>23</v>
      </c>
      <c r="D977" s="20" t="s">
        <v>1037</v>
      </c>
      <c r="E977" s="21" t="s">
        <v>1</v>
      </c>
    </row>
    <row r="978" spans="2:5">
      <c r="B978" s="18" t="s">
        <v>949</v>
      </c>
      <c r="C978" s="19" t="s">
        <v>23</v>
      </c>
      <c r="D978" s="20" t="s">
        <v>1038</v>
      </c>
      <c r="E978" s="21" t="s">
        <v>1</v>
      </c>
    </row>
    <row r="979" spans="2:5">
      <c r="B979" s="18" t="s">
        <v>949</v>
      </c>
      <c r="C979" s="19" t="s">
        <v>23</v>
      </c>
      <c r="D979" s="20" t="s">
        <v>1039</v>
      </c>
      <c r="E979" s="21" t="s">
        <v>1</v>
      </c>
    </row>
    <row r="980" spans="2:5">
      <c r="B980" s="18" t="s">
        <v>949</v>
      </c>
      <c r="C980" s="19" t="s">
        <v>23</v>
      </c>
      <c r="D980" s="20" t="s">
        <v>1040</v>
      </c>
      <c r="E980" s="21" t="s">
        <v>1</v>
      </c>
    </row>
    <row r="981" spans="2:5">
      <c r="B981" s="18" t="s">
        <v>949</v>
      </c>
      <c r="C981" s="19" t="s">
        <v>23</v>
      </c>
      <c r="D981" s="20" t="s">
        <v>1041</v>
      </c>
      <c r="E981" s="21" t="s">
        <v>1</v>
      </c>
    </row>
    <row r="982" spans="2:5">
      <c r="B982" s="18" t="s">
        <v>949</v>
      </c>
      <c r="C982" s="19" t="s">
        <v>23</v>
      </c>
      <c r="D982" s="20" t="s">
        <v>1042</v>
      </c>
      <c r="E982" s="21" t="s">
        <v>1</v>
      </c>
    </row>
    <row r="983" spans="2:5">
      <c r="B983" s="18" t="s">
        <v>949</v>
      </c>
      <c r="C983" s="19" t="s">
        <v>23</v>
      </c>
      <c r="D983" s="20" t="s">
        <v>1043</v>
      </c>
      <c r="E983" s="21" t="s">
        <v>1</v>
      </c>
    </row>
    <row r="984" spans="2:5">
      <c r="B984" s="18" t="s">
        <v>949</v>
      </c>
      <c r="C984" s="19" t="s">
        <v>23</v>
      </c>
      <c r="D984" s="20" t="s">
        <v>1044</v>
      </c>
      <c r="E984" s="21" t="s">
        <v>1</v>
      </c>
    </row>
    <row r="985" spans="2:5">
      <c r="B985" s="18" t="s">
        <v>949</v>
      </c>
      <c r="C985" s="19" t="s">
        <v>23</v>
      </c>
      <c r="D985" s="20" t="s">
        <v>1045</v>
      </c>
      <c r="E985" s="21" t="s">
        <v>1</v>
      </c>
    </row>
    <row r="986" spans="2:5">
      <c r="B986" s="18" t="s">
        <v>949</v>
      </c>
      <c r="C986" s="19" t="s">
        <v>23</v>
      </c>
      <c r="D986" s="20" t="s">
        <v>1046</v>
      </c>
      <c r="E986" s="21" t="s">
        <v>1</v>
      </c>
    </row>
    <row r="987" spans="2:5">
      <c r="B987" s="18" t="s">
        <v>949</v>
      </c>
      <c r="C987" s="19" t="s">
        <v>23</v>
      </c>
      <c r="D987" s="20" t="s">
        <v>1047</v>
      </c>
      <c r="E987" s="21" t="s">
        <v>1</v>
      </c>
    </row>
    <row r="988" spans="2:5">
      <c r="B988" s="18" t="s">
        <v>949</v>
      </c>
      <c r="C988" s="19" t="s">
        <v>23</v>
      </c>
      <c r="D988" s="20" t="s">
        <v>1048</v>
      </c>
      <c r="E988" s="21" t="s">
        <v>1</v>
      </c>
    </row>
    <row r="989" spans="2:5">
      <c r="B989" s="18" t="s">
        <v>949</v>
      </c>
      <c r="C989" s="19" t="s">
        <v>23</v>
      </c>
      <c r="D989" s="20" t="s">
        <v>1049</v>
      </c>
      <c r="E989" s="21" t="s">
        <v>1</v>
      </c>
    </row>
    <row r="990" spans="2:5">
      <c r="B990" s="18" t="s">
        <v>949</v>
      </c>
      <c r="C990" s="19" t="s">
        <v>23</v>
      </c>
      <c r="D990" s="20" t="s">
        <v>1050</v>
      </c>
      <c r="E990" s="21" t="s">
        <v>1</v>
      </c>
    </row>
    <row r="991" spans="2:5">
      <c r="B991" s="18" t="s">
        <v>949</v>
      </c>
      <c r="C991" s="19" t="s">
        <v>23</v>
      </c>
      <c r="D991" s="20" t="s">
        <v>1051</v>
      </c>
      <c r="E991" s="21" t="s">
        <v>1</v>
      </c>
    </row>
    <row r="992" spans="2:5">
      <c r="B992" s="18" t="s">
        <v>949</v>
      </c>
      <c r="C992" s="19" t="s">
        <v>23</v>
      </c>
      <c r="D992" s="20" t="s">
        <v>1052</v>
      </c>
      <c r="E992" s="21" t="s">
        <v>1</v>
      </c>
    </row>
    <row r="993" spans="2:5">
      <c r="B993" s="18" t="s">
        <v>949</v>
      </c>
      <c r="C993" s="19" t="s">
        <v>23</v>
      </c>
      <c r="D993" s="20" t="s">
        <v>1053</v>
      </c>
      <c r="E993" s="21" t="s">
        <v>1</v>
      </c>
    </row>
    <row r="994" spans="2:5">
      <c r="B994" s="18" t="s">
        <v>949</v>
      </c>
      <c r="C994" s="19" t="s">
        <v>23</v>
      </c>
      <c r="D994" s="20" t="s">
        <v>1054</v>
      </c>
      <c r="E994" s="21" t="s">
        <v>1</v>
      </c>
    </row>
    <row r="995" spans="2:5">
      <c r="B995" s="18" t="s">
        <v>949</v>
      </c>
      <c r="C995" s="19" t="s">
        <v>23</v>
      </c>
      <c r="D995" s="20" t="s">
        <v>1055</v>
      </c>
      <c r="E995" s="21" t="s">
        <v>1</v>
      </c>
    </row>
    <row r="996" spans="2:5">
      <c r="B996" s="18" t="s">
        <v>949</v>
      </c>
      <c r="C996" s="19" t="s">
        <v>23</v>
      </c>
      <c r="D996" s="20" t="s">
        <v>1056</v>
      </c>
      <c r="E996" s="21" t="s">
        <v>1</v>
      </c>
    </row>
    <row r="997" spans="2:5">
      <c r="B997" s="18" t="s">
        <v>949</v>
      </c>
      <c r="C997" s="19" t="s">
        <v>23</v>
      </c>
      <c r="D997" s="20" t="s">
        <v>1057</v>
      </c>
      <c r="E997" s="21" t="s">
        <v>1</v>
      </c>
    </row>
    <row r="998" spans="2:5">
      <c r="B998" s="18" t="s">
        <v>949</v>
      </c>
      <c r="C998" s="19" t="s">
        <v>23</v>
      </c>
      <c r="D998" s="20" t="s">
        <v>1058</v>
      </c>
      <c r="E998" s="21" t="s">
        <v>1</v>
      </c>
    </row>
    <row r="999" spans="2:5">
      <c r="B999" s="18" t="s">
        <v>949</v>
      </c>
      <c r="C999" s="19" t="s">
        <v>23</v>
      </c>
      <c r="D999" s="20" t="s">
        <v>1059</v>
      </c>
      <c r="E999" s="21" t="s">
        <v>1</v>
      </c>
    </row>
    <row r="1000" spans="2:5">
      <c r="B1000" s="18" t="s">
        <v>949</v>
      </c>
      <c r="C1000" s="19" t="s">
        <v>23</v>
      </c>
      <c r="D1000" s="20" t="s">
        <v>1060</v>
      </c>
      <c r="E1000" s="21" t="s">
        <v>1</v>
      </c>
    </row>
    <row r="1001" spans="2:5">
      <c r="B1001" s="18" t="s">
        <v>949</v>
      </c>
      <c r="C1001" s="19" t="s">
        <v>23</v>
      </c>
      <c r="D1001" s="20" t="s">
        <v>1061</v>
      </c>
      <c r="E1001" s="21" t="s">
        <v>1</v>
      </c>
    </row>
    <row r="1002" spans="2:5">
      <c r="B1002" s="18" t="s">
        <v>949</v>
      </c>
      <c r="C1002" s="19" t="s">
        <v>23</v>
      </c>
      <c r="D1002" s="20" t="s">
        <v>1062</v>
      </c>
      <c r="E1002" s="21" t="s">
        <v>1</v>
      </c>
    </row>
    <row r="1003" spans="2:5">
      <c r="B1003" s="18" t="s">
        <v>949</v>
      </c>
      <c r="C1003" s="19" t="s">
        <v>23</v>
      </c>
      <c r="D1003" s="20" t="s">
        <v>1063</v>
      </c>
      <c r="E1003" s="21" t="s">
        <v>1</v>
      </c>
    </row>
    <row r="1004" spans="2:5">
      <c r="B1004" s="18" t="s">
        <v>949</v>
      </c>
      <c r="C1004" s="19" t="s">
        <v>23</v>
      </c>
      <c r="D1004" s="20" t="s">
        <v>1064</v>
      </c>
      <c r="E1004" s="21" t="s">
        <v>1</v>
      </c>
    </row>
    <row r="1005" spans="2:5">
      <c r="B1005" s="18" t="s">
        <v>949</v>
      </c>
      <c r="C1005" s="19" t="s">
        <v>23</v>
      </c>
      <c r="D1005" s="20" t="s">
        <v>1065</v>
      </c>
      <c r="E1005" s="21" t="s">
        <v>1</v>
      </c>
    </row>
    <row r="1006" spans="2:5">
      <c r="B1006" s="18" t="s">
        <v>949</v>
      </c>
      <c r="C1006" s="19" t="s">
        <v>23</v>
      </c>
      <c r="D1006" s="20" t="s">
        <v>1066</v>
      </c>
      <c r="E1006" s="21" t="s">
        <v>1</v>
      </c>
    </row>
    <row r="1007" spans="2:5">
      <c r="B1007" s="18" t="s">
        <v>949</v>
      </c>
      <c r="C1007" s="19" t="s">
        <v>23</v>
      </c>
      <c r="D1007" s="20" t="s">
        <v>1067</v>
      </c>
      <c r="E1007" s="21" t="s">
        <v>1</v>
      </c>
    </row>
    <row r="1008" spans="2:5">
      <c r="B1008" s="18" t="s">
        <v>949</v>
      </c>
      <c r="C1008" s="19" t="s">
        <v>23</v>
      </c>
      <c r="D1008" s="20" t="s">
        <v>1068</v>
      </c>
      <c r="E1008" s="21" t="s">
        <v>1</v>
      </c>
    </row>
    <row r="1009" spans="2:5">
      <c r="B1009" s="18" t="s">
        <v>949</v>
      </c>
      <c r="C1009" s="19" t="s">
        <v>23</v>
      </c>
      <c r="D1009" s="20" t="s">
        <v>1069</v>
      </c>
      <c r="E1009" s="21" t="s">
        <v>1</v>
      </c>
    </row>
    <row r="1010" spans="2:5">
      <c r="B1010" s="18" t="s">
        <v>949</v>
      </c>
      <c r="C1010" s="19" t="s">
        <v>23</v>
      </c>
      <c r="D1010" s="20" t="s">
        <v>1070</v>
      </c>
      <c r="E1010" s="21" t="s">
        <v>1</v>
      </c>
    </row>
    <row r="1011" spans="2:5">
      <c r="B1011" s="18" t="s">
        <v>949</v>
      </c>
      <c r="C1011" s="19" t="s">
        <v>23</v>
      </c>
      <c r="D1011" s="20" t="s">
        <v>1071</v>
      </c>
      <c r="E1011" s="21" t="s">
        <v>1</v>
      </c>
    </row>
    <row r="1012" spans="2:5">
      <c r="B1012" s="18" t="s">
        <v>949</v>
      </c>
      <c r="C1012" s="19" t="s">
        <v>23</v>
      </c>
      <c r="D1012" s="20" t="s">
        <v>1072</v>
      </c>
      <c r="E1012" s="21" t="s">
        <v>1</v>
      </c>
    </row>
    <row r="1013" spans="2:5">
      <c r="B1013" s="18" t="s">
        <v>949</v>
      </c>
      <c r="C1013" s="19" t="s">
        <v>23</v>
      </c>
      <c r="D1013" s="20" t="s">
        <v>1073</v>
      </c>
      <c r="E1013" s="21" t="s">
        <v>1</v>
      </c>
    </row>
    <row r="1014" spans="2:5">
      <c r="B1014" s="18" t="s">
        <v>949</v>
      </c>
      <c r="C1014" s="19" t="s">
        <v>23</v>
      </c>
      <c r="D1014" s="20" t="s">
        <v>1074</v>
      </c>
      <c r="E1014" s="21" t="s">
        <v>1</v>
      </c>
    </row>
    <row r="1015" spans="2:5">
      <c r="B1015" s="18" t="s">
        <v>949</v>
      </c>
      <c r="C1015" s="19" t="s">
        <v>23</v>
      </c>
      <c r="D1015" s="20" t="s">
        <v>1075</v>
      </c>
      <c r="E1015" s="21" t="s">
        <v>1</v>
      </c>
    </row>
    <row r="1016" spans="2:5">
      <c r="B1016" s="18" t="s">
        <v>949</v>
      </c>
      <c r="C1016" s="19" t="s">
        <v>23</v>
      </c>
      <c r="D1016" s="20" t="s">
        <v>1076</v>
      </c>
      <c r="E1016" s="21" t="s">
        <v>1</v>
      </c>
    </row>
    <row r="1017" spans="2:5">
      <c r="B1017" s="18" t="s">
        <v>949</v>
      </c>
      <c r="C1017" s="19" t="s">
        <v>23</v>
      </c>
      <c r="D1017" s="20" t="s">
        <v>1077</v>
      </c>
      <c r="E1017" s="21" t="s">
        <v>1</v>
      </c>
    </row>
    <row r="1018" spans="2:5">
      <c r="B1018" s="18" t="s">
        <v>949</v>
      </c>
      <c r="C1018" s="19" t="s">
        <v>23</v>
      </c>
      <c r="D1018" s="20" t="s">
        <v>1078</v>
      </c>
      <c r="E1018" s="21" t="s">
        <v>1</v>
      </c>
    </row>
    <row r="1019" spans="2:5">
      <c r="B1019" s="18" t="s">
        <v>949</v>
      </c>
      <c r="C1019" s="19" t="s">
        <v>23</v>
      </c>
      <c r="D1019" s="20" t="s">
        <v>1079</v>
      </c>
      <c r="E1019" s="21" t="s">
        <v>1</v>
      </c>
    </row>
    <row r="1020" spans="2:5">
      <c r="B1020" s="18" t="s">
        <v>949</v>
      </c>
      <c r="C1020" s="19" t="s">
        <v>23</v>
      </c>
      <c r="D1020" s="20" t="s">
        <v>1080</v>
      </c>
      <c r="E1020" s="21" t="s">
        <v>1</v>
      </c>
    </row>
    <row r="1021" spans="2:5">
      <c r="B1021" s="18" t="s">
        <v>949</v>
      </c>
      <c r="C1021" s="19" t="s">
        <v>23</v>
      </c>
      <c r="D1021" s="20" t="s">
        <v>1081</v>
      </c>
      <c r="E1021" s="21" t="s">
        <v>1</v>
      </c>
    </row>
    <row r="1022" spans="2:5">
      <c r="B1022" s="18" t="s">
        <v>949</v>
      </c>
      <c r="C1022" s="19" t="s">
        <v>23</v>
      </c>
      <c r="D1022" s="20" t="s">
        <v>1082</v>
      </c>
      <c r="E1022" s="21" t="s">
        <v>1</v>
      </c>
    </row>
    <row r="1023" spans="2:5">
      <c r="B1023" s="18" t="s">
        <v>949</v>
      </c>
      <c r="C1023" s="19" t="s">
        <v>23</v>
      </c>
      <c r="D1023" s="20" t="s">
        <v>1083</v>
      </c>
      <c r="E1023" s="21" t="s">
        <v>1</v>
      </c>
    </row>
    <row r="1024" spans="2:5">
      <c r="B1024" s="18" t="s">
        <v>949</v>
      </c>
      <c r="C1024" s="19" t="s">
        <v>23</v>
      </c>
      <c r="D1024" s="20" t="s">
        <v>1084</v>
      </c>
      <c r="E1024" s="21" t="s">
        <v>1</v>
      </c>
    </row>
    <row r="1025" spans="2:5">
      <c r="B1025" s="18" t="s">
        <v>949</v>
      </c>
      <c r="C1025" s="19" t="s">
        <v>23</v>
      </c>
      <c r="D1025" s="20" t="s">
        <v>1085</v>
      </c>
      <c r="E1025" s="21" t="s">
        <v>1</v>
      </c>
    </row>
    <row r="1026" spans="2:5">
      <c r="B1026" s="18" t="s">
        <v>949</v>
      </c>
      <c r="C1026" s="19" t="s">
        <v>23</v>
      </c>
      <c r="D1026" s="20" t="s">
        <v>1086</v>
      </c>
      <c r="E1026" s="21" t="s">
        <v>1</v>
      </c>
    </row>
    <row r="1027" spans="2:5">
      <c r="B1027" s="18" t="s">
        <v>949</v>
      </c>
      <c r="C1027" s="19" t="s">
        <v>23</v>
      </c>
      <c r="D1027" s="20" t="s">
        <v>1087</v>
      </c>
      <c r="E1027" s="21" t="s">
        <v>1</v>
      </c>
    </row>
    <row r="1028" spans="2:5">
      <c r="B1028" s="18" t="s">
        <v>949</v>
      </c>
      <c r="C1028" s="19" t="s">
        <v>23</v>
      </c>
      <c r="D1028" s="20" t="s">
        <v>1088</v>
      </c>
      <c r="E1028" s="21" t="s">
        <v>1</v>
      </c>
    </row>
    <row r="1029" spans="2:5">
      <c r="B1029" s="18" t="s">
        <v>949</v>
      </c>
      <c r="C1029" s="19" t="s">
        <v>23</v>
      </c>
      <c r="D1029" s="20" t="s">
        <v>1089</v>
      </c>
      <c r="E1029" s="21" t="s">
        <v>1</v>
      </c>
    </row>
    <row r="1030" spans="2:5">
      <c r="B1030" s="18" t="s">
        <v>949</v>
      </c>
      <c r="C1030" s="19" t="s">
        <v>23</v>
      </c>
      <c r="D1030" s="20" t="s">
        <v>1090</v>
      </c>
      <c r="E1030" s="21" t="s">
        <v>1</v>
      </c>
    </row>
    <row r="1031" spans="2:5">
      <c r="B1031" s="18" t="s">
        <v>949</v>
      </c>
      <c r="C1031" s="19" t="s">
        <v>23</v>
      </c>
      <c r="D1031" s="20" t="s">
        <v>1091</v>
      </c>
      <c r="E1031" s="21" t="s">
        <v>1</v>
      </c>
    </row>
    <row r="1032" spans="2:5">
      <c r="B1032" s="18" t="s">
        <v>949</v>
      </c>
      <c r="C1032" s="19" t="s">
        <v>23</v>
      </c>
      <c r="D1032" s="20" t="s">
        <v>1092</v>
      </c>
      <c r="E1032" s="21" t="s">
        <v>1</v>
      </c>
    </row>
    <row r="1033" spans="2:5">
      <c r="B1033" s="18" t="s">
        <v>949</v>
      </c>
      <c r="C1033" s="19" t="s">
        <v>23</v>
      </c>
      <c r="D1033" s="20" t="s">
        <v>1093</v>
      </c>
      <c r="E1033" s="21" t="s">
        <v>1</v>
      </c>
    </row>
    <row r="1034" spans="2:5">
      <c r="B1034" s="18" t="s">
        <v>949</v>
      </c>
      <c r="C1034" s="19" t="s">
        <v>23</v>
      </c>
      <c r="D1034" s="20" t="s">
        <v>1094</v>
      </c>
      <c r="E1034" s="21" t="s">
        <v>1</v>
      </c>
    </row>
    <row r="1035" spans="2:5">
      <c r="B1035" s="18" t="s">
        <v>949</v>
      </c>
      <c r="C1035" s="19" t="s">
        <v>23</v>
      </c>
      <c r="D1035" s="20" t="s">
        <v>1095</v>
      </c>
      <c r="E1035" s="21" t="s">
        <v>1</v>
      </c>
    </row>
    <row r="1036" spans="2:5">
      <c r="B1036" s="18" t="s">
        <v>949</v>
      </c>
      <c r="C1036" s="19" t="s">
        <v>23</v>
      </c>
      <c r="D1036" s="20" t="s">
        <v>1096</v>
      </c>
      <c r="E1036" s="21" t="s">
        <v>1</v>
      </c>
    </row>
    <row r="1037" spans="2:5">
      <c r="B1037" s="18" t="s">
        <v>949</v>
      </c>
      <c r="C1037" s="19" t="s">
        <v>23</v>
      </c>
      <c r="D1037" s="20" t="s">
        <v>1097</v>
      </c>
      <c r="E1037" s="21" t="s">
        <v>1</v>
      </c>
    </row>
    <row r="1038" spans="2:5">
      <c r="B1038" s="18" t="s">
        <v>949</v>
      </c>
      <c r="C1038" s="19" t="s">
        <v>23</v>
      </c>
      <c r="D1038" s="20" t="s">
        <v>1098</v>
      </c>
      <c r="E1038" s="21" t="s">
        <v>1</v>
      </c>
    </row>
    <row r="1039" spans="2:5">
      <c r="B1039" s="18" t="s">
        <v>949</v>
      </c>
      <c r="C1039" s="19" t="s">
        <v>23</v>
      </c>
      <c r="D1039" s="20" t="s">
        <v>1099</v>
      </c>
      <c r="E1039" s="21" t="s">
        <v>1</v>
      </c>
    </row>
    <row r="1040" spans="2:5">
      <c r="B1040" s="18" t="s">
        <v>949</v>
      </c>
      <c r="C1040" s="19" t="s">
        <v>23</v>
      </c>
      <c r="D1040" s="20" t="s">
        <v>1100</v>
      </c>
      <c r="E1040" s="21" t="s">
        <v>1</v>
      </c>
    </row>
    <row r="1041" spans="2:5">
      <c r="B1041" s="18" t="s">
        <v>949</v>
      </c>
      <c r="C1041" s="19" t="s">
        <v>23</v>
      </c>
      <c r="D1041" s="20" t="s">
        <v>1101</v>
      </c>
      <c r="E1041" s="21" t="s">
        <v>1</v>
      </c>
    </row>
    <row r="1042" spans="2:5">
      <c r="B1042" s="18" t="s">
        <v>949</v>
      </c>
      <c r="C1042" s="19" t="s">
        <v>23</v>
      </c>
      <c r="D1042" s="20" t="s">
        <v>1102</v>
      </c>
      <c r="E1042" s="21" t="s">
        <v>1</v>
      </c>
    </row>
    <row r="1043" spans="2:5">
      <c r="B1043" s="18" t="s">
        <v>949</v>
      </c>
      <c r="C1043" s="19" t="s">
        <v>23</v>
      </c>
      <c r="D1043" s="20" t="s">
        <v>1103</v>
      </c>
      <c r="E1043" s="21" t="s">
        <v>1</v>
      </c>
    </row>
    <row r="1044" spans="2:5">
      <c r="B1044" s="18" t="s">
        <v>949</v>
      </c>
      <c r="C1044" s="19" t="s">
        <v>23</v>
      </c>
      <c r="D1044" s="20" t="s">
        <v>1104</v>
      </c>
      <c r="E1044" s="21" t="s">
        <v>1</v>
      </c>
    </row>
    <row r="1045" spans="2:5">
      <c r="B1045" s="18" t="s">
        <v>1105</v>
      </c>
      <c r="C1045" s="19" t="s">
        <v>25</v>
      </c>
      <c r="D1045" s="20" t="s">
        <v>1106</v>
      </c>
      <c r="E1045" s="21" t="s">
        <v>1</v>
      </c>
    </row>
    <row r="1046" spans="2:5">
      <c r="B1046" s="18" t="s">
        <v>1105</v>
      </c>
      <c r="C1046" s="19" t="s">
        <v>25</v>
      </c>
      <c r="D1046" s="20" t="s">
        <v>1107</v>
      </c>
      <c r="E1046" s="21" t="s">
        <v>1</v>
      </c>
    </row>
    <row r="1047" spans="2:5">
      <c r="B1047" s="18" t="s">
        <v>1105</v>
      </c>
      <c r="C1047" s="19" t="s">
        <v>25</v>
      </c>
      <c r="D1047" s="20" t="s">
        <v>1108</v>
      </c>
      <c r="E1047" s="21" t="s">
        <v>1</v>
      </c>
    </row>
    <row r="1048" spans="2:5">
      <c r="B1048" s="18" t="s">
        <v>1105</v>
      </c>
      <c r="C1048" s="19" t="s">
        <v>25</v>
      </c>
      <c r="D1048" s="20" t="s">
        <v>1109</v>
      </c>
      <c r="E1048" s="21" t="s">
        <v>1</v>
      </c>
    </row>
    <row r="1049" spans="2:5">
      <c r="B1049" s="18" t="s">
        <v>1105</v>
      </c>
      <c r="C1049" s="19" t="s">
        <v>25</v>
      </c>
      <c r="D1049" s="20" t="s">
        <v>1110</v>
      </c>
      <c r="E1049" s="21" t="s">
        <v>1</v>
      </c>
    </row>
    <row r="1050" spans="2:5">
      <c r="B1050" s="18" t="s">
        <v>1105</v>
      </c>
      <c r="C1050" s="19" t="s">
        <v>25</v>
      </c>
      <c r="D1050" s="20" t="s">
        <v>1111</v>
      </c>
      <c r="E1050" s="21" t="s">
        <v>1</v>
      </c>
    </row>
    <row r="1051" spans="2:5">
      <c r="B1051" s="18" t="s">
        <v>1105</v>
      </c>
      <c r="C1051" s="19" t="s">
        <v>25</v>
      </c>
      <c r="D1051" s="20" t="s">
        <v>1112</v>
      </c>
      <c r="E1051" s="21" t="s">
        <v>1</v>
      </c>
    </row>
    <row r="1052" spans="2:5">
      <c r="B1052" s="18" t="s">
        <v>1105</v>
      </c>
      <c r="C1052" s="19" t="s">
        <v>25</v>
      </c>
      <c r="D1052" s="20" t="s">
        <v>1113</v>
      </c>
      <c r="E1052" s="21" t="s">
        <v>1</v>
      </c>
    </row>
    <row r="1053" spans="2:5">
      <c r="B1053" s="18" t="s">
        <v>1105</v>
      </c>
      <c r="C1053" s="19" t="s">
        <v>25</v>
      </c>
      <c r="D1053" s="20" t="s">
        <v>1114</v>
      </c>
      <c r="E1053" s="21" t="s">
        <v>1</v>
      </c>
    </row>
    <row r="1054" spans="2:5">
      <c r="B1054" s="18" t="s">
        <v>1105</v>
      </c>
      <c r="C1054" s="19" t="s">
        <v>25</v>
      </c>
      <c r="D1054" s="20" t="s">
        <v>1115</v>
      </c>
      <c r="E1054" s="21" t="s">
        <v>1</v>
      </c>
    </row>
    <row r="1055" spans="2:5">
      <c r="B1055" s="18" t="s">
        <v>1105</v>
      </c>
      <c r="C1055" s="19" t="s">
        <v>25</v>
      </c>
      <c r="D1055" s="20" t="s">
        <v>1116</v>
      </c>
      <c r="E1055" s="21" t="s">
        <v>1</v>
      </c>
    </row>
    <row r="1056" spans="2:5">
      <c r="B1056" s="18" t="s">
        <v>1105</v>
      </c>
      <c r="C1056" s="19" t="s">
        <v>25</v>
      </c>
      <c r="D1056" s="20" t="s">
        <v>1117</v>
      </c>
      <c r="E1056" s="21" t="s">
        <v>1</v>
      </c>
    </row>
    <row r="1057" spans="2:5">
      <c r="B1057" s="18" t="s">
        <v>1105</v>
      </c>
      <c r="C1057" s="19" t="s">
        <v>25</v>
      </c>
      <c r="D1057" s="20" t="s">
        <v>1118</v>
      </c>
      <c r="E1057" s="21" t="s">
        <v>1</v>
      </c>
    </row>
    <row r="1058" spans="2:5">
      <c r="B1058" s="18" t="s">
        <v>1105</v>
      </c>
      <c r="C1058" s="19" t="s">
        <v>25</v>
      </c>
      <c r="D1058" s="20" t="s">
        <v>1119</v>
      </c>
      <c r="E1058" s="21" t="s">
        <v>1</v>
      </c>
    </row>
    <row r="1059" spans="2:5">
      <c r="B1059" s="18" t="s">
        <v>1105</v>
      </c>
      <c r="C1059" s="19" t="s">
        <v>25</v>
      </c>
      <c r="D1059" s="20" t="s">
        <v>1120</v>
      </c>
      <c r="E1059" s="21" t="s">
        <v>1</v>
      </c>
    </row>
    <row r="1060" spans="2:5">
      <c r="B1060" s="18" t="s">
        <v>1105</v>
      </c>
      <c r="C1060" s="19" t="s">
        <v>25</v>
      </c>
      <c r="D1060" s="20" t="s">
        <v>1121</v>
      </c>
      <c r="E1060" s="21" t="s">
        <v>1</v>
      </c>
    </row>
    <row r="1061" spans="2:5">
      <c r="B1061" s="18" t="s">
        <v>1105</v>
      </c>
      <c r="C1061" s="19" t="s">
        <v>25</v>
      </c>
      <c r="D1061" s="20" t="s">
        <v>1122</v>
      </c>
      <c r="E1061" s="21" t="s">
        <v>1</v>
      </c>
    </row>
    <row r="1062" spans="2:5">
      <c r="B1062" s="18" t="s">
        <v>1105</v>
      </c>
      <c r="C1062" s="19" t="s">
        <v>25</v>
      </c>
      <c r="D1062" s="20" t="s">
        <v>1123</v>
      </c>
      <c r="E1062" s="21" t="s">
        <v>1</v>
      </c>
    </row>
    <row r="1063" spans="2:5">
      <c r="B1063" s="18" t="s">
        <v>1105</v>
      </c>
      <c r="C1063" s="19" t="s">
        <v>25</v>
      </c>
      <c r="D1063" s="20" t="s">
        <v>1124</v>
      </c>
      <c r="E1063" s="21" t="s">
        <v>1</v>
      </c>
    </row>
    <row r="1064" spans="2:5">
      <c r="B1064" s="18" t="s">
        <v>1105</v>
      </c>
      <c r="C1064" s="19" t="s">
        <v>25</v>
      </c>
      <c r="D1064" s="20" t="s">
        <v>1125</v>
      </c>
      <c r="E1064" s="21" t="s">
        <v>1</v>
      </c>
    </row>
    <row r="1065" spans="2:5">
      <c r="B1065" s="18" t="s">
        <v>1105</v>
      </c>
      <c r="C1065" s="19" t="s">
        <v>25</v>
      </c>
      <c r="D1065" s="20" t="s">
        <v>1126</v>
      </c>
      <c r="E1065" s="21" t="s">
        <v>1</v>
      </c>
    </row>
    <row r="1066" spans="2:5">
      <c r="B1066" s="18" t="s">
        <v>1105</v>
      </c>
      <c r="C1066" s="19" t="s">
        <v>25</v>
      </c>
      <c r="D1066" s="20" t="s">
        <v>1127</v>
      </c>
      <c r="E1066" s="21" t="s">
        <v>1738</v>
      </c>
    </row>
    <row r="1067" spans="2:5">
      <c r="B1067" s="18" t="s">
        <v>1105</v>
      </c>
      <c r="C1067" s="19" t="s">
        <v>25</v>
      </c>
      <c r="D1067" s="20" t="s">
        <v>1128</v>
      </c>
      <c r="E1067" s="21" t="s">
        <v>1738</v>
      </c>
    </row>
    <row r="1068" spans="2:5">
      <c r="B1068" s="18" t="s">
        <v>1105</v>
      </c>
      <c r="C1068" s="19" t="s">
        <v>25</v>
      </c>
      <c r="D1068" s="20" t="s">
        <v>1129</v>
      </c>
      <c r="E1068" s="21" t="s">
        <v>1</v>
      </c>
    </row>
    <row r="1069" spans="2:5">
      <c r="B1069" s="18" t="s">
        <v>1105</v>
      </c>
      <c r="C1069" s="19" t="s">
        <v>25</v>
      </c>
      <c r="D1069" s="20" t="s">
        <v>1130</v>
      </c>
      <c r="E1069" s="21" t="s">
        <v>1</v>
      </c>
    </row>
    <row r="1070" spans="2:5">
      <c r="B1070" s="18" t="s">
        <v>1105</v>
      </c>
      <c r="C1070" s="19" t="s">
        <v>25</v>
      </c>
      <c r="D1070" s="20" t="s">
        <v>1131</v>
      </c>
      <c r="E1070" s="21" t="s">
        <v>1</v>
      </c>
    </row>
    <row r="1071" spans="2:5">
      <c r="B1071" s="18" t="s">
        <v>1105</v>
      </c>
      <c r="C1071" s="19" t="s">
        <v>25</v>
      </c>
      <c r="D1071" s="20" t="s">
        <v>1132</v>
      </c>
      <c r="E1071" s="21" t="s">
        <v>1</v>
      </c>
    </row>
    <row r="1072" spans="2:5">
      <c r="B1072" s="18" t="s">
        <v>1105</v>
      </c>
      <c r="C1072" s="19" t="s">
        <v>25</v>
      </c>
      <c r="D1072" s="20" t="s">
        <v>1133</v>
      </c>
      <c r="E1072" s="21" t="s">
        <v>1</v>
      </c>
    </row>
    <row r="1073" spans="2:5">
      <c r="B1073" s="18" t="s">
        <v>1105</v>
      </c>
      <c r="C1073" s="19" t="s">
        <v>25</v>
      </c>
      <c r="D1073" s="20" t="s">
        <v>1134</v>
      </c>
      <c r="E1073" s="21" t="s">
        <v>1738</v>
      </c>
    </row>
    <row r="1074" spans="2:5">
      <c r="B1074" s="18" t="s">
        <v>1105</v>
      </c>
      <c r="C1074" s="19" t="s">
        <v>25</v>
      </c>
      <c r="D1074" s="20" t="s">
        <v>1135</v>
      </c>
      <c r="E1074" s="21" t="s">
        <v>1738</v>
      </c>
    </row>
    <row r="1075" spans="2:5">
      <c r="B1075" s="18" t="s">
        <v>1105</v>
      </c>
      <c r="C1075" s="19" t="s">
        <v>25</v>
      </c>
      <c r="D1075" s="20" t="s">
        <v>1136</v>
      </c>
      <c r="E1075" s="21" t="s">
        <v>1</v>
      </c>
    </row>
    <row r="1076" spans="2:5">
      <c r="B1076" s="18" t="s">
        <v>1105</v>
      </c>
      <c r="C1076" s="19" t="s">
        <v>25</v>
      </c>
      <c r="D1076" s="20" t="s">
        <v>1137</v>
      </c>
      <c r="E1076" s="21" t="s">
        <v>1</v>
      </c>
    </row>
    <row r="1077" spans="2:5">
      <c r="B1077" s="18" t="s">
        <v>1105</v>
      </c>
      <c r="C1077" s="19" t="s">
        <v>25</v>
      </c>
      <c r="D1077" s="20" t="s">
        <v>1138</v>
      </c>
      <c r="E1077" s="21" t="s">
        <v>1</v>
      </c>
    </row>
    <row r="1078" spans="2:5">
      <c r="B1078" s="18" t="s">
        <v>1105</v>
      </c>
      <c r="C1078" s="19" t="s">
        <v>25</v>
      </c>
      <c r="D1078" s="20" t="s">
        <v>1139</v>
      </c>
      <c r="E1078" s="21" t="s">
        <v>1</v>
      </c>
    </row>
    <row r="1079" spans="2:5">
      <c r="B1079" s="18" t="s">
        <v>1105</v>
      </c>
      <c r="C1079" s="19" t="s">
        <v>25</v>
      </c>
      <c r="D1079" s="20" t="s">
        <v>1140</v>
      </c>
      <c r="E1079" s="21" t="s">
        <v>1738</v>
      </c>
    </row>
    <row r="1080" spans="2:5">
      <c r="B1080" s="18" t="s">
        <v>1105</v>
      </c>
      <c r="C1080" s="19" t="s">
        <v>25</v>
      </c>
      <c r="D1080" s="20" t="s">
        <v>1141</v>
      </c>
      <c r="E1080" s="21" t="s">
        <v>1738</v>
      </c>
    </row>
    <row r="1081" spans="2:5">
      <c r="B1081" s="18" t="s">
        <v>1105</v>
      </c>
      <c r="C1081" s="19" t="s">
        <v>25</v>
      </c>
      <c r="D1081" s="20" t="s">
        <v>1142</v>
      </c>
      <c r="E1081" s="21" t="s">
        <v>1</v>
      </c>
    </row>
    <row r="1082" spans="2:5">
      <c r="B1082" s="18" t="s">
        <v>1105</v>
      </c>
      <c r="C1082" s="19" t="s">
        <v>25</v>
      </c>
      <c r="D1082" s="20" t="s">
        <v>1143</v>
      </c>
      <c r="E1082" s="21" t="s">
        <v>1</v>
      </c>
    </row>
    <row r="1083" spans="2:5">
      <c r="B1083" s="18" t="s">
        <v>1105</v>
      </c>
      <c r="C1083" s="19" t="s">
        <v>25</v>
      </c>
      <c r="D1083" s="20" t="s">
        <v>1144</v>
      </c>
      <c r="E1083" s="21" t="s">
        <v>1</v>
      </c>
    </row>
    <row r="1084" spans="2:5">
      <c r="B1084" s="18" t="s">
        <v>1105</v>
      </c>
      <c r="C1084" s="19" t="s">
        <v>25</v>
      </c>
      <c r="D1084" s="20" t="s">
        <v>1145</v>
      </c>
      <c r="E1084" s="21" t="s">
        <v>1</v>
      </c>
    </row>
    <row r="1085" spans="2:5">
      <c r="B1085" s="18" t="s">
        <v>1105</v>
      </c>
      <c r="C1085" s="19" t="s">
        <v>25</v>
      </c>
      <c r="D1085" s="20" t="s">
        <v>1146</v>
      </c>
      <c r="E1085" s="21" t="s">
        <v>1</v>
      </c>
    </row>
    <row r="1086" spans="2:5">
      <c r="B1086" s="18" t="s">
        <v>1105</v>
      </c>
      <c r="C1086" s="19" t="s">
        <v>25</v>
      </c>
      <c r="D1086" s="20" t="s">
        <v>1147</v>
      </c>
      <c r="E1086" s="21" t="s">
        <v>1738</v>
      </c>
    </row>
    <row r="1087" spans="2:5">
      <c r="B1087" s="18" t="s">
        <v>1105</v>
      </c>
      <c r="C1087" s="19" t="s">
        <v>25</v>
      </c>
      <c r="D1087" s="20" t="s">
        <v>1148</v>
      </c>
      <c r="E1087" s="21" t="s">
        <v>1738</v>
      </c>
    </row>
    <row r="1088" spans="2:5">
      <c r="B1088" s="18" t="s">
        <v>1105</v>
      </c>
      <c r="C1088" s="19" t="s">
        <v>25</v>
      </c>
      <c r="D1088" s="20" t="s">
        <v>1149</v>
      </c>
      <c r="E1088" s="21" t="s">
        <v>1738</v>
      </c>
    </row>
    <row r="1089" spans="2:5">
      <c r="B1089" s="18" t="s">
        <v>1105</v>
      </c>
      <c r="C1089" s="19" t="s">
        <v>25</v>
      </c>
      <c r="D1089" s="20" t="s">
        <v>1150</v>
      </c>
      <c r="E1089" s="21" t="s">
        <v>1</v>
      </c>
    </row>
    <row r="1090" spans="2:5">
      <c r="B1090" s="18" t="s">
        <v>1105</v>
      </c>
      <c r="C1090" s="19" t="s">
        <v>25</v>
      </c>
      <c r="D1090" s="20" t="s">
        <v>1151</v>
      </c>
      <c r="E1090" s="21" t="s">
        <v>1</v>
      </c>
    </row>
    <row r="1091" spans="2:5">
      <c r="B1091" s="18" t="s">
        <v>1105</v>
      </c>
      <c r="C1091" s="19" t="s">
        <v>25</v>
      </c>
      <c r="D1091" s="20" t="s">
        <v>1152</v>
      </c>
      <c r="E1091" s="21" t="s">
        <v>1</v>
      </c>
    </row>
    <row r="1092" spans="2:5">
      <c r="B1092" s="18" t="s">
        <v>1105</v>
      </c>
      <c r="C1092" s="19" t="s">
        <v>25</v>
      </c>
      <c r="D1092" s="20" t="s">
        <v>1153</v>
      </c>
      <c r="E1092" s="21" t="s">
        <v>1</v>
      </c>
    </row>
    <row r="1093" spans="2:5">
      <c r="B1093" s="18" t="s">
        <v>1105</v>
      </c>
      <c r="C1093" s="19" t="s">
        <v>25</v>
      </c>
      <c r="D1093" s="20" t="s">
        <v>1154</v>
      </c>
      <c r="E1093" s="21" t="s">
        <v>1</v>
      </c>
    </row>
    <row r="1094" spans="2:5">
      <c r="B1094" s="18" t="s">
        <v>1105</v>
      </c>
      <c r="C1094" s="19" t="s">
        <v>25</v>
      </c>
      <c r="D1094" s="20" t="s">
        <v>1155</v>
      </c>
      <c r="E1094" s="21" t="s">
        <v>1</v>
      </c>
    </row>
    <row r="1095" spans="2:5">
      <c r="B1095" s="18" t="s">
        <v>1105</v>
      </c>
      <c r="C1095" s="19" t="s">
        <v>25</v>
      </c>
      <c r="D1095" s="20" t="s">
        <v>1156</v>
      </c>
      <c r="E1095" s="21" t="s">
        <v>1</v>
      </c>
    </row>
    <row r="1096" spans="2:5">
      <c r="B1096" s="18" t="s">
        <v>1105</v>
      </c>
      <c r="C1096" s="19" t="s">
        <v>25</v>
      </c>
      <c r="D1096" s="20" t="s">
        <v>1157</v>
      </c>
      <c r="E1096" s="21" t="s">
        <v>1</v>
      </c>
    </row>
    <row r="1097" spans="2:5">
      <c r="B1097" s="18" t="s">
        <v>1105</v>
      </c>
      <c r="C1097" s="19" t="s">
        <v>25</v>
      </c>
      <c r="D1097" s="20" t="s">
        <v>1158</v>
      </c>
      <c r="E1097" s="21" t="s">
        <v>1738</v>
      </c>
    </row>
    <row r="1098" spans="2:5">
      <c r="B1098" s="18" t="s">
        <v>1105</v>
      </c>
      <c r="C1098" s="19" t="s">
        <v>25</v>
      </c>
      <c r="D1098" s="20" t="s">
        <v>1159</v>
      </c>
      <c r="E1098" s="21" t="s">
        <v>1738</v>
      </c>
    </row>
    <row r="1099" spans="2:5">
      <c r="B1099" s="18" t="s">
        <v>1105</v>
      </c>
      <c r="C1099" s="19" t="s">
        <v>25</v>
      </c>
      <c r="D1099" s="20" t="s">
        <v>1160</v>
      </c>
      <c r="E1099" s="21" t="s">
        <v>1738</v>
      </c>
    </row>
    <row r="1100" spans="2:5">
      <c r="B1100" s="18" t="s">
        <v>1105</v>
      </c>
      <c r="C1100" s="19" t="s">
        <v>25</v>
      </c>
      <c r="D1100" s="20" t="s">
        <v>1161</v>
      </c>
      <c r="E1100" s="21" t="s">
        <v>1738</v>
      </c>
    </row>
    <row r="1101" spans="2:5">
      <c r="B1101" s="18" t="s">
        <v>1105</v>
      </c>
      <c r="C1101" s="19" t="s">
        <v>25</v>
      </c>
      <c r="D1101" s="20" t="s">
        <v>1162</v>
      </c>
      <c r="E1101" s="21" t="s">
        <v>1738</v>
      </c>
    </row>
    <row r="1102" spans="2:5">
      <c r="B1102" s="18" t="s">
        <v>1105</v>
      </c>
      <c r="C1102" s="19" t="s">
        <v>25</v>
      </c>
      <c r="D1102" s="20" t="s">
        <v>1163</v>
      </c>
      <c r="E1102" s="21" t="s">
        <v>1738</v>
      </c>
    </row>
    <row r="1103" spans="2:5">
      <c r="B1103" s="18" t="s">
        <v>1105</v>
      </c>
      <c r="C1103" s="19" t="s">
        <v>25</v>
      </c>
      <c r="D1103" s="20" t="s">
        <v>1164</v>
      </c>
      <c r="E1103" s="21" t="s">
        <v>1738</v>
      </c>
    </row>
    <row r="1104" spans="2:5">
      <c r="B1104" s="18" t="s">
        <v>1105</v>
      </c>
      <c r="C1104" s="19" t="s">
        <v>25</v>
      </c>
      <c r="D1104" s="20" t="s">
        <v>1165</v>
      </c>
      <c r="E1104" s="21" t="s">
        <v>1738</v>
      </c>
    </row>
    <row r="1105" spans="2:5">
      <c r="B1105" s="18" t="s">
        <v>1105</v>
      </c>
      <c r="C1105" s="19" t="s">
        <v>25</v>
      </c>
      <c r="D1105" s="20" t="s">
        <v>1166</v>
      </c>
      <c r="E1105" s="21" t="s">
        <v>1738</v>
      </c>
    </row>
    <row r="1106" spans="2:5">
      <c r="B1106" s="18" t="s">
        <v>1105</v>
      </c>
      <c r="C1106" s="19" t="s">
        <v>25</v>
      </c>
      <c r="D1106" s="20" t="s">
        <v>1167</v>
      </c>
      <c r="E1106" s="21" t="s">
        <v>1738</v>
      </c>
    </row>
    <row r="1107" spans="2:5">
      <c r="B1107" s="18" t="s">
        <v>1105</v>
      </c>
      <c r="C1107" s="19" t="s">
        <v>25</v>
      </c>
      <c r="D1107" s="20" t="s">
        <v>1168</v>
      </c>
      <c r="E1107" s="21" t="s">
        <v>1738</v>
      </c>
    </row>
    <row r="1108" spans="2:5">
      <c r="B1108" s="18" t="s">
        <v>1105</v>
      </c>
      <c r="C1108" s="19" t="s">
        <v>25</v>
      </c>
      <c r="D1108" s="20" t="s">
        <v>1169</v>
      </c>
      <c r="E1108" s="21" t="s">
        <v>1</v>
      </c>
    </row>
    <row r="1109" spans="2:5">
      <c r="B1109" s="18" t="s">
        <v>1105</v>
      </c>
      <c r="C1109" s="19" t="s">
        <v>25</v>
      </c>
      <c r="D1109" s="20" t="s">
        <v>1170</v>
      </c>
      <c r="E1109" s="21" t="s">
        <v>1</v>
      </c>
    </row>
    <row r="1110" spans="2:5">
      <c r="B1110" s="18" t="s">
        <v>1105</v>
      </c>
      <c r="C1110" s="19" t="s">
        <v>25</v>
      </c>
      <c r="D1110" s="20" t="s">
        <v>1171</v>
      </c>
      <c r="E1110" s="21" t="s">
        <v>1</v>
      </c>
    </row>
    <row r="1111" spans="2:5">
      <c r="B1111" s="18" t="s">
        <v>1105</v>
      </c>
      <c r="C1111" s="19" t="s">
        <v>25</v>
      </c>
      <c r="D1111" s="20" t="s">
        <v>1172</v>
      </c>
      <c r="E1111" s="21" t="s">
        <v>1</v>
      </c>
    </row>
    <row r="1112" spans="2:5">
      <c r="B1112" s="18" t="s">
        <v>1105</v>
      </c>
      <c r="C1112" s="19" t="s">
        <v>25</v>
      </c>
      <c r="D1112" s="20" t="s">
        <v>1173</v>
      </c>
      <c r="E1112" s="21" t="s">
        <v>1</v>
      </c>
    </row>
    <row r="1113" spans="2:5">
      <c r="B1113" s="18" t="s">
        <v>1105</v>
      </c>
      <c r="C1113" s="19" t="s">
        <v>25</v>
      </c>
      <c r="D1113" s="20" t="s">
        <v>1174</v>
      </c>
      <c r="E1113" s="21" t="s">
        <v>1</v>
      </c>
    </row>
    <row r="1114" spans="2:5">
      <c r="B1114" s="18" t="s">
        <v>1105</v>
      </c>
      <c r="C1114" s="19" t="s">
        <v>25</v>
      </c>
      <c r="D1114" s="20" t="s">
        <v>1175</v>
      </c>
      <c r="E1114" s="21" t="s">
        <v>1</v>
      </c>
    </row>
    <row r="1115" spans="2:5">
      <c r="B1115" s="18" t="s">
        <v>1105</v>
      </c>
      <c r="C1115" s="19" t="s">
        <v>25</v>
      </c>
      <c r="D1115" s="20" t="s">
        <v>1176</v>
      </c>
      <c r="E1115" s="21" t="s">
        <v>1</v>
      </c>
    </row>
    <row r="1116" spans="2:5">
      <c r="B1116" s="18" t="s">
        <v>1105</v>
      </c>
      <c r="C1116" s="19" t="s">
        <v>25</v>
      </c>
      <c r="D1116" s="20" t="s">
        <v>1177</v>
      </c>
      <c r="E1116" s="21" t="s">
        <v>1</v>
      </c>
    </row>
    <row r="1117" spans="2:5">
      <c r="B1117" s="18" t="s">
        <v>1105</v>
      </c>
      <c r="C1117" s="19" t="s">
        <v>25</v>
      </c>
      <c r="D1117" s="20" t="s">
        <v>1178</v>
      </c>
      <c r="E1117" s="21" t="s">
        <v>1</v>
      </c>
    </row>
    <row r="1118" spans="2:5">
      <c r="B1118" s="18" t="s">
        <v>1105</v>
      </c>
      <c r="C1118" s="19" t="s">
        <v>25</v>
      </c>
      <c r="D1118" s="20" t="s">
        <v>1179</v>
      </c>
      <c r="E1118" s="21" t="s">
        <v>1</v>
      </c>
    </row>
    <row r="1119" spans="2:5">
      <c r="B1119" s="18" t="s">
        <v>1105</v>
      </c>
      <c r="C1119" s="19" t="s">
        <v>25</v>
      </c>
      <c r="D1119" s="20" t="s">
        <v>1180</v>
      </c>
      <c r="E1119" s="21" t="s">
        <v>1738</v>
      </c>
    </row>
    <row r="1120" spans="2:5">
      <c r="B1120" s="18" t="s">
        <v>1105</v>
      </c>
      <c r="C1120" s="19" t="s">
        <v>25</v>
      </c>
      <c r="D1120" s="20" t="s">
        <v>1181</v>
      </c>
      <c r="E1120" s="21" t="s">
        <v>1</v>
      </c>
    </row>
    <row r="1121" spans="2:5">
      <c r="B1121" s="18" t="s">
        <v>1105</v>
      </c>
      <c r="C1121" s="19" t="s">
        <v>25</v>
      </c>
      <c r="D1121" s="20" t="s">
        <v>1182</v>
      </c>
      <c r="E1121" s="21" t="s">
        <v>1</v>
      </c>
    </row>
    <row r="1122" spans="2:5">
      <c r="B1122" s="18" t="s">
        <v>1105</v>
      </c>
      <c r="C1122" s="19" t="s">
        <v>25</v>
      </c>
      <c r="D1122" s="20" t="s">
        <v>1183</v>
      </c>
      <c r="E1122" s="21" t="s">
        <v>1</v>
      </c>
    </row>
    <row r="1123" spans="2:5">
      <c r="B1123" s="18" t="s">
        <v>1105</v>
      </c>
      <c r="C1123" s="19" t="s">
        <v>25</v>
      </c>
      <c r="D1123" s="20" t="s">
        <v>1184</v>
      </c>
      <c r="E1123" s="21" t="s">
        <v>1</v>
      </c>
    </row>
    <row r="1124" spans="2:5">
      <c r="B1124" s="18" t="s">
        <v>1105</v>
      </c>
      <c r="C1124" s="19" t="s">
        <v>25</v>
      </c>
      <c r="D1124" s="20" t="s">
        <v>1185</v>
      </c>
      <c r="E1124" s="21" t="s">
        <v>1</v>
      </c>
    </row>
    <row r="1125" spans="2:5">
      <c r="B1125" s="18" t="s">
        <v>1105</v>
      </c>
      <c r="C1125" s="19" t="s">
        <v>25</v>
      </c>
      <c r="D1125" s="20" t="s">
        <v>1186</v>
      </c>
      <c r="E1125" s="21" t="s">
        <v>1738</v>
      </c>
    </row>
    <row r="1126" spans="2:5">
      <c r="B1126" s="18" t="s">
        <v>1105</v>
      </c>
      <c r="C1126" s="19" t="s">
        <v>25</v>
      </c>
      <c r="D1126" s="20" t="s">
        <v>1187</v>
      </c>
      <c r="E1126" s="21" t="s">
        <v>1738</v>
      </c>
    </row>
    <row r="1127" spans="2:5">
      <c r="B1127" s="18" t="s">
        <v>1105</v>
      </c>
      <c r="C1127" s="19" t="s">
        <v>25</v>
      </c>
      <c r="D1127" s="20" t="s">
        <v>1188</v>
      </c>
      <c r="E1127" s="21" t="s">
        <v>1738</v>
      </c>
    </row>
    <row r="1128" spans="2:5">
      <c r="B1128" s="18" t="s">
        <v>1105</v>
      </c>
      <c r="C1128" s="19" t="s">
        <v>25</v>
      </c>
      <c r="D1128" s="20" t="s">
        <v>1189</v>
      </c>
      <c r="E1128" s="21" t="s">
        <v>1</v>
      </c>
    </row>
    <row r="1129" spans="2:5">
      <c r="B1129" s="18" t="s">
        <v>1105</v>
      </c>
      <c r="C1129" s="19" t="s">
        <v>25</v>
      </c>
      <c r="D1129" s="20" t="s">
        <v>1190</v>
      </c>
      <c r="E1129" s="21" t="s">
        <v>1</v>
      </c>
    </row>
    <row r="1130" spans="2:5">
      <c r="B1130" s="18" t="s">
        <v>1105</v>
      </c>
      <c r="C1130" s="19" t="s">
        <v>25</v>
      </c>
      <c r="D1130" s="20" t="s">
        <v>1191</v>
      </c>
      <c r="E1130" s="21" t="s">
        <v>1</v>
      </c>
    </row>
    <row r="1131" spans="2:5">
      <c r="B1131" s="18" t="s">
        <v>1105</v>
      </c>
      <c r="C1131" s="19" t="s">
        <v>25</v>
      </c>
      <c r="D1131" s="20" t="s">
        <v>1192</v>
      </c>
      <c r="E1131" s="21" t="s">
        <v>1</v>
      </c>
    </row>
    <row r="1132" spans="2:5">
      <c r="B1132" s="18" t="s">
        <v>1105</v>
      </c>
      <c r="C1132" s="19" t="s">
        <v>25</v>
      </c>
      <c r="D1132" s="20" t="s">
        <v>1193</v>
      </c>
      <c r="E1132" s="21" t="s">
        <v>1738</v>
      </c>
    </row>
    <row r="1133" spans="2:5">
      <c r="B1133" s="18" t="s">
        <v>1105</v>
      </c>
      <c r="C1133" s="19" t="s">
        <v>25</v>
      </c>
      <c r="D1133" s="20" t="s">
        <v>1194</v>
      </c>
      <c r="E1133" s="21" t="s">
        <v>1</v>
      </c>
    </row>
    <row r="1134" spans="2:5">
      <c r="B1134" s="18" t="s">
        <v>1105</v>
      </c>
      <c r="C1134" s="19" t="s">
        <v>25</v>
      </c>
      <c r="D1134" s="20" t="s">
        <v>1195</v>
      </c>
      <c r="E1134" s="21" t="s">
        <v>1738</v>
      </c>
    </row>
    <row r="1135" spans="2:5">
      <c r="B1135" s="18" t="s">
        <v>1105</v>
      </c>
      <c r="C1135" s="19" t="s">
        <v>25</v>
      </c>
      <c r="D1135" s="20" t="s">
        <v>1196</v>
      </c>
      <c r="E1135" s="21" t="s">
        <v>1</v>
      </c>
    </row>
    <row r="1136" spans="2:5">
      <c r="B1136" s="18" t="s">
        <v>1105</v>
      </c>
      <c r="C1136" s="19" t="s">
        <v>25</v>
      </c>
      <c r="D1136" s="20" t="s">
        <v>1197</v>
      </c>
      <c r="E1136" s="21" t="s">
        <v>1</v>
      </c>
    </row>
    <row r="1137" spans="2:5">
      <c r="B1137" s="18" t="s">
        <v>1105</v>
      </c>
      <c r="C1137" s="19" t="s">
        <v>25</v>
      </c>
      <c r="D1137" s="20" t="s">
        <v>1198</v>
      </c>
      <c r="E1137" s="21" t="s">
        <v>1</v>
      </c>
    </row>
    <row r="1138" spans="2:5">
      <c r="B1138" s="18" t="s">
        <v>1105</v>
      </c>
      <c r="C1138" s="19" t="s">
        <v>25</v>
      </c>
      <c r="D1138" s="20" t="s">
        <v>1199</v>
      </c>
      <c r="E1138" s="21" t="s">
        <v>1</v>
      </c>
    </row>
    <row r="1139" spans="2:5">
      <c r="B1139" s="18" t="s">
        <v>1105</v>
      </c>
      <c r="C1139" s="19" t="s">
        <v>25</v>
      </c>
      <c r="D1139" s="20" t="s">
        <v>1200</v>
      </c>
      <c r="E1139" s="21" t="s">
        <v>1738</v>
      </c>
    </row>
    <row r="1140" spans="2:5">
      <c r="B1140" s="18" t="s">
        <v>1105</v>
      </c>
      <c r="C1140" s="19" t="s">
        <v>25</v>
      </c>
      <c r="D1140" s="20" t="s">
        <v>1201</v>
      </c>
      <c r="E1140" s="21" t="s">
        <v>1</v>
      </c>
    </row>
    <row r="1141" spans="2:5">
      <c r="B1141" s="18" t="s">
        <v>1105</v>
      </c>
      <c r="C1141" s="19" t="s">
        <v>25</v>
      </c>
      <c r="D1141" s="20" t="s">
        <v>1202</v>
      </c>
      <c r="E1141" s="21" t="s">
        <v>1738</v>
      </c>
    </row>
    <row r="1142" spans="2:5">
      <c r="B1142" s="18" t="s">
        <v>1105</v>
      </c>
      <c r="C1142" s="19" t="s">
        <v>25</v>
      </c>
      <c r="D1142" s="20" t="s">
        <v>1203</v>
      </c>
      <c r="E1142" s="21" t="s">
        <v>1</v>
      </c>
    </row>
    <row r="1143" spans="2:5">
      <c r="B1143" s="18" t="s">
        <v>1105</v>
      </c>
      <c r="C1143" s="19" t="s">
        <v>25</v>
      </c>
      <c r="D1143" s="20" t="s">
        <v>1204</v>
      </c>
      <c r="E1143" s="21" t="s">
        <v>1</v>
      </c>
    </row>
    <row r="1144" spans="2:5">
      <c r="B1144" s="18" t="s">
        <v>1105</v>
      </c>
      <c r="C1144" s="19" t="s">
        <v>25</v>
      </c>
      <c r="D1144" s="20" t="s">
        <v>1205</v>
      </c>
      <c r="E1144" s="21" t="s">
        <v>1</v>
      </c>
    </row>
    <row r="1145" spans="2:5">
      <c r="B1145" s="18" t="s">
        <v>1105</v>
      </c>
      <c r="C1145" s="19" t="s">
        <v>25</v>
      </c>
      <c r="D1145" s="20" t="s">
        <v>1206</v>
      </c>
      <c r="E1145" s="21" t="s">
        <v>1</v>
      </c>
    </row>
    <row r="1146" spans="2:5">
      <c r="B1146" s="18" t="s">
        <v>1105</v>
      </c>
      <c r="C1146" s="19" t="s">
        <v>25</v>
      </c>
      <c r="D1146" s="20" t="s">
        <v>1207</v>
      </c>
      <c r="E1146" s="21" t="s">
        <v>1</v>
      </c>
    </row>
    <row r="1147" spans="2:5">
      <c r="B1147" s="18" t="s">
        <v>1105</v>
      </c>
      <c r="C1147" s="19" t="s">
        <v>25</v>
      </c>
      <c r="D1147" s="20" t="s">
        <v>1208</v>
      </c>
      <c r="E1147" s="21" t="s">
        <v>1738</v>
      </c>
    </row>
    <row r="1148" spans="2:5">
      <c r="B1148" s="18" t="s">
        <v>1105</v>
      </c>
      <c r="C1148" s="19" t="s">
        <v>25</v>
      </c>
      <c r="D1148" s="20" t="s">
        <v>1209</v>
      </c>
      <c r="E1148" s="21" t="s">
        <v>1</v>
      </c>
    </row>
    <row r="1149" spans="2:5">
      <c r="B1149" s="18" t="s">
        <v>1105</v>
      </c>
      <c r="C1149" s="19" t="s">
        <v>25</v>
      </c>
      <c r="D1149" s="20" t="s">
        <v>1210</v>
      </c>
      <c r="E1149" s="21" t="s">
        <v>1</v>
      </c>
    </row>
    <row r="1150" spans="2:5">
      <c r="B1150" s="18" t="s">
        <v>1105</v>
      </c>
      <c r="C1150" s="19" t="s">
        <v>25</v>
      </c>
      <c r="D1150" s="20" t="s">
        <v>1211</v>
      </c>
      <c r="E1150" s="21" t="s">
        <v>1</v>
      </c>
    </row>
    <row r="1151" spans="2:5">
      <c r="B1151" s="18" t="s">
        <v>1105</v>
      </c>
      <c r="C1151" s="19" t="s">
        <v>25</v>
      </c>
      <c r="D1151" s="20" t="s">
        <v>1212</v>
      </c>
      <c r="E1151" s="21" t="s">
        <v>1738</v>
      </c>
    </row>
    <row r="1152" spans="2:5">
      <c r="B1152" s="18" t="s">
        <v>1105</v>
      </c>
      <c r="C1152" s="19" t="s">
        <v>25</v>
      </c>
      <c r="D1152" s="20" t="s">
        <v>1213</v>
      </c>
      <c r="E1152" s="21" t="s">
        <v>1738</v>
      </c>
    </row>
    <row r="1153" spans="2:5">
      <c r="B1153" s="18" t="s">
        <v>1105</v>
      </c>
      <c r="C1153" s="19" t="s">
        <v>25</v>
      </c>
      <c r="D1153" s="20" t="s">
        <v>1214</v>
      </c>
      <c r="E1153" s="21" t="s">
        <v>1738</v>
      </c>
    </row>
    <row r="1154" spans="2:5">
      <c r="B1154" s="18" t="s">
        <v>1105</v>
      </c>
      <c r="C1154" s="19" t="s">
        <v>25</v>
      </c>
      <c r="D1154" s="20" t="s">
        <v>1215</v>
      </c>
      <c r="E1154" s="21" t="s">
        <v>1738</v>
      </c>
    </row>
    <row r="1155" spans="2:5">
      <c r="B1155" s="18" t="s">
        <v>1105</v>
      </c>
      <c r="C1155" s="19" t="s">
        <v>25</v>
      </c>
      <c r="D1155" s="20" t="s">
        <v>1216</v>
      </c>
      <c r="E1155" s="21" t="s">
        <v>1738</v>
      </c>
    </row>
    <row r="1156" spans="2:5">
      <c r="B1156" s="18" t="s">
        <v>1105</v>
      </c>
      <c r="C1156" s="19" t="s">
        <v>25</v>
      </c>
      <c r="D1156" s="20" t="s">
        <v>1217</v>
      </c>
      <c r="E1156" s="21" t="s">
        <v>1738</v>
      </c>
    </row>
    <row r="1157" spans="2:5">
      <c r="B1157" s="18" t="s">
        <v>1105</v>
      </c>
      <c r="C1157" s="19" t="s">
        <v>25</v>
      </c>
      <c r="D1157" s="20" t="s">
        <v>1218</v>
      </c>
      <c r="E1157" s="21" t="s">
        <v>1738</v>
      </c>
    </row>
    <row r="1158" spans="2:5">
      <c r="B1158" s="18" t="s">
        <v>1105</v>
      </c>
      <c r="C1158" s="19" t="s">
        <v>25</v>
      </c>
      <c r="D1158" s="20" t="s">
        <v>1219</v>
      </c>
      <c r="E1158" s="21" t="s">
        <v>1738</v>
      </c>
    </row>
    <row r="1159" spans="2:5">
      <c r="B1159" s="18" t="s">
        <v>1105</v>
      </c>
      <c r="C1159" s="19" t="s">
        <v>25</v>
      </c>
      <c r="D1159" s="20" t="s">
        <v>1220</v>
      </c>
      <c r="E1159" s="21" t="s">
        <v>1738</v>
      </c>
    </row>
    <row r="1160" spans="2:5">
      <c r="B1160" s="18" t="s">
        <v>1105</v>
      </c>
      <c r="C1160" s="19" t="s">
        <v>25</v>
      </c>
      <c r="D1160" s="20" t="s">
        <v>1221</v>
      </c>
      <c r="E1160" s="21" t="s">
        <v>1738</v>
      </c>
    </row>
    <row r="1161" spans="2:5">
      <c r="B1161" s="18" t="s">
        <v>1105</v>
      </c>
      <c r="C1161" s="19" t="s">
        <v>25</v>
      </c>
      <c r="D1161" s="20" t="s">
        <v>1222</v>
      </c>
      <c r="E1161" s="21" t="s">
        <v>1738</v>
      </c>
    </row>
    <row r="1162" spans="2:5">
      <c r="B1162" s="18" t="s">
        <v>1105</v>
      </c>
      <c r="C1162" s="19" t="s">
        <v>25</v>
      </c>
      <c r="D1162" s="20" t="s">
        <v>1223</v>
      </c>
      <c r="E1162" s="21" t="s">
        <v>1738</v>
      </c>
    </row>
    <row r="1163" spans="2:5">
      <c r="B1163" s="18" t="s">
        <v>1105</v>
      </c>
      <c r="C1163" s="19" t="s">
        <v>25</v>
      </c>
      <c r="D1163" s="20" t="s">
        <v>1224</v>
      </c>
      <c r="E1163" s="21" t="s">
        <v>1738</v>
      </c>
    </row>
    <row r="1164" spans="2:5">
      <c r="B1164" s="18" t="s">
        <v>1105</v>
      </c>
      <c r="C1164" s="19" t="s">
        <v>25</v>
      </c>
      <c r="D1164" s="20" t="s">
        <v>1225</v>
      </c>
      <c r="E1164" s="21" t="s">
        <v>1738</v>
      </c>
    </row>
    <row r="1165" spans="2:5">
      <c r="B1165" s="18" t="s">
        <v>1105</v>
      </c>
      <c r="C1165" s="19" t="s">
        <v>25</v>
      </c>
      <c r="D1165" s="20" t="s">
        <v>1226</v>
      </c>
      <c r="E1165" s="21" t="s">
        <v>1738</v>
      </c>
    </row>
    <row r="1166" spans="2:5">
      <c r="B1166" s="18" t="s">
        <v>1105</v>
      </c>
      <c r="C1166" s="19" t="s">
        <v>25</v>
      </c>
      <c r="D1166" s="20" t="s">
        <v>1227</v>
      </c>
      <c r="E1166" s="21" t="s">
        <v>1738</v>
      </c>
    </row>
    <row r="1167" spans="2:5">
      <c r="B1167" s="18" t="s">
        <v>1105</v>
      </c>
      <c r="C1167" s="19" t="s">
        <v>25</v>
      </c>
      <c r="D1167" s="20" t="s">
        <v>1228</v>
      </c>
      <c r="E1167" s="21" t="s">
        <v>1738</v>
      </c>
    </row>
    <row r="1168" spans="2:5">
      <c r="B1168" s="18" t="s">
        <v>1105</v>
      </c>
      <c r="C1168" s="19" t="s">
        <v>25</v>
      </c>
      <c r="D1168" s="20" t="s">
        <v>1229</v>
      </c>
      <c r="E1168" s="21" t="s">
        <v>1738</v>
      </c>
    </row>
    <row r="1169" spans="2:5">
      <c r="B1169" s="18" t="s">
        <v>1105</v>
      </c>
      <c r="C1169" s="19" t="s">
        <v>25</v>
      </c>
      <c r="D1169" s="20" t="s">
        <v>1230</v>
      </c>
      <c r="E1169" s="21" t="s">
        <v>1738</v>
      </c>
    </row>
    <row r="1170" spans="2:5">
      <c r="B1170" s="18" t="s">
        <v>1105</v>
      </c>
      <c r="C1170" s="19" t="s">
        <v>25</v>
      </c>
      <c r="D1170" s="20" t="s">
        <v>1231</v>
      </c>
      <c r="E1170" s="21" t="s">
        <v>1738</v>
      </c>
    </row>
    <row r="1171" spans="2:5">
      <c r="B1171" s="18" t="s">
        <v>1105</v>
      </c>
      <c r="C1171" s="19" t="s">
        <v>25</v>
      </c>
      <c r="D1171" s="20" t="s">
        <v>1232</v>
      </c>
      <c r="E1171" s="21" t="s">
        <v>1738</v>
      </c>
    </row>
    <row r="1172" spans="2:5">
      <c r="B1172" s="18" t="s">
        <v>1105</v>
      </c>
      <c r="C1172" s="19" t="s">
        <v>25</v>
      </c>
      <c r="D1172" s="20" t="s">
        <v>1233</v>
      </c>
      <c r="E1172" s="21" t="s">
        <v>1738</v>
      </c>
    </row>
    <row r="1173" spans="2:5">
      <c r="B1173" s="18" t="s">
        <v>1105</v>
      </c>
      <c r="C1173" s="19" t="s">
        <v>25</v>
      </c>
      <c r="D1173" s="20" t="s">
        <v>1234</v>
      </c>
      <c r="E1173" s="21" t="s">
        <v>1738</v>
      </c>
    </row>
    <row r="1174" spans="2:5">
      <c r="B1174" s="18" t="s">
        <v>1105</v>
      </c>
      <c r="C1174" s="19" t="s">
        <v>25</v>
      </c>
      <c r="D1174" s="20" t="s">
        <v>1235</v>
      </c>
      <c r="E1174" s="21" t="s">
        <v>1</v>
      </c>
    </row>
    <row r="1175" spans="2:5">
      <c r="B1175" s="18" t="s">
        <v>1105</v>
      </c>
      <c r="C1175" s="19" t="s">
        <v>25</v>
      </c>
      <c r="D1175" s="20" t="s">
        <v>1236</v>
      </c>
      <c r="E1175" s="21" t="s">
        <v>1738</v>
      </c>
    </row>
    <row r="1176" spans="2:5">
      <c r="B1176" s="18" t="s">
        <v>1105</v>
      </c>
      <c r="C1176" s="19" t="s">
        <v>25</v>
      </c>
      <c r="D1176" s="20" t="s">
        <v>1237</v>
      </c>
      <c r="E1176" s="21" t="s">
        <v>1</v>
      </c>
    </row>
    <row r="1177" spans="2:5">
      <c r="B1177" s="18" t="s">
        <v>1105</v>
      </c>
      <c r="C1177" s="19" t="s">
        <v>25</v>
      </c>
      <c r="D1177" s="20" t="s">
        <v>1238</v>
      </c>
      <c r="E1177" s="21" t="s">
        <v>1</v>
      </c>
    </row>
    <row r="1178" spans="2:5">
      <c r="B1178" s="18" t="s">
        <v>1105</v>
      </c>
      <c r="C1178" s="19" t="s">
        <v>25</v>
      </c>
      <c r="D1178" s="20" t="s">
        <v>1239</v>
      </c>
      <c r="E1178" s="21" t="s">
        <v>1738</v>
      </c>
    </row>
    <row r="1179" spans="2:5">
      <c r="B1179" s="18" t="s">
        <v>1105</v>
      </c>
      <c r="C1179" s="19" t="s">
        <v>25</v>
      </c>
      <c r="D1179" s="20" t="s">
        <v>1240</v>
      </c>
      <c r="E1179" s="21" t="s">
        <v>1</v>
      </c>
    </row>
    <row r="1180" spans="2:5">
      <c r="B1180" s="18" t="s">
        <v>1105</v>
      </c>
      <c r="C1180" s="19" t="s">
        <v>25</v>
      </c>
      <c r="D1180" s="20" t="s">
        <v>1241</v>
      </c>
      <c r="E1180" s="21" t="s">
        <v>1</v>
      </c>
    </row>
    <row r="1181" spans="2:5">
      <c r="B1181" s="18" t="s">
        <v>1105</v>
      </c>
      <c r="C1181" s="19" t="s">
        <v>25</v>
      </c>
      <c r="D1181" s="20" t="s">
        <v>1242</v>
      </c>
      <c r="E1181" s="21" t="s">
        <v>1</v>
      </c>
    </row>
    <row r="1182" spans="2:5">
      <c r="B1182" s="18" t="s">
        <v>1105</v>
      </c>
      <c r="C1182" s="19" t="s">
        <v>25</v>
      </c>
      <c r="D1182" s="20" t="s">
        <v>1243</v>
      </c>
      <c r="E1182" s="21" t="s">
        <v>1</v>
      </c>
    </row>
    <row r="1183" spans="2:5">
      <c r="B1183" s="18" t="s">
        <v>1105</v>
      </c>
      <c r="C1183" s="19" t="s">
        <v>25</v>
      </c>
      <c r="D1183" s="20" t="s">
        <v>1244</v>
      </c>
      <c r="E1183" s="21" t="s">
        <v>1738</v>
      </c>
    </row>
    <row r="1184" spans="2:5">
      <c r="B1184" s="18" t="s">
        <v>1105</v>
      </c>
      <c r="C1184" s="19" t="s">
        <v>25</v>
      </c>
      <c r="D1184" s="20" t="s">
        <v>1245</v>
      </c>
      <c r="E1184" s="21" t="s">
        <v>1738</v>
      </c>
    </row>
    <row r="1185" spans="2:5">
      <c r="B1185" s="18" t="s">
        <v>1105</v>
      </c>
      <c r="C1185" s="19" t="s">
        <v>25</v>
      </c>
      <c r="D1185" s="20" t="s">
        <v>1246</v>
      </c>
      <c r="E1185" s="21" t="s">
        <v>1738</v>
      </c>
    </row>
    <row r="1186" spans="2:5">
      <c r="B1186" s="18" t="s">
        <v>1105</v>
      </c>
      <c r="C1186" s="19" t="s">
        <v>25</v>
      </c>
      <c r="D1186" s="20" t="s">
        <v>1247</v>
      </c>
      <c r="E1186" s="21" t="s">
        <v>1738</v>
      </c>
    </row>
    <row r="1187" spans="2:5">
      <c r="B1187" s="18" t="s">
        <v>1105</v>
      </c>
      <c r="C1187" s="19" t="s">
        <v>25</v>
      </c>
      <c r="D1187" s="20" t="s">
        <v>1248</v>
      </c>
      <c r="E1187" s="21" t="s">
        <v>1738</v>
      </c>
    </row>
    <row r="1188" spans="2:5">
      <c r="B1188" s="18" t="s">
        <v>1105</v>
      </c>
      <c r="C1188" s="19" t="s">
        <v>25</v>
      </c>
      <c r="D1188" s="20" t="s">
        <v>1249</v>
      </c>
      <c r="E1188" s="21" t="s">
        <v>1738</v>
      </c>
    </row>
    <row r="1189" spans="2:5">
      <c r="B1189" s="18" t="s">
        <v>1105</v>
      </c>
      <c r="C1189" s="19" t="s">
        <v>25</v>
      </c>
      <c r="D1189" s="20" t="s">
        <v>1250</v>
      </c>
      <c r="E1189" s="21" t="s">
        <v>1738</v>
      </c>
    </row>
    <row r="1190" spans="2:5">
      <c r="B1190" s="18" t="s">
        <v>1105</v>
      </c>
      <c r="C1190" s="19" t="s">
        <v>25</v>
      </c>
      <c r="D1190" s="20" t="s">
        <v>1251</v>
      </c>
      <c r="E1190" s="21" t="s">
        <v>1</v>
      </c>
    </row>
    <row r="1191" spans="2:5">
      <c r="B1191" s="18" t="s">
        <v>1105</v>
      </c>
      <c r="C1191" s="19" t="s">
        <v>25</v>
      </c>
      <c r="D1191" s="20" t="s">
        <v>1252</v>
      </c>
      <c r="E1191" s="21" t="s">
        <v>1</v>
      </c>
    </row>
    <row r="1192" spans="2:5">
      <c r="B1192" s="18" t="s">
        <v>1105</v>
      </c>
      <c r="C1192" s="19" t="s">
        <v>25</v>
      </c>
      <c r="D1192" s="20" t="s">
        <v>1253</v>
      </c>
      <c r="E1192" s="21" t="s">
        <v>1</v>
      </c>
    </row>
    <row r="1193" spans="2:5">
      <c r="B1193" s="18" t="s">
        <v>1105</v>
      </c>
      <c r="C1193" s="19" t="s">
        <v>25</v>
      </c>
      <c r="D1193" s="20" t="s">
        <v>1254</v>
      </c>
      <c r="E1193" s="21" t="s">
        <v>1</v>
      </c>
    </row>
    <row r="1194" spans="2:5">
      <c r="B1194" s="18" t="s">
        <v>1105</v>
      </c>
      <c r="C1194" s="19" t="s">
        <v>25</v>
      </c>
      <c r="D1194" s="20" t="s">
        <v>1255</v>
      </c>
      <c r="E1194" s="21" t="s">
        <v>1</v>
      </c>
    </row>
    <row r="1195" spans="2:5">
      <c r="B1195" s="18" t="s">
        <v>1105</v>
      </c>
      <c r="C1195" s="19" t="s">
        <v>25</v>
      </c>
      <c r="D1195" s="20" t="s">
        <v>1256</v>
      </c>
      <c r="E1195" s="21" t="s">
        <v>1</v>
      </c>
    </row>
    <row r="1196" spans="2:5">
      <c r="B1196" s="18" t="s">
        <v>1105</v>
      </c>
      <c r="C1196" s="19" t="s">
        <v>25</v>
      </c>
      <c r="D1196" s="20" t="s">
        <v>1257</v>
      </c>
      <c r="E1196" s="21" t="s">
        <v>1</v>
      </c>
    </row>
    <row r="1197" spans="2:5">
      <c r="B1197" s="18" t="s">
        <v>1105</v>
      </c>
      <c r="C1197" s="19" t="s">
        <v>25</v>
      </c>
      <c r="D1197" s="20" t="s">
        <v>1258</v>
      </c>
      <c r="E1197" s="21" t="s">
        <v>1</v>
      </c>
    </row>
    <row r="1198" spans="2:5">
      <c r="B1198" s="18" t="s">
        <v>1105</v>
      </c>
      <c r="C1198" s="19" t="s">
        <v>25</v>
      </c>
      <c r="D1198" s="20" t="s">
        <v>1259</v>
      </c>
      <c r="E1198" s="21" t="s">
        <v>1</v>
      </c>
    </row>
    <row r="1199" spans="2:5">
      <c r="B1199" s="18" t="s">
        <v>1105</v>
      </c>
      <c r="C1199" s="19" t="s">
        <v>25</v>
      </c>
      <c r="D1199" s="20" t="s">
        <v>1260</v>
      </c>
      <c r="E1199" s="21" t="s">
        <v>1</v>
      </c>
    </row>
    <row r="1200" spans="2:5">
      <c r="B1200" s="18" t="s">
        <v>1105</v>
      </c>
      <c r="C1200" s="19" t="s">
        <v>25</v>
      </c>
      <c r="D1200" s="20" t="s">
        <v>1261</v>
      </c>
      <c r="E1200" s="21" t="s">
        <v>1738</v>
      </c>
    </row>
    <row r="1201" spans="2:5">
      <c r="B1201" s="18" t="s">
        <v>1105</v>
      </c>
      <c r="C1201" s="19" t="s">
        <v>25</v>
      </c>
      <c r="D1201" s="20" t="s">
        <v>1262</v>
      </c>
      <c r="E1201" s="21" t="s">
        <v>1738</v>
      </c>
    </row>
    <row r="1202" spans="2:5">
      <c r="B1202" s="18" t="s">
        <v>1105</v>
      </c>
      <c r="C1202" s="19" t="s">
        <v>25</v>
      </c>
      <c r="D1202" s="20" t="s">
        <v>1263</v>
      </c>
      <c r="E1202" s="21" t="s">
        <v>1738</v>
      </c>
    </row>
    <row r="1203" spans="2:5">
      <c r="B1203" s="18" t="s">
        <v>1105</v>
      </c>
      <c r="C1203" s="19" t="s">
        <v>25</v>
      </c>
      <c r="D1203" s="20" t="s">
        <v>1264</v>
      </c>
      <c r="E1203" s="21" t="s">
        <v>1738</v>
      </c>
    </row>
    <row r="1204" spans="2:5">
      <c r="B1204" s="18" t="s">
        <v>1105</v>
      </c>
      <c r="C1204" s="19" t="s">
        <v>25</v>
      </c>
      <c r="D1204" s="20" t="s">
        <v>1265</v>
      </c>
      <c r="E1204" s="21" t="s">
        <v>1738</v>
      </c>
    </row>
    <row r="1205" spans="2:5">
      <c r="B1205" s="18" t="s">
        <v>1105</v>
      </c>
      <c r="C1205" s="19" t="s">
        <v>25</v>
      </c>
      <c r="D1205" s="20" t="s">
        <v>1266</v>
      </c>
      <c r="E1205" s="21" t="s">
        <v>1738</v>
      </c>
    </row>
    <row r="1206" spans="2:5">
      <c r="B1206" s="18" t="s">
        <v>1105</v>
      </c>
      <c r="C1206" s="19" t="s">
        <v>25</v>
      </c>
      <c r="D1206" s="20" t="s">
        <v>1267</v>
      </c>
      <c r="E1206" s="21" t="s">
        <v>1738</v>
      </c>
    </row>
    <row r="1207" spans="2:5">
      <c r="B1207" s="18" t="s">
        <v>1105</v>
      </c>
      <c r="C1207" s="19" t="s">
        <v>25</v>
      </c>
      <c r="D1207" s="20" t="s">
        <v>1268</v>
      </c>
      <c r="E1207" s="21" t="s">
        <v>1738</v>
      </c>
    </row>
    <row r="1208" spans="2:5">
      <c r="B1208" s="18" t="s">
        <v>1105</v>
      </c>
      <c r="C1208" s="19" t="s">
        <v>25</v>
      </c>
      <c r="D1208" s="20" t="s">
        <v>1269</v>
      </c>
      <c r="E1208" s="21" t="s">
        <v>1</v>
      </c>
    </row>
    <row r="1209" spans="2:5">
      <c r="B1209" s="18" t="s">
        <v>1105</v>
      </c>
      <c r="C1209" s="19" t="s">
        <v>25</v>
      </c>
      <c r="D1209" s="20" t="s">
        <v>1270</v>
      </c>
      <c r="E1209" s="21" t="s">
        <v>1738</v>
      </c>
    </row>
    <row r="1210" spans="2:5">
      <c r="B1210" s="18" t="s">
        <v>1105</v>
      </c>
      <c r="C1210" s="19" t="s">
        <v>25</v>
      </c>
      <c r="D1210" s="20" t="s">
        <v>1271</v>
      </c>
      <c r="E1210" s="21" t="s">
        <v>1738</v>
      </c>
    </row>
    <row r="1211" spans="2:5">
      <c r="B1211" s="18" t="s">
        <v>1105</v>
      </c>
      <c r="C1211" s="19" t="s">
        <v>25</v>
      </c>
      <c r="D1211" s="20" t="s">
        <v>1272</v>
      </c>
      <c r="E1211" s="21" t="s">
        <v>1</v>
      </c>
    </row>
    <row r="1212" spans="2:5">
      <c r="B1212" s="18" t="s">
        <v>1105</v>
      </c>
      <c r="C1212" s="19" t="s">
        <v>25</v>
      </c>
      <c r="D1212" s="20" t="s">
        <v>1273</v>
      </c>
      <c r="E1212" s="21" t="s">
        <v>1738</v>
      </c>
    </row>
    <row r="1213" spans="2:5">
      <c r="B1213" s="18" t="s">
        <v>1105</v>
      </c>
      <c r="C1213" s="19" t="s">
        <v>25</v>
      </c>
      <c r="D1213" s="20" t="s">
        <v>1274</v>
      </c>
      <c r="E1213" s="21" t="s">
        <v>1738</v>
      </c>
    </row>
    <row r="1214" spans="2:5">
      <c r="B1214" s="18" t="s">
        <v>1105</v>
      </c>
      <c r="C1214" s="19" t="s">
        <v>25</v>
      </c>
      <c r="D1214" s="20" t="s">
        <v>1275</v>
      </c>
      <c r="E1214" s="21" t="s">
        <v>1738</v>
      </c>
    </row>
    <row r="1215" spans="2:5">
      <c r="B1215" s="18" t="s">
        <v>1105</v>
      </c>
      <c r="C1215" s="19" t="s">
        <v>25</v>
      </c>
      <c r="D1215" s="20" t="s">
        <v>1276</v>
      </c>
      <c r="E1215" s="21" t="s">
        <v>1738</v>
      </c>
    </row>
    <row r="1216" spans="2:5">
      <c r="B1216" s="18" t="s">
        <v>1105</v>
      </c>
      <c r="C1216" s="19" t="s">
        <v>25</v>
      </c>
      <c r="D1216" s="20" t="s">
        <v>1277</v>
      </c>
      <c r="E1216" s="21" t="s">
        <v>1</v>
      </c>
    </row>
    <row r="1217" spans="2:5">
      <c r="B1217" s="18" t="s">
        <v>1105</v>
      </c>
      <c r="C1217" s="19" t="s">
        <v>25</v>
      </c>
      <c r="D1217" s="20" t="s">
        <v>1278</v>
      </c>
      <c r="E1217" s="21" t="s">
        <v>1738</v>
      </c>
    </row>
    <row r="1218" spans="2:5">
      <c r="B1218" s="18" t="s">
        <v>1105</v>
      </c>
      <c r="C1218" s="19" t="s">
        <v>25</v>
      </c>
      <c r="D1218" s="20" t="s">
        <v>1279</v>
      </c>
      <c r="E1218" s="21" t="s">
        <v>1</v>
      </c>
    </row>
    <row r="1219" spans="2:5">
      <c r="B1219" s="18" t="s">
        <v>1105</v>
      </c>
      <c r="C1219" s="19" t="s">
        <v>25</v>
      </c>
      <c r="D1219" s="20" t="s">
        <v>1280</v>
      </c>
      <c r="E1219" s="21" t="s">
        <v>1738</v>
      </c>
    </row>
    <row r="1220" spans="2:5">
      <c r="B1220" s="18" t="s">
        <v>1105</v>
      </c>
      <c r="C1220" s="19" t="s">
        <v>25</v>
      </c>
      <c r="D1220" s="20" t="s">
        <v>1281</v>
      </c>
      <c r="E1220" s="21" t="s">
        <v>1</v>
      </c>
    </row>
    <row r="1221" spans="2:5">
      <c r="B1221" s="18" t="s">
        <v>1105</v>
      </c>
      <c r="C1221" s="19" t="s">
        <v>25</v>
      </c>
      <c r="D1221" s="20" t="s">
        <v>1282</v>
      </c>
      <c r="E1221" s="21" t="s">
        <v>1738</v>
      </c>
    </row>
    <row r="1222" spans="2:5">
      <c r="B1222" s="18" t="s">
        <v>1105</v>
      </c>
      <c r="C1222" s="19" t="s">
        <v>25</v>
      </c>
      <c r="D1222" s="20" t="s">
        <v>1283</v>
      </c>
      <c r="E1222" s="21" t="s">
        <v>1738</v>
      </c>
    </row>
    <row r="1223" spans="2:5">
      <c r="B1223" s="18" t="s">
        <v>1105</v>
      </c>
      <c r="C1223" s="19" t="s">
        <v>25</v>
      </c>
      <c r="D1223" s="20" t="s">
        <v>1284</v>
      </c>
      <c r="E1223" s="21" t="s">
        <v>1738</v>
      </c>
    </row>
    <row r="1224" spans="2:5">
      <c r="B1224" s="18" t="s">
        <v>1105</v>
      </c>
      <c r="C1224" s="19" t="s">
        <v>25</v>
      </c>
      <c r="D1224" s="20" t="s">
        <v>1285</v>
      </c>
      <c r="E1224" s="21" t="s">
        <v>1738</v>
      </c>
    </row>
    <row r="1225" spans="2:5">
      <c r="B1225" s="18" t="s">
        <v>1105</v>
      </c>
      <c r="C1225" s="19" t="s">
        <v>25</v>
      </c>
      <c r="D1225" s="20" t="s">
        <v>1286</v>
      </c>
      <c r="E1225" s="21" t="s">
        <v>1</v>
      </c>
    </row>
    <row r="1226" spans="2:5">
      <c r="B1226" s="18" t="s">
        <v>1105</v>
      </c>
      <c r="C1226" s="19" t="s">
        <v>25</v>
      </c>
      <c r="D1226" s="20" t="s">
        <v>1287</v>
      </c>
      <c r="E1226" s="21" t="s">
        <v>1738</v>
      </c>
    </row>
    <row r="1227" spans="2:5">
      <c r="B1227" s="18" t="s">
        <v>1105</v>
      </c>
      <c r="C1227" s="19" t="s">
        <v>25</v>
      </c>
      <c r="D1227" s="20" t="s">
        <v>1288</v>
      </c>
      <c r="E1227" s="21" t="s">
        <v>1738</v>
      </c>
    </row>
    <row r="1228" spans="2:5">
      <c r="B1228" s="18" t="s">
        <v>1105</v>
      </c>
      <c r="C1228" s="19" t="s">
        <v>25</v>
      </c>
      <c r="D1228" s="20" t="s">
        <v>1289</v>
      </c>
      <c r="E1228" s="21" t="s">
        <v>1738</v>
      </c>
    </row>
    <row r="1229" spans="2:5">
      <c r="B1229" s="18" t="s">
        <v>1105</v>
      </c>
      <c r="C1229" s="19" t="s">
        <v>25</v>
      </c>
      <c r="D1229" s="20" t="s">
        <v>1290</v>
      </c>
      <c r="E1229" s="21" t="s">
        <v>1738</v>
      </c>
    </row>
    <row r="1230" spans="2:5">
      <c r="B1230" s="18" t="s">
        <v>1105</v>
      </c>
      <c r="C1230" s="19" t="s">
        <v>25</v>
      </c>
      <c r="D1230" s="20" t="s">
        <v>1291</v>
      </c>
      <c r="E1230" s="21" t="s">
        <v>1738</v>
      </c>
    </row>
    <row r="1231" spans="2:5">
      <c r="B1231" s="18" t="s">
        <v>1105</v>
      </c>
      <c r="C1231" s="19" t="s">
        <v>25</v>
      </c>
      <c r="D1231" s="20" t="s">
        <v>1292</v>
      </c>
      <c r="E1231" s="21" t="s">
        <v>1738</v>
      </c>
    </row>
    <row r="1232" spans="2:5">
      <c r="B1232" s="18" t="s">
        <v>1105</v>
      </c>
      <c r="C1232" s="19" t="s">
        <v>25</v>
      </c>
      <c r="D1232" s="20" t="s">
        <v>1293</v>
      </c>
      <c r="E1232" s="21" t="s">
        <v>1738</v>
      </c>
    </row>
    <row r="1233" spans="2:5">
      <c r="B1233" s="18" t="s">
        <v>1105</v>
      </c>
      <c r="C1233" s="19" t="s">
        <v>25</v>
      </c>
      <c r="D1233" s="20" t="s">
        <v>1294</v>
      </c>
      <c r="E1233" s="21" t="s">
        <v>1738</v>
      </c>
    </row>
    <row r="1234" spans="2:5">
      <c r="B1234" s="18" t="s">
        <v>1105</v>
      </c>
      <c r="C1234" s="19" t="s">
        <v>25</v>
      </c>
      <c r="D1234" s="20" t="s">
        <v>1295</v>
      </c>
      <c r="E1234" s="21" t="s">
        <v>1738</v>
      </c>
    </row>
    <row r="1235" spans="2:5">
      <c r="B1235" s="18" t="s">
        <v>1105</v>
      </c>
      <c r="C1235" s="19" t="s">
        <v>25</v>
      </c>
      <c r="D1235" s="20" t="s">
        <v>1296</v>
      </c>
      <c r="E1235" s="21" t="s">
        <v>1738</v>
      </c>
    </row>
    <row r="1236" spans="2:5">
      <c r="B1236" s="18" t="s">
        <v>1105</v>
      </c>
      <c r="C1236" s="19" t="s">
        <v>25</v>
      </c>
      <c r="D1236" s="20" t="s">
        <v>1297</v>
      </c>
      <c r="E1236" s="21" t="s">
        <v>1738</v>
      </c>
    </row>
    <row r="1237" spans="2:5">
      <c r="B1237" s="18" t="s">
        <v>1105</v>
      </c>
      <c r="C1237" s="19" t="s">
        <v>25</v>
      </c>
      <c r="D1237" s="20" t="s">
        <v>1298</v>
      </c>
      <c r="E1237" s="21" t="s">
        <v>1738</v>
      </c>
    </row>
    <row r="1238" spans="2:5">
      <c r="B1238" s="18" t="s">
        <v>1105</v>
      </c>
      <c r="C1238" s="19" t="s">
        <v>25</v>
      </c>
      <c r="D1238" s="20" t="s">
        <v>1299</v>
      </c>
      <c r="E1238" s="21" t="s">
        <v>1738</v>
      </c>
    </row>
    <row r="1239" spans="2:5">
      <c r="B1239" s="18" t="s">
        <v>1105</v>
      </c>
      <c r="C1239" s="19" t="s">
        <v>25</v>
      </c>
      <c r="D1239" s="20" t="s">
        <v>1300</v>
      </c>
      <c r="E1239" s="21" t="s">
        <v>1738</v>
      </c>
    </row>
    <row r="1240" spans="2:5">
      <c r="B1240" s="18" t="s">
        <v>1105</v>
      </c>
      <c r="C1240" s="19" t="s">
        <v>25</v>
      </c>
      <c r="D1240" s="20" t="s">
        <v>1301</v>
      </c>
      <c r="E1240" s="21" t="s">
        <v>1</v>
      </c>
    </row>
    <row r="1241" spans="2:5">
      <c r="B1241" s="18" t="s">
        <v>1105</v>
      </c>
      <c r="C1241" s="19" t="s">
        <v>25</v>
      </c>
      <c r="D1241" s="20" t="s">
        <v>1302</v>
      </c>
      <c r="E1241" s="21" t="s">
        <v>1</v>
      </c>
    </row>
    <row r="1242" spans="2:5">
      <c r="B1242" s="18" t="s">
        <v>1105</v>
      </c>
      <c r="C1242" s="19" t="s">
        <v>25</v>
      </c>
      <c r="D1242" s="20" t="s">
        <v>1303</v>
      </c>
      <c r="E1242" s="21" t="s">
        <v>1</v>
      </c>
    </row>
    <row r="1243" spans="2:5">
      <c r="B1243" s="18" t="s">
        <v>1105</v>
      </c>
      <c r="C1243" s="19" t="s">
        <v>25</v>
      </c>
      <c r="D1243" s="20" t="s">
        <v>1304</v>
      </c>
      <c r="E1243" s="21" t="s">
        <v>1</v>
      </c>
    </row>
    <row r="1244" spans="2:5">
      <c r="B1244" s="18" t="s">
        <v>1105</v>
      </c>
      <c r="C1244" s="19" t="s">
        <v>25</v>
      </c>
      <c r="D1244" s="20" t="s">
        <v>1305</v>
      </c>
      <c r="E1244" s="21" t="s">
        <v>1</v>
      </c>
    </row>
    <row r="1245" spans="2:5">
      <c r="B1245" s="18" t="s">
        <v>1105</v>
      </c>
      <c r="C1245" s="19" t="s">
        <v>25</v>
      </c>
      <c r="D1245" s="20" t="s">
        <v>1306</v>
      </c>
      <c r="E1245" s="21" t="s">
        <v>1</v>
      </c>
    </row>
    <row r="1246" spans="2:5">
      <c r="B1246" s="18" t="s">
        <v>1105</v>
      </c>
      <c r="C1246" s="19" t="s">
        <v>25</v>
      </c>
      <c r="D1246" s="20" t="s">
        <v>1307</v>
      </c>
      <c r="E1246" s="21" t="s">
        <v>1738</v>
      </c>
    </row>
    <row r="1247" spans="2:5">
      <c r="B1247" s="18" t="s">
        <v>1105</v>
      </c>
      <c r="C1247" s="19" t="s">
        <v>25</v>
      </c>
      <c r="D1247" s="20" t="s">
        <v>1308</v>
      </c>
      <c r="E1247" s="21" t="s">
        <v>1738</v>
      </c>
    </row>
    <row r="1248" spans="2:5">
      <c r="B1248" s="18" t="s">
        <v>1105</v>
      </c>
      <c r="C1248" s="19" t="s">
        <v>25</v>
      </c>
      <c r="D1248" s="20" t="s">
        <v>1309</v>
      </c>
      <c r="E1248" s="21" t="s">
        <v>1</v>
      </c>
    </row>
    <row r="1249" spans="2:5">
      <c r="B1249" s="18" t="s">
        <v>1105</v>
      </c>
      <c r="C1249" s="19" t="s">
        <v>25</v>
      </c>
      <c r="D1249" s="20" t="s">
        <v>1310</v>
      </c>
      <c r="E1249" s="21" t="s">
        <v>1</v>
      </c>
    </row>
    <row r="1250" spans="2:5">
      <c r="B1250" s="18" t="s">
        <v>1105</v>
      </c>
      <c r="C1250" s="19" t="s">
        <v>25</v>
      </c>
      <c r="D1250" s="20" t="s">
        <v>1311</v>
      </c>
      <c r="E1250" s="21" t="s">
        <v>1</v>
      </c>
    </row>
    <row r="1251" spans="2:5">
      <c r="B1251" s="18" t="s">
        <v>1105</v>
      </c>
      <c r="C1251" s="19" t="s">
        <v>25</v>
      </c>
      <c r="D1251" s="20" t="s">
        <v>1312</v>
      </c>
      <c r="E1251" s="21" t="s">
        <v>1</v>
      </c>
    </row>
    <row r="1252" spans="2:5">
      <c r="B1252" s="18" t="s">
        <v>1105</v>
      </c>
      <c r="C1252" s="19" t="s">
        <v>25</v>
      </c>
      <c r="D1252" s="20" t="s">
        <v>1313</v>
      </c>
      <c r="E1252" s="21" t="s">
        <v>1738</v>
      </c>
    </row>
    <row r="1253" spans="2:5">
      <c r="B1253" s="18" t="s">
        <v>1105</v>
      </c>
      <c r="C1253" s="19" t="s">
        <v>25</v>
      </c>
      <c r="D1253" s="20" t="s">
        <v>1314</v>
      </c>
      <c r="E1253" s="21" t="s">
        <v>1738</v>
      </c>
    </row>
    <row r="1254" spans="2:5">
      <c r="B1254" s="18" t="s">
        <v>1105</v>
      </c>
      <c r="C1254" s="19" t="s">
        <v>25</v>
      </c>
      <c r="D1254" s="20" t="s">
        <v>1315</v>
      </c>
      <c r="E1254" s="21" t="s">
        <v>1</v>
      </c>
    </row>
    <row r="1255" spans="2:5">
      <c r="B1255" s="18" t="s">
        <v>1105</v>
      </c>
      <c r="C1255" s="19" t="s">
        <v>25</v>
      </c>
      <c r="D1255" s="20" t="s">
        <v>1316</v>
      </c>
      <c r="E1255" s="21" t="s">
        <v>1738</v>
      </c>
    </row>
    <row r="1256" spans="2:5">
      <c r="B1256" s="18" t="s">
        <v>1105</v>
      </c>
      <c r="C1256" s="19" t="s">
        <v>25</v>
      </c>
      <c r="D1256" s="20" t="s">
        <v>1317</v>
      </c>
      <c r="E1256" s="21" t="s">
        <v>1</v>
      </c>
    </row>
    <row r="1257" spans="2:5">
      <c r="B1257" s="18" t="s">
        <v>1105</v>
      </c>
      <c r="C1257" s="19" t="s">
        <v>25</v>
      </c>
      <c r="D1257" s="20" t="s">
        <v>1318</v>
      </c>
      <c r="E1257" s="21" t="s">
        <v>1738</v>
      </c>
    </row>
    <row r="1258" spans="2:5">
      <c r="B1258" s="18" t="s">
        <v>1105</v>
      </c>
      <c r="C1258" s="19" t="s">
        <v>25</v>
      </c>
      <c r="D1258" s="20" t="s">
        <v>1319</v>
      </c>
      <c r="E1258" s="21" t="s">
        <v>1738</v>
      </c>
    </row>
    <row r="1259" spans="2:5">
      <c r="B1259" s="18" t="s">
        <v>1105</v>
      </c>
      <c r="C1259" s="19" t="s">
        <v>25</v>
      </c>
      <c r="D1259" s="20" t="s">
        <v>1320</v>
      </c>
      <c r="E1259" s="21" t="s">
        <v>1</v>
      </c>
    </row>
    <row r="1260" spans="2:5">
      <c r="B1260" s="18" t="s">
        <v>1105</v>
      </c>
      <c r="C1260" s="19" t="s">
        <v>25</v>
      </c>
      <c r="D1260" s="20" t="s">
        <v>1321</v>
      </c>
      <c r="E1260" s="21" t="s">
        <v>1</v>
      </c>
    </row>
    <row r="1261" spans="2:5">
      <c r="B1261" s="18" t="s">
        <v>1105</v>
      </c>
      <c r="C1261" s="19" t="s">
        <v>25</v>
      </c>
      <c r="D1261" s="20" t="s">
        <v>1322</v>
      </c>
      <c r="E1261" s="21" t="s">
        <v>1</v>
      </c>
    </row>
    <row r="1262" spans="2:5">
      <c r="B1262" s="18" t="s">
        <v>1105</v>
      </c>
      <c r="C1262" s="19" t="s">
        <v>25</v>
      </c>
      <c r="D1262" s="20" t="s">
        <v>1323</v>
      </c>
      <c r="E1262" s="21" t="s">
        <v>1</v>
      </c>
    </row>
    <row r="1263" spans="2:5">
      <c r="B1263" s="18" t="s">
        <v>1105</v>
      </c>
      <c r="C1263" s="19" t="s">
        <v>25</v>
      </c>
      <c r="D1263" s="20" t="s">
        <v>1324</v>
      </c>
      <c r="E1263" s="21" t="s">
        <v>1738</v>
      </c>
    </row>
    <row r="1264" spans="2:5">
      <c r="B1264" s="18" t="s">
        <v>1105</v>
      </c>
      <c r="C1264" s="19" t="s">
        <v>25</v>
      </c>
      <c r="D1264" s="20" t="s">
        <v>1325</v>
      </c>
      <c r="E1264" s="21" t="s">
        <v>1738</v>
      </c>
    </row>
    <row r="1265" spans="2:5">
      <c r="B1265" s="18" t="s">
        <v>1105</v>
      </c>
      <c r="C1265" s="19" t="s">
        <v>25</v>
      </c>
      <c r="D1265" s="20" t="s">
        <v>1326</v>
      </c>
      <c r="E1265" s="21" t="s">
        <v>1738</v>
      </c>
    </row>
    <row r="1266" spans="2:5">
      <c r="B1266" s="18" t="s">
        <v>1105</v>
      </c>
      <c r="C1266" s="19" t="s">
        <v>25</v>
      </c>
      <c r="D1266" s="20" t="s">
        <v>1327</v>
      </c>
      <c r="E1266" s="21" t="s">
        <v>1</v>
      </c>
    </row>
    <row r="1267" spans="2:5">
      <c r="B1267" s="18" t="s">
        <v>1105</v>
      </c>
      <c r="C1267" s="19" t="s">
        <v>25</v>
      </c>
      <c r="D1267" s="20" t="s">
        <v>1328</v>
      </c>
      <c r="E1267" s="21" t="s">
        <v>1</v>
      </c>
    </row>
    <row r="1268" spans="2:5">
      <c r="B1268" s="18" t="s">
        <v>1105</v>
      </c>
      <c r="C1268" s="19" t="s">
        <v>25</v>
      </c>
      <c r="D1268" s="20" t="s">
        <v>1329</v>
      </c>
      <c r="E1268" s="21" t="s">
        <v>1</v>
      </c>
    </row>
    <row r="1269" spans="2:5">
      <c r="B1269" s="18" t="s">
        <v>1105</v>
      </c>
      <c r="C1269" s="19" t="s">
        <v>25</v>
      </c>
      <c r="D1269" s="20" t="s">
        <v>1330</v>
      </c>
      <c r="E1269" s="21" t="s">
        <v>1</v>
      </c>
    </row>
    <row r="1270" spans="2:5">
      <c r="B1270" s="18" t="s">
        <v>1105</v>
      </c>
      <c r="C1270" s="19" t="s">
        <v>25</v>
      </c>
      <c r="D1270" s="20" t="s">
        <v>1331</v>
      </c>
      <c r="E1270" s="21" t="s">
        <v>1</v>
      </c>
    </row>
    <row r="1271" spans="2:5">
      <c r="B1271" s="18" t="s">
        <v>1105</v>
      </c>
      <c r="C1271" s="19" t="s">
        <v>25</v>
      </c>
      <c r="D1271" s="20" t="s">
        <v>1332</v>
      </c>
      <c r="E1271" s="21" t="s">
        <v>1</v>
      </c>
    </row>
    <row r="1272" spans="2:5">
      <c r="B1272" s="18" t="s">
        <v>1105</v>
      </c>
      <c r="C1272" s="19" t="s">
        <v>25</v>
      </c>
      <c r="D1272" s="20" t="s">
        <v>1333</v>
      </c>
      <c r="E1272" s="21" t="s">
        <v>1</v>
      </c>
    </row>
    <row r="1273" spans="2:5">
      <c r="B1273" s="18" t="s">
        <v>1105</v>
      </c>
      <c r="C1273" s="19" t="s">
        <v>25</v>
      </c>
      <c r="D1273" s="20" t="s">
        <v>1334</v>
      </c>
      <c r="E1273" s="21" t="s">
        <v>1</v>
      </c>
    </row>
    <row r="1274" spans="2:5">
      <c r="B1274" s="18" t="s">
        <v>1105</v>
      </c>
      <c r="C1274" s="19" t="s">
        <v>25</v>
      </c>
      <c r="D1274" s="20" t="s">
        <v>1335</v>
      </c>
      <c r="E1274" s="21" t="s">
        <v>1</v>
      </c>
    </row>
    <row r="1275" spans="2:5">
      <c r="B1275" s="18" t="s">
        <v>1105</v>
      </c>
      <c r="C1275" s="19" t="s">
        <v>25</v>
      </c>
      <c r="D1275" s="20" t="s">
        <v>1336</v>
      </c>
      <c r="E1275" s="21" t="s">
        <v>1</v>
      </c>
    </row>
    <row r="1276" spans="2:5">
      <c r="B1276" s="18" t="s">
        <v>1105</v>
      </c>
      <c r="C1276" s="19" t="s">
        <v>25</v>
      </c>
      <c r="D1276" s="20" t="s">
        <v>1337</v>
      </c>
      <c r="E1276" s="21" t="s">
        <v>1</v>
      </c>
    </row>
    <row r="1277" spans="2:5">
      <c r="B1277" s="18" t="s">
        <v>1105</v>
      </c>
      <c r="C1277" s="19" t="s">
        <v>25</v>
      </c>
      <c r="D1277" s="20" t="s">
        <v>1338</v>
      </c>
      <c r="E1277" s="21" t="s">
        <v>1</v>
      </c>
    </row>
    <row r="1278" spans="2:5">
      <c r="B1278" s="18" t="s">
        <v>1105</v>
      </c>
      <c r="C1278" s="19" t="s">
        <v>25</v>
      </c>
      <c r="D1278" s="20" t="s">
        <v>1339</v>
      </c>
      <c r="E1278" s="21" t="s">
        <v>1</v>
      </c>
    </row>
    <row r="1279" spans="2:5">
      <c r="B1279" s="18" t="s">
        <v>1105</v>
      </c>
      <c r="C1279" s="19" t="s">
        <v>25</v>
      </c>
      <c r="D1279" s="20" t="s">
        <v>1340</v>
      </c>
      <c r="E1279" s="21" t="s">
        <v>1</v>
      </c>
    </row>
    <row r="1280" spans="2:5">
      <c r="B1280" s="18" t="s">
        <v>1105</v>
      </c>
      <c r="C1280" s="19" t="s">
        <v>25</v>
      </c>
      <c r="D1280" s="20" t="s">
        <v>1341</v>
      </c>
      <c r="E1280" s="21" t="s">
        <v>1738</v>
      </c>
    </row>
    <row r="1281" spans="2:5">
      <c r="B1281" s="18" t="s">
        <v>1105</v>
      </c>
      <c r="C1281" s="19" t="s">
        <v>25</v>
      </c>
      <c r="D1281" s="20" t="s">
        <v>1342</v>
      </c>
      <c r="E1281" s="21" t="s">
        <v>1</v>
      </c>
    </row>
    <row r="1282" spans="2:5">
      <c r="B1282" s="18" t="s">
        <v>1105</v>
      </c>
      <c r="C1282" s="19" t="s">
        <v>25</v>
      </c>
      <c r="D1282" s="20" t="s">
        <v>1343</v>
      </c>
      <c r="E1282" s="21" t="s">
        <v>1</v>
      </c>
    </row>
    <row r="1283" spans="2:5">
      <c r="B1283" s="18" t="s">
        <v>1105</v>
      </c>
      <c r="C1283" s="19" t="s">
        <v>25</v>
      </c>
      <c r="D1283" s="20" t="s">
        <v>1344</v>
      </c>
      <c r="E1283" s="21" t="s">
        <v>1</v>
      </c>
    </row>
    <row r="1284" spans="2:5">
      <c r="B1284" s="18" t="s">
        <v>1105</v>
      </c>
      <c r="C1284" s="19" t="s">
        <v>25</v>
      </c>
      <c r="D1284" s="20" t="s">
        <v>1345</v>
      </c>
      <c r="E1284" s="21" t="s">
        <v>1738</v>
      </c>
    </row>
    <row r="1285" spans="2:5">
      <c r="B1285" s="18" t="s">
        <v>1105</v>
      </c>
      <c r="C1285" s="19" t="s">
        <v>25</v>
      </c>
      <c r="D1285" s="20" t="s">
        <v>1346</v>
      </c>
      <c r="E1285" s="21" t="s">
        <v>1738</v>
      </c>
    </row>
    <row r="1286" spans="2:5">
      <c r="B1286" s="18" t="s">
        <v>1105</v>
      </c>
      <c r="C1286" s="19" t="s">
        <v>25</v>
      </c>
      <c r="D1286" s="20" t="s">
        <v>1347</v>
      </c>
      <c r="E1286" s="21" t="s">
        <v>1738</v>
      </c>
    </row>
    <row r="1287" spans="2:5">
      <c r="B1287" s="18" t="s">
        <v>1105</v>
      </c>
      <c r="C1287" s="19" t="s">
        <v>25</v>
      </c>
      <c r="D1287" s="20" t="s">
        <v>1348</v>
      </c>
      <c r="E1287" s="21" t="s">
        <v>1738</v>
      </c>
    </row>
    <row r="1288" spans="2:5">
      <c r="B1288" s="18" t="s">
        <v>1105</v>
      </c>
      <c r="C1288" s="19" t="s">
        <v>25</v>
      </c>
      <c r="D1288" s="20" t="s">
        <v>1349</v>
      </c>
      <c r="E1288" s="21" t="s">
        <v>1</v>
      </c>
    </row>
    <row r="1289" spans="2:5">
      <c r="B1289" s="18" t="s">
        <v>1105</v>
      </c>
      <c r="C1289" s="19" t="s">
        <v>25</v>
      </c>
      <c r="D1289" s="20" t="s">
        <v>1350</v>
      </c>
      <c r="E1289" s="21" t="s">
        <v>1</v>
      </c>
    </row>
    <row r="1290" spans="2:5">
      <c r="B1290" s="18" t="s">
        <v>1105</v>
      </c>
      <c r="C1290" s="19" t="s">
        <v>25</v>
      </c>
      <c r="D1290" s="20" t="s">
        <v>1351</v>
      </c>
      <c r="E1290" s="21" t="s">
        <v>1738</v>
      </c>
    </row>
    <row r="1291" spans="2:5">
      <c r="B1291" s="18" t="s">
        <v>1105</v>
      </c>
      <c r="C1291" s="19" t="s">
        <v>25</v>
      </c>
      <c r="D1291" s="20" t="s">
        <v>1352</v>
      </c>
      <c r="E1291" s="21" t="s">
        <v>1738</v>
      </c>
    </row>
    <row r="1292" spans="2:5">
      <c r="B1292" s="18" t="s">
        <v>1105</v>
      </c>
      <c r="C1292" s="19" t="s">
        <v>25</v>
      </c>
      <c r="D1292" s="20" t="s">
        <v>1353</v>
      </c>
      <c r="E1292" s="21" t="s">
        <v>1</v>
      </c>
    </row>
    <row r="1293" spans="2:5">
      <c r="B1293" s="18" t="s">
        <v>1105</v>
      </c>
      <c r="C1293" s="19" t="s">
        <v>25</v>
      </c>
      <c r="D1293" s="20" t="s">
        <v>1354</v>
      </c>
      <c r="E1293" s="21" t="s">
        <v>1</v>
      </c>
    </row>
    <row r="1294" spans="2:5">
      <c r="B1294" s="18" t="s">
        <v>1105</v>
      </c>
      <c r="C1294" s="19" t="s">
        <v>25</v>
      </c>
      <c r="D1294" s="20" t="s">
        <v>1355</v>
      </c>
      <c r="E1294" s="21" t="s">
        <v>1</v>
      </c>
    </row>
    <row r="1295" spans="2:5">
      <c r="B1295" s="18" t="s">
        <v>1105</v>
      </c>
      <c r="C1295" s="19" t="s">
        <v>25</v>
      </c>
      <c r="D1295" s="20" t="s">
        <v>1356</v>
      </c>
      <c r="E1295" s="21" t="s">
        <v>1</v>
      </c>
    </row>
    <row r="1296" spans="2:5">
      <c r="B1296" s="18" t="s">
        <v>1105</v>
      </c>
      <c r="C1296" s="19" t="s">
        <v>25</v>
      </c>
      <c r="D1296" s="20" t="s">
        <v>1357</v>
      </c>
      <c r="E1296" s="21" t="s">
        <v>1</v>
      </c>
    </row>
    <row r="1297" spans="2:5">
      <c r="B1297" s="18" t="s">
        <v>1105</v>
      </c>
      <c r="C1297" s="19" t="s">
        <v>25</v>
      </c>
      <c r="D1297" s="20" t="s">
        <v>1358</v>
      </c>
      <c r="E1297" s="21" t="s">
        <v>1</v>
      </c>
    </row>
    <row r="1298" spans="2:5">
      <c r="B1298" s="18" t="s">
        <v>1105</v>
      </c>
      <c r="C1298" s="19" t="s">
        <v>25</v>
      </c>
      <c r="D1298" s="20" t="s">
        <v>1359</v>
      </c>
      <c r="E1298" s="21" t="s">
        <v>1</v>
      </c>
    </row>
    <row r="1299" spans="2:5">
      <c r="B1299" s="18" t="s">
        <v>1105</v>
      </c>
      <c r="C1299" s="19" t="s">
        <v>25</v>
      </c>
      <c r="D1299" s="20" t="s">
        <v>1360</v>
      </c>
      <c r="E1299" s="21" t="s">
        <v>1</v>
      </c>
    </row>
    <row r="1300" spans="2:5">
      <c r="B1300" s="18" t="s">
        <v>1105</v>
      </c>
      <c r="C1300" s="19" t="s">
        <v>25</v>
      </c>
      <c r="D1300" s="20" t="s">
        <v>1361</v>
      </c>
      <c r="E1300" s="21" t="s">
        <v>1</v>
      </c>
    </row>
    <row r="1301" spans="2:5">
      <c r="B1301" s="18" t="s">
        <v>1105</v>
      </c>
      <c r="C1301" s="19" t="s">
        <v>25</v>
      </c>
      <c r="D1301" s="20" t="s">
        <v>1362</v>
      </c>
      <c r="E1301" s="21" t="s">
        <v>1</v>
      </c>
    </row>
    <row r="1302" spans="2:5">
      <c r="B1302" s="18" t="s">
        <v>1105</v>
      </c>
      <c r="C1302" s="19" t="s">
        <v>25</v>
      </c>
      <c r="D1302" s="20" t="s">
        <v>1363</v>
      </c>
      <c r="E1302" s="21" t="s">
        <v>1</v>
      </c>
    </row>
    <row r="1303" spans="2:5">
      <c r="B1303" s="18" t="s">
        <v>1105</v>
      </c>
      <c r="C1303" s="19" t="s">
        <v>25</v>
      </c>
      <c r="D1303" s="20" t="s">
        <v>1364</v>
      </c>
      <c r="E1303" s="21" t="s">
        <v>1</v>
      </c>
    </row>
    <row r="1304" spans="2:5">
      <c r="B1304" s="18" t="s">
        <v>1105</v>
      </c>
      <c r="C1304" s="19" t="s">
        <v>25</v>
      </c>
      <c r="D1304" s="20" t="s">
        <v>1365</v>
      </c>
      <c r="E1304" s="21" t="s">
        <v>1</v>
      </c>
    </row>
    <row r="1305" spans="2:5">
      <c r="B1305" s="18" t="s">
        <v>1105</v>
      </c>
      <c r="C1305" s="19" t="s">
        <v>25</v>
      </c>
      <c r="D1305" s="20" t="s">
        <v>1366</v>
      </c>
      <c r="E1305" s="21" t="s">
        <v>1</v>
      </c>
    </row>
    <row r="1306" spans="2:5">
      <c r="B1306" s="18" t="s">
        <v>1105</v>
      </c>
      <c r="C1306" s="19" t="s">
        <v>25</v>
      </c>
      <c r="D1306" s="20" t="s">
        <v>1367</v>
      </c>
      <c r="E1306" s="21" t="s">
        <v>1</v>
      </c>
    </row>
    <row r="1307" spans="2:5">
      <c r="B1307" s="18" t="s">
        <v>1105</v>
      </c>
      <c r="C1307" s="19" t="s">
        <v>25</v>
      </c>
      <c r="D1307" s="20" t="s">
        <v>1368</v>
      </c>
      <c r="E1307" s="21" t="s">
        <v>1</v>
      </c>
    </row>
    <row r="1308" spans="2:5">
      <c r="B1308" s="18" t="s">
        <v>1105</v>
      </c>
      <c r="C1308" s="19" t="s">
        <v>25</v>
      </c>
      <c r="D1308" s="20" t="s">
        <v>1369</v>
      </c>
      <c r="E1308" s="21" t="s">
        <v>1</v>
      </c>
    </row>
    <row r="1309" spans="2:5">
      <c r="B1309" s="18" t="s">
        <v>1105</v>
      </c>
      <c r="C1309" s="19" t="s">
        <v>25</v>
      </c>
      <c r="D1309" s="20" t="s">
        <v>1370</v>
      </c>
      <c r="E1309" s="21" t="s">
        <v>1</v>
      </c>
    </row>
    <row r="1310" spans="2:5">
      <c r="B1310" s="18" t="s">
        <v>1105</v>
      </c>
      <c r="C1310" s="19" t="s">
        <v>25</v>
      </c>
      <c r="D1310" s="20" t="s">
        <v>1371</v>
      </c>
      <c r="E1310" s="21" t="s">
        <v>1738</v>
      </c>
    </row>
    <row r="1311" spans="2:5">
      <c r="B1311" s="18" t="s">
        <v>1105</v>
      </c>
      <c r="C1311" s="19" t="s">
        <v>25</v>
      </c>
      <c r="D1311" s="20" t="s">
        <v>1372</v>
      </c>
      <c r="E1311" s="21" t="s">
        <v>1</v>
      </c>
    </row>
    <row r="1312" spans="2:5">
      <c r="B1312" s="18" t="s">
        <v>1105</v>
      </c>
      <c r="C1312" s="19" t="s">
        <v>25</v>
      </c>
      <c r="D1312" s="20" t="s">
        <v>1373</v>
      </c>
      <c r="E1312" s="21" t="s">
        <v>1738</v>
      </c>
    </row>
    <row r="1313" spans="2:5">
      <c r="B1313" s="18" t="s">
        <v>1105</v>
      </c>
      <c r="C1313" s="19" t="s">
        <v>25</v>
      </c>
      <c r="D1313" s="20" t="s">
        <v>1374</v>
      </c>
      <c r="E1313" s="21" t="s">
        <v>1</v>
      </c>
    </row>
    <row r="1314" spans="2:5">
      <c r="B1314" s="18" t="s">
        <v>1105</v>
      </c>
      <c r="C1314" s="19" t="s">
        <v>25</v>
      </c>
      <c r="D1314" s="20" t="s">
        <v>1375</v>
      </c>
      <c r="E1314" s="21" t="s">
        <v>1</v>
      </c>
    </row>
    <row r="1315" spans="2:5">
      <c r="B1315" s="18" t="s">
        <v>1105</v>
      </c>
      <c r="C1315" s="19" t="s">
        <v>25</v>
      </c>
      <c r="D1315" s="20" t="s">
        <v>1376</v>
      </c>
      <c r="E1315" s="21" t="s">
        <v>1</v>
      </c>
    </row>
    <row r="1316" spans="2:5">
      <c r="B1316" s="18" t="s">
        <v>1105</v>
      </c>
      <c r="C1316" s="19" t="s">
        <v>25</v>
      </c>
      <c r="D1316" s="20" t="s">
        <v>1377</v>
      </c>
      <c r="E1316" s="21" t="s">
        <v>1</v>
      </c>
    </row>
    <row r="1317" spans="2:5">
      <c r="B1317" s="18" t="s">
        <v>1105</v>
      </c>
      <c r="C1317" s="19" t="s">
        <v>25</v>
      </c>
      <c r="D1317" s="20" t="s">
        <v>1378</v>
      </c>
      <c r="E1317" s="21" t="s">
        <v>1</v>
      </c>
    </row>
    <row r="1318" spans="2:5">
      <c r="B1318" s="18" t="s">
        <v>1105</v>
      </c>
      <c r="C1318" s="19" t="s">
        <v>25</v>
      </c>
      <c r="D1318" s="20" t="s">
        <v>1379</v>
      </c>
      <c r="E1318" s="21" t="s">
        <v>1</v>
      </c>
    </row>
    <row r="1319" spans="2:5">
      <c r="B1319" s="18" t="s">
        <v>1105</v>
      </c>
      <c r="C1319" s="19" t="s">
        <v>25</v>
      </c>
      <c r="D1319" s="20" t="s">
        <v>1380</v>
      </c>
      <c r="E1319" s="21" t="s">
        <v>1738</v>
      </c>
    </row>
    <row r="1320" spans="2:5">
      <c r="B1320" s="18" t="s">
        <v>1105</v>
      </c>
      <c r="C1320" s="19" t="s">
        <v>25</v>
      </c>
      <c r="D1320" s="20" t="s">
        <v>1381</v>
      </c>
      <c r="E1320" s="21" t="s">
        <v>1</v>
      </c>
    </row>
    <row r="1321" spans="2:5">
      <c r="B1321" s="18" t="s">
        <v>1105</v>
      </c>
      <c r="C1321" s="19" t="s">
        <v>25</v>
      </c>
      <c r="D1321" s="20" t="s">
        <v>1382</v>
      </c>
      <c r="E1321" s="21" t="s">
        <v>1738</v>
      </c>
    </row>
    <row r="1322" spans="2:5">
      <c r="B1322" s="18" t="s">
        <v>1105</v>
      </c>
      <c r="C1322" s="19" t="s">
        <v>25</v>
      </c>
      <c r="D1322" s="20" t="s">
        <v>1383</v>
      </c>
      <c r="E1322" s="21" t="s">
        <v>1</v>
      </c>
    </row>
    <row r="1323" spans="2:5">
      <c r="B1323" s="18" t="s">
        <v>1105</v>
      </c>
      <c r="C1323" s="19" t="s">
        <v>25</v>
      </c>
      <c r="D1323" s="20" t="s">
        <v>1384</v>
      </c>
      <c r="E1323" s="21" t="s">
        <v>1738</v>
      </c>
    </row>
    <row r="1324" spans="2:5">
      <c r="B1324" s="18" t="s">
        <v>1105</v>
      </c>
      <c r="C1324" s="19" t="s">
        <v>25</v>
      </c>
      <c r="D1324" s="20" t="s">
        <v>1385</v>
      </c>
      <c r="E1324" s="21" t="s">
        <v>1738</v>
      </c>
    </row>
    <row r="1325" spans="2:5">
      <c r="B1325" s="18" t="s">
        <v>1105</v>
      </c>
      <c r="C1325" s="19" t="s">
        <v>25</v>
      </c>
      <c r="D1325" s="20" t="s">
        <v>1386</v>
      </c>
      <c r="E1325" s="21" t="s">
        <v>1738</v>
      </c>
    </row>
    <row r="1326" spans="2:5">
      <c r="B1326" s="18" t="s">
        <v>1105</v>
      </c>
      <c r="C1326" s="19" t="s">
        <v>25</v>
      </c>
      <c r="D1326" s="20" t="s">
        <v>1387</v>
      </c>
      <c r="E1326" s="21" t="s">
        <v>1</v>
      </c>
    </row>
    <row r="1327" spans="2:5">
      <c r="B1327" s="18" t="s">
        <v>1105</v>
      </c>
      <c r="C1327" s="19" t="s">
        <v>25</v>
      </c>
      <c r="D1327" s="20" t="s">
        <v>1388</v>
      </c>
      <c r="E1327" s="21" t="s">
        <v>1</v>
      </c>
    </row>
    <row r="1328" spans="2:5">
      <c r="B1328" s="18" t="s">
        <v>1105</v>
      </c>
      <c r="C1328" s="19" t="s">
        <v>25</v>
      </c>
      <c r="D1328" s="20" t="s">
        <v>1389</v>
      </c>
      <c r="E1328" s="21" t="s">
        <v>1738</v>
      </c>
    </row>
    <row r="1329" spans="2:5">
      <c r="B1329" s="18" t="s">
        <v>1105</v>
      </c>
      <c r="C1329" s="19" t="s">
        <v>25</v>
      </c>
      <c r="D1329" s="20" t="s">
        <v>1390</v>
      </c>
      <c r="E1329" s="21" t="s">
        <v>1</v>
      </c>
    </row>
    <row r="1330" spans="2:5">
      <c r="B1330" s="18" t="s">
        <v>1105</v>
      </c>
      <c r="C1330" s="19" t="s">
        <v>25</v>
      </c>
      <c r="D1330" s="20" t="s">
        <v>1391</v>
      </c>
      <c r="E1330" s="21" t="s">
        <v>1738</v>
      </c>
    </row>
    <row r="1331" spans="2:5">
      <c r="B1331" s="18" t="s">
        <v>1105</v>
      </c>
      <c r="C1331" s="19" t="s">
        <v>25</v>
      </c>
      <c r="D1331" s="20" t="s">
        <v>1392</v>
      </c>
      <c r="E1331" s="21" t="s">
        <v>1</v>
      </c>
    </row>
    <row r="1332" spans="2:5">
      <c r="B1332" s="18" t="s">
        <v>1105</v>
      </c>
      <c r="C1332" s="19" t="s">
        <v>25</v>
      </c>
      <c r="D1332" s="20" t="s">
        <v>1393</v>
      </c>
      <c r="E1332" s="21" t="s">
        <v>1</v>
      </c>
    </row>
    <row r="1333" spans="2:5">
      <c r="B1333" s="18" t="s">
        <v>1105</v>
      </c>
      <c r="C1333" s="19" t="s">
        <v>25</v>
      </c>
      <c r="D1333" s="20" t="s">
        <v>1394</v>
      </c>
      <c r="E1333" s="21" t="s">
        <v>1738</v>
      </c>
    </row>
    <row r="1334" spans="2:5">
      <c r="B1334" s="18" t="s">
        <v>1105</v>
      </c>
      <c r="C1334" s="19" t="s">
        <v>25</v>
      </c>
      <c r="D1334" s="20" t="s">
        <v>1395</v>
      </c>
      <c r="E1334" s="21" t="s">
        <v>1738</v>
      </c>
    </row>
    <row r="1335" spans="2:5">
      <c r="B1335" s="18" t="s">
        <v>1105</v>
      </c>
      <c r="C1335" s="19" t="s">
        <v>25</v>
      </c>
      <c r="D1335" s="20" t="s">
        <v>1396</v>
      </c>
      <c r="E1335" s="21" t="s">
        <v>1</v>
      </c>
    </row>
    <row r="1336" spans="2:5">
      <c r="B1336" s="18" t="s">
        <v>1105</v>
      </c>
      <c r="C1336" s="19" t="s">
        <v>25</v>
      </c>
      <c r="D1336" s="20" t="s">
        <v>1397</v>
      </c>
      <c r="E1336" s="21" t="s">
        <v>1738</v>
      </c>
    </row>
    <row r="1337" spans="2:5">
      <c r="B1337" s="18" t="s">
        <v>1105</v>
      </c>
      <c r="C1337" s="19" t="s">
        <v>25</v>
      </c>
      <c r="D1337" s="20" t="s">
        <v>1398</v>
      </c>
      <c r="E1337" s="21" t="s">
        <v>1738</v>
      </c>
    </row>
    <row r="1338" spans="2:5">
      <c r="B1338" s="18" t="s">
        <v>1105</v>
      </c>
      <c r="C1338" s="19" t="s">
        <v>25</v>
      </c>
      <c r="D1338" s="20" t="s">
        <v>1399</v>
      </c>
      <c r="E1338" s="21" t="s">
        <v>1738</v>
      </c>
    </row>
    <row r="1339" spans="2:5">
      <c r="B1339" s="18" t="s">
        <v>1105</v>
      </c>
      <c r="C1339" s="19" t="s">
        <v>25</v>
      </c>
      <c r="D1339" s="20" t="s">
        <v>1400</v>
      </c>
      <c r="E1339" s="21" t="s">
        <v>1</v>
      </c>
    </row>
    <row r="1340" spans="2:5">
      <c r="B1340" s="18" t="s">
        <v>1105</v>
      </c>
      <c r="C1340" s="19" t="s">
        <v>25</v>
      </c>
      <c r="D1340" s="20" t="s">
        <v>1401</v>
      </c>
      <c r="E1340" s="21" t="s">
        <v>1</v>
      </c>
    </row>
    <row r="1341" spans="2:5">
      <c r="B1341" s="18" t="s">
        <v>1105</v>
      </c>
      <c r="C1341" s="19" t="s">
        <v>25</v>
      </c>
      <c r="D1341" s="20" t="s">
        <v>1402</v>
      </c>
      <c r="E1341" s="21" t="s">
        <v>1</v>
      </c>
    </row>
    <row r="1342" spans="2:5">
      <c r="B1342" s="18" t="s">
        <v>1105</v>
      </c>
      <c r="C1342" s="19" t="s">
        <v>25</v>
      </c>
      <c r="D1342" s="20" t="s">
        <v>1403</v>
      </c>
      <c r="E1342" s="21" t="s">
        <v>1</v>
      </c>
    </row>
    <row r="1343" spans="2:5">
      <c r="B1343" s="18" t="s">
        <v>1105</v>
      </c>
      <c r="C1343" s="19" t="s">
        <v>25</v>
      </c>
      <c r="D1343" s="20" t="s">
        <v>1404</v>
      </c>
      <c r="E1343" s="21" t="s">
        <v>1</v>
      </c>
    </row>
    <row r="1344" spans="2:5">
      <c r="B1344" s="18" t="s">
        <v>1105</v>
      </c>
      <c r="C1344" s="19" t="s">
        <v>25</v>
      </c>
      <c r="D1344" s="20" t="s">
        <v>1405</v>
      </c>
      <c r="E1344" s="21" t="s">
        <v>1</v>
      </c>
    </row>
    <row r="1345" spans="2:5">
      <c r="B1345" s="18" t="s">
        <v>1105</v>
      </c>
      <c r="C1345" s="19" t="s">
        <v>25</v>
      </c>
      <c r="D1345" s="20" t="s">
        <v>1406</v>
      </c>
      <c r="E1345" s="21" t="s">
        <v>1</v>
      </c>
    </row>
    <row r="1346" spans="2:5">
      <c r="B1346" s="18" t="s">
        <v>1105</v>
      </c>
      <c r="C1346" s="19" t="s">
        <v>25</v>
      </c>
      <c r="D1346" s="20" t="s">
        <v>1407</v>
      </c>
      <c r="E1346" s="21" t="s">
        <v>1</v>
      </c>
    </row>
    <row r="1347" spans="2:5">
      <c r="B1347" s="18" t="s">
        <v>1105</v>
      </c>
      <c r="C1347" s="19" t="s">
        <v>25</v>
      </c>
      <c r="D1347" s="20" t="s">
        <v>1408</v>
      </c>
      <c r="E1347" s="21" t="s">
        <v>1</v>
      </c>
    </row>
    <row r="1348" spans="2:5">
      <c r="B1348" s="18" t="s">
        <v>1105</v>
      </c>
      <c r="C1348" s="19" t="s">
        <v>25</v>
      </c>
      <c r="D1348" s="20" t="s">
        <v>1409</v>
      </c>
      <c r="E1348" s="21" t="s">
        <v>1</v>
      </c>
    </row>
    <row r="1349" spans="2:5">
      <c r="B1349" s="18" t="s">
        <v>1105</v>
      </c>
      <c r="C1349" s="19" t="s">
        <v>25</v>
      </c>
      <c r="D1349" s="20" t="s">
        <v>1410</v>
      </c>
      <c r="E1349" s="21" t="s">
        <v>1</v>
      </c>
    </row>
    <row r="1350" spans="2:5">
      <c r="B1350" s="18" t="s">
        <v>1105</v>
      </c>
      <c r="C1350" s="19" t="s">
        <v>25</v>
      </c>
      <c r="D1350" s="20" t="s">
        <v>1411</v>
      </c>
      <c r="E1350" s="21" t="s">
        <v>1738</v>
      </c>
    </row>
    <row r="1351" spans="2:5">
      <c r="B1351" s="18" t="s">
        <v>1105</v>
      </c>
      <c r="C1351" s="19" t="s">
        <v>25</v>
      </c>
      <c r="D1351" s="20" t="s">
        <v>1412</v>
      </c>
      <c r="E1351" s="21" t="s">
        <v>1</v>
      </c>
    </row>
    <row r="1352" spans="2:5">
      <c r="B1352" s="18" t="s">
        <v>1105</v>
      </c>
      <c r="C1352" s="19" t="s">
        <v>25</v>
      </c>
      <c r="D1352" s="20" t="s">
        <v>1413</v>
      </c>
      <c r="E1352" s="21" t="s">
        <v>1738</v>
      </c>
    </row>
    <row r="1353" spans="2:5">
      <c r="B1353" s="18" t="s">
        <v>1105</v>
      </c>
      <c r="C1353" s="19" t="s">
        <v>25</v>
      </c>
      <c r="D1353" s="20" t="s">
        <v>1414</v>
      </c>
      <c r="E1353" s="21" t="s">
        <v>1738</v>
      </c>
    </row>
    <row r="1354" spans="2:5">
      <c r="B1354" s="18" t="s">
        <v>1105</v>
      </c>
      <c r="C1354" s="19" t="s">
        <v>25</v>
      </c>
      <c r="D1354" s="20" t="s">
        <v>1415</v>
      </c>
      <c r="E1354" s="21" t="s">
        <v>1738</v>
      </c>
    </row>
    <row r="1355" spans="2:5">
      <c r="B1355" s="18" t="s">
        <v>1105</v>
      </c>
      <c r="C1355" s="19" t="s">
        <v>25</v>
      </c>
      <c r="D1355" s="20" t="s">
        <v>1416</v>
      </c>
      <c r="E1355" s="21" t="s">
        <v>1738</v>
      </c>
    </row>
    <row r="1356" spans="2:5">
      <c r="B1356" s="18" t="s">
        <v>1105</v>
      </c>
      <c r="C1356" s="19" t="s">
        <v>25</v>
      </c>
      <c r="D1356" s="20" t="s">
        <v>1417</v>
      </c>
      <c r="E1356" s="21" t="s">
        <v>1</v>
      </c>
    </row>
    <row r="1357" spans="2:5">
      <c r="B1357" s="18" t="s">
        <v>1105</v>
      </c>
      <c r="C1357" s="19" t="s">
        <v>25</v>
      </c>
      <c r="D1357" s="20" t="s">
        <v>1418</v>
      </c>
      <c r="E1357" s="21" t="s">
        <v>1738</v>
      </c>
    </row>
    <row r="1358" spans="2:5">
      <c r="B1358" s="18" t="s">
        <v>1105</v>
      </c>
      <c r="C1358" s="19" t="s">
        <v>25</v>
      </c>
      <c r="D1358" s="20" t="s">
        <v>1419</v>
      </c>
      <c r="E1358" s="21" t="s">
        <v>1</v>
      </c>
    </row>
    <row r="1359" spans="2:5">
      <c r="B1359" s="18" t="s">
        <v>1105</v>
      </c>
      <c r="C1359" s="19" t="s">
        <v>25</v>
      </c>
      <c r="D1359" s="20" t="s">
        <v>1420</v>
      </c>
      <c r="E1359" s="21" t="s">
        <v>1738</v>
      </c>
    </row>
    <row r="1360" spans="2:5">
      <c r="B1360" s="18" t="s">
        <v>1105</v>
      </c>
      <c r="C1360" s="19" t="s">
        <v>25</v>
      </c>
      <c r="D1360" s="20" t="s">
        <v>1421</v>
      </c>
      <c r="E1360" s="21" t="s">
        <v>1</v>
      </c>
    </row>
    <row r="1361" spans="2:5">
      <c r="B1361" s="18" t="s">
        <v>1105</v>
      </c>
      <c r="C1361" s="19" t="s">
        <v>25</v>
      </c>
      <c r="D1361" s="20" t="s">
        <v>1422</v>
      </c>
      <c r="E1361" s="21" t="s">
        <v>1738</v>
      </c>
    </row>
    <row r="1362" spans="2:5">
      <c r="B1362" s="18" t="s">
        <v>1105</v>
      </c>
      <c r="C1362" s="19" t="s">
        <v>25</v>
      </c>
      <c r="D1362" s="20" t="s">
        <v>1423</v>
      </c>
      <c r="E1362" s="21" t="s">
        <v>1738</v>
      </c>
    </row>
    <row r="1363" spans="2:5">
      <c r="B1363" s="18" t="s">
        <v>1105</v>
      </c>
      <c r="C1363" s="19" t="s">
        <v>25</v>
      </c>
      <c r="D1363" s="20" t="s">
        <v>1424</v>
      </c>
      <c r="E1363" s="21" t="s">
        <v>1738</v>
      </c>
    </row>
    <row r="1364" spans="2:5">
      <c r="B1364" s="18" t="s">
        <v>1105</v>
      </c>
      <c r="C1364" s="19" t="s">
        <v>25</v>
      </c>
      <c r="D1364" s="20" t="s">
        <v>1425</v>
      </c>
      <c r="E1364" s="21" t="s">
        <v>1738</v>
      </c>
    </row>
    <row r="1365" spans="2:5">
      <c r="B1365" s="18" t="s">
        <v>1105</v>
      </c>
      <c r="C1365" s="19" t="s">
        <v>25</v>
      </c>
      <c r="D1365" s="20" t="s">
        <v>1426</v>
      </c>
      <c r="E1365" s="21" t="s">
        <v>1738</v>
      </c>
    </row>
    <row r="1366" spans="2:5">
      <c r="B1366" s="18" t="s">
        <v>1105</v>
      </c>
      <c r="C1366" s="19" t="s">
        <v>25</v>
      </c>
      <c r="D1366" s="20" t="s">
        <v>1427</v>
      </c>
      <c r="E1366" s="21" t="s">
        <v>1</v>
      </c>
    </row>
    <row r="1367" spans="2:5">
      <c r="B1367" s="18" t="s">
        <v>1105</v>
      </c>
      <c r="C1367" s="19" t="s">
        <v>25</v>
      </c>
      <c r="D1367" s="20" t="s">
        <v>1428</v>
      </c>
      <c r="E1367" s="21" t="s">
        <v>1</v>
      </c>
    </row>
    <row r="1368" spans="2:5">
      <c r="B1368" s="18" t="s">
        <v>1105</v>
      </c>
      <c r="C1368" s="19" t="s">
        <v>25</v>
      </c>
      <c r="D1368" s="20" t="s">
        <v>1429</v>
      </c>
      <c r="E1368" s="21" t="s">
        <v>1738</v>
      </c>
    </row>
    <row r="1369" spans="2:5">
      <c r="B1369" s="18" t="s">
        <v>1105</v>
      </c>
      <c r="C1369" s="19" t="s">
        <v>25</v>
      </c>
      <c r="D1369" s="20" t="s">
        <v>1430</v>
      </c>
      <c r="E1369" s="21" t="s">
        <v>1</v>
      </c>
    </row>
    <row r="1370" spans="2:5">
      <c r="B1370" s="18" t="s">
        <v>1105</v>
      </c>
      <c r="C1370" s="19" t="s">
        <v>25</v>
      </c>
      <c r="D1370" s="20" t="s">
        <v>1431</v>
      </c>
      <c r="E1370" s="21" t="s">
        <v>1</v>
      </c>
    </row>
    <row r="1371" spans="2:5">
      <c r="B1371" s="18" t="s">
        <v>1105</v>
      </c>
      <c r="C1371" s="19" t="s">
        <v>25</v>
      </c>
      <c r="D1371" s="20" t="s">
        <v>1432</v>
      </c>
      <c r="E1371" s="21" t="s">
        <v>1738</v>
      </c>
    </row>
    <row r="1372" spans="2:5">
      <c r="B1372" s="18" t="s">
        <v>1105</v>
      </c>
      <c r="C1372" s="19" t="s">
        <v>25</v>
      </c>
      <c r="D1372" s="20" t="s">
        <v>1433</v>
      </c>
      <c r="E1372" s="21" t="s">
        <v>1</v>
      </c>
    </row>
    <row r="1373" spans="2:5">
      <c r="B1373" s="18" t="s">
        <v>1105</v>
      </c>
      <c r="C1373" s="19" t="s">
        <v>25</v>
      </c>
      <c r="D1373" s="20" t="s">
        <v>1434</v>
      </c>
      <c r="E1373" s="21" t="s">
        <v>1738</v>
      </c>
    </row>
    <row r="1374" spans="2:5">
      <c r="B1374" s="18" t="s">
        <v>1105</v>
      </c>
      <c r="C1374" s="19" t="s">
        <v>25</v>
      </c>
      <c r="D1374" s="20" t="s">
        <v>1435</v>
      </c>
      <c r="E1374" s="21" t="s">
        <v>1</v>
      </c>
    </row>
    <row r="1375" spans="2:5">
      <c r="B1375" s="18" t="s">
        <v>1105</v>
      </c>
      <c r="C1375" s="19" t="s">
        <v>25</v>
      </c>
      <c r="D1375" s="20" t="s">
        <v>1436</v>
      </c>
      <c r="E1375" s="21" t="s">
        <v>1</v>
      </c>
    </row>
    <row r="1376" spans="2:5">
      <c r="B1376" s="18" t="s">
        <v>1105</v>
      </c>
      <c r="C1376" s="19" t="s">
        <v>25</v>
      </c>
      <c r="D1376" s="20" t="s">
        <v>1437</v>
      </c>
      <c r="E1376" s="21" t="s">
        <v>1</v>
      </c>
    </row>
    <row r="1377" spans="2:5">
      <c r="B1377" s="18" t="s">
        <v>1105</v>
      </c>
      <c r="C1377" s="19" t="s">
        <v>25</v>
      </c>
      <c r="D1377" s="20" t="s">
        <v>1438</v>
      </c>
      <c r="E1377" s="21" t="s">
        <v>1</v>
      </c>
    </row>
    <row r="1378" spans="2:5">
      <c r="B1378" s="18" t="s">
        <v>1105</v>
      </c>
      <c r="C1378" s="19" t="s">
        <v>25</v>
      </c>
      <c r="D1378" s="20" t="s">
        <v>1439</v>
      </c>
      <c r="E1378" s="21" t="s">
        <v>1</v>
      </c>
    </row>
    <row r="1379" spans="2:5">
      <c r="B1379" s="18" t="s">
        <v>1105</v>
      </c>
      <c r="C1379" s="19" t="s">
        <v>25</v>
      </c>
      <c r="D1379" s="20" t="s">
        <v>1440</v>
      </c>
      <c r="E1379" s="21" t="s">
        <v>1</v>
      </c>
    </row>
    <row r="1380" spans="2:5">
      <c r="B1380" s="18" t="s">
        <v>1105</v>
      </c>
      <c r="C1380" s="19" t="s">
        <v>25</v>
      </c>
      <c r="D1380" s="20" t="s">
        <v>1441</v>
      </c>
      <c r="E1380" s="21" t="s">
        <v>1</v>
      </c>
    </row>
    <row r="1381" spans="2:5">
      <c r="B1381" s="18" t="s">
        <v>1105</v>
      </c>
      <c r="C1381" s="19" t="s">
        <v>25</v>
      </c>
      <c r="D1381" s="20" t="s">
        <v>1442</v>
      </c>
      <c r="E1381" s="21" t="s">
        <v>1</v>
      </c>
    </row>
    <row r="1382" spans="2:5">
      <c r="B1382" s="18" t="s">
        <v>1105</v>
      </c>
      <c r="C1382" s="19" t="s">
        <v>25</v>
      </c>
      <c r="D1382" s="20" t="s">
        <v>1443</v>
      </c>
      <c r="E1382" s="21" t="s">
        <v>1</v>
      </c>
    </row>
    <row r="1383" spans="2:5">
      <c r="B1383" s="18" t="s">
        <v>1105</v>
      </c>
      <c r="C1383" s="19" t="s">
        <v>25</v>
      </c>
      <c r="D1383" s="20" t="s">
        <v>1444</v>
      </c>
      <c r="E1383" s="21" t="s">
        <v>1</v>
      </c>
    </row>
    <row r="1384" spans="2:5">
      <c r="B1384" s="18" t="s">
        <v>1105</v>
      </c>
      <c r="C1384" s="19" t="s">
        <v>25</v>
      </c>
      <c r="D1384" s="20" t="s">
        <v>1445</v>
      </c>
      <c r="E1384" s="21" t="s">
        <v>1</v>
      </c>
    </row>
    <row r="1385" spans="2:5">
      <c r="B1385" s="18" t="s">
        <v>1105</v>
      </c>
      <c r="C1385" s="19" t="s">
        <v>25</v>
      </c>
      <c r="D1385" s="20" t="s">
        <v>1446</v>
      </c>
      <c r="E1385" s="21" t="s">
        <v>1</v>
      </c>
    </row>
    <row r="1386" spans="2:5">
      <c r="B1386" s="18" t="s">
        <v>1105</v>
      </c>
      <c r="C1386" s="19" t="s">
        <v>25</v>
      </c>
      <c r="D1386" s="20" t="s">
        <v>1447</v>
      </c>
      <c r="E1386" s="21" t="s">
        <v>1</v>
      </c>
    </row>
    <row r="1387" spans="2:5">
      <c r="B1387" s="18" t="s">
        <v>1105</v>
      </c>
      <c r="C1387" s="19" t="s">
        <v>25</v>
      </c>
      <c r="D1387" s="20" t="s">
        <v>1448</v>
      </c>
      <c r="E1387" s="21" t="s">
        <v>1</v>
      </c>
    </row>
    <row r="1388" spans="2:5">
      <c r="B1388" s="18" t="s">
        <v>1105</v>
      </c>
      <c r="C1388" s="19" t="s">
        <v>25</v>
      </c>
      <c r="D1388" s="20" t="s">
        <v>1449</v>
      </c>
      <c r="E1388" s="21" t="s">
        <v>1</v>
      </c>
    </row>
    <row r="1389" spans="2:5">
      <c r="B1389" s="18" t="s">
        <v>1105</v>
      </c>
      <c r="C1389" s="19" t="s">
        <v>25</v>
      </c>
      <c r="D1389" s="20" t="s">
        <v>1450</v>
      </c>
      <c r="E1389" s="21" t="s">
        <v>1</v>
      </c>
    </row>
    <row r="1390" spans="2:5">
      <c r="B1390" s="18" t="s">
        <v>1105</v>
      </c>
      <c r="C1390" s="19" t="s">
        <v>25</v>
      </c>
      <c r="D1390" s="20" t="s">
        <v>1451</v>
      </c>
      <c r="E1390" s="21" t="s">
        <v>1</v>
      </c>
    </row>
    <row r="1391" spans="2:5">
      <c r="B1391" s="18" t="s">
        <v>1105</v>
      </c>
      <c r="C1391" s="19" t="s">
        <v>25</v>
      </c>
      <c r="D1391" s="20" t="s">
        <v>1452</v>
      </c>
      <c r="E1391" s="21" t="s">
        <v>1</v>
      </c>
    </row>
    <row r="1392" spans="2:5">
      <c r="B1392" s="18" t="s">
        <v>1105</v>
      </c>
      <c r="C1392" s="19" t="s">
        <v>25</v>
      </c>
      <c r="D1392" s="20" t="s">
        <v>1453</v>
      </c>
      <c r="E1392" s="21" t="s">
        <v>1</v>
      </c>
    </row>
    <row r="1393" spans="2:5">
      <c r="B1393" s="18" t="s">
        <v>1105</v>
      </c>
      <c r="C1393" s="19" t="s">
        <v>25</v>
      </c>
      <c r="D1393" s="20" t="s">
        <v>1454</v>
      </c>
      <c r="E1393" s="21" t="s">
        <v>1</v>
      </c>
    </row>
    <row r="1394" spans="2:5">
      <c r="B1394" s="18" t="s">
        <v>1105</v>
      </c>
      <c r="C1394" s="19" t="s">
        <v>25</v>
      </c>
      <c r="D1394" s="20" t="s">
        <v>1455</v>
      </c>
      <c r="E1394" s="21" t="s">
        <v>1</v>
      </c>
    </row>
    <row r="1395" spans="2:5">
      <c r="B1395" s="18" t="s">
        <v>1105</v>
      </c>
      <c r="C1395" s="19" t="s">
        <v>25</v>
      </c>
      <c r="D1395" s="20" t="s">
        <v>1456</v>
      </c>
      <c r="E1395" s="21" t="s">
        <v>1</v>
      </c>
    </row>
    <row r="1396" spans="2:5">
      <c r="B1396" s="18" t="s">
        <v>1105</v>
      </c>
      <c r="C1396" s="19" t="s">
        <v>25</v>
      </c>
      <c r="D1396" s="20" t="s">
        <v>1457</v>
      </c>
      <c r="E1396" s="21" t="s">
        <v>1</v>
      </c>
    </row>
    <row r="1397" spans="2:5">
      <c r="B1397" s="18" t="s">
        <v>1105</v>
      </c>
      <c r="C1397" s="19" t="s">
        <v>25</v>
      </c>
      <c r="D1397" s="20" t="s">
        <v>1458</v>
      </c>
      <c r="E1397" s="21" t="s">
        <v>1</v>
      </c>
    </row>
    <row r="1398" spans="2:5">
      <c r="B1398" s="18" t="s">
        <v>1105</v>
      </c>
      <c r="C1398" s="19" t="s">
        <v>25</v>
      </c>
      <c r="D1398" s="20" t="s">
        <v>1459</v>
      </c>
      <c r="E1398" s="21" t="s">
        <v>1</v>
      </c>
    </row>
    <row r="1399" spans="2:5">
      <c r="B1399" s="18" t="s">
        <v>1105</v>
      </c>
      <c r="C1399" s="19" t="s">
        <v>25</v>
      </c>
      <c r="D1399" s="20" t="s">
        <v>1460</v>
      </c>
      <c r="E1399" s="21" t="s">
        <v>1</v>
      </c>
    </row>
    <row r="1400" spans="2:5">
      <c r="B1400" s="18" t="s">
        <v>1105</v>
      </c>
      <c r="C1400" s="19" t="s">
        <v>25</v>
      </c>
      <c r="D1400" s="20" t="s">
        <v>1461</v>
      </c>
      <c r="E1400" s="21" t="s">
        <v>1</v>
      </c>
    </row>
    <row r="1401" spans="2:5">
      <c r="B1401" s="18" t="s">
        <v>1105</v>
      </c>
      <c r="C1401" s="19" t="s">
        <v>25</v>
      </c>
      <c r="D1401" s="20" t="s">
        <v>1462</v>
      </c>
      <c r="E1401" s="21" t="s">
        <v>1</v>
      </c>
    </row>
    <row r="1402" spans="2:5">
      <c r="B1402" s="18" t="s">
        <v>1105</v>
      </c>
      <c r="C1402" s="19" t="s">
        <v>25</v>
      </c>
      <c r="D1402" s="20" t="s">
        <v>1463</v>
      </c>
      <c r="E1402" s="21" t="s">
        <v>1</v>
      </c>
    </row>
    <row r="1403" spans="2:5">
      <c r="B1403" s="18" t="s">
        <v>1105</v>
      </c>
      <c r="C1403" s="19" t="s">
        <v>25</v>
      </c>
      <c r="D1403" s="20" t="s">
        <v>1464</v>
      </c>
      <c r="E1403" s="21" t="s">
        <v>1</v>
      </c>
    </row>
    <row r="1404" spans="2:5">
      <c r="B1404" s="18" t="s">
        <v>1105</v>
      </c>
      <c r="C1404" s="19" t="s">
        <v>25</v>
      </c>
      <c r="D1404" s="20" t="s">
        <v>1465</v>
      </c>
      <c r="E1404" s="21" t="s">
        <v>1738</v>
      </c>
    </row>
    <row r="1405" spans="2:5">
      <c r="B1405" s="18" t="s">
        <v>1105</v>
      </c>
      <c r="C1405" s="19" t="s">
        <v>25</v>
      </c>
      <c r="D1405" s="20" t="s">
        <v>1466</v>
      </c>
      <c r="E1405" s="21" t="s">
        <v>1738</v>
      </c>
    </row>
    <row r="1406" spans="2:5">
      <c r="B1406" s="18" t="s">
        <v>1105</v>
      </c>
      <c r="C1406" s="19" t="s">
        <v>25</v>
      </c>
      <c r="D1406" s="20" t="s">
        <v>1467</v>
      </c>
      <c r="E1406" s="21" t="s">
        <v>1738</v>
      </c>
    </row>
    <row r="1407" spans="2:5">
      <c r="B1407" s="18" t="s">
        <v>1105</v>
      </c>
      <c r="C1407" s="19" t="s">
        <v>25</v>
      </c>
      <c r="D1407" s="20" t="s">
        <v>1468</v>
      </c>
      <c r="E1407" s="21" t="s">
        <v>1738</v>
      </c>
    </row>
    <row r="1408" spans="2:5">
      <c r="B1408" s="18" t="s">
        <v>1105</v>
      </c>
      <c r="C1408" s="19" t="s">
        <v>25</v>
      </c>
      <c r="D1408" s="20" t="s">
        <v>1469</v>
      </c>
      <c r="E1408" s="21" t="s">
        <v>1</v>
      </c>
    </row>
    <row r="1409" spans="2:5">
      <c r="B1409" s="18" t="s">
        <v>1105</v>
      </c>
      <c r="C1409" s="19" t="s">
        <v>25</v>
      </c>
      <c r="D1409" s="20" t="s">
        <v>1470</v>
      </c>
      <c r="E1409" s="21" t="s">
        <v>1738</v>
      </c>
    </row>
    <row r="1410" spans="2:5">
      <c r="B1410" s="18" t="s">
        <v>1105</v>
      </c>
      <c r="C1410" s="19" t="s">
        <v>25</v>
      </c>
      <c r="D1410" s="20" t="s">
        <v>1471</v>
      </c>
      <c r="E1410" s="21" t="s">
        <v>1</v>
      </c>
    </row>
    <row r="1411" spans="2:5">
      <c r="B1411" s="18" t="s">
        <v>1105</v>
      </c>
      <c r="C1411" s="19" t="s">
        <v>25</v>
      </c>
      <c r="D1411" s="20" t="s">
        <v>1472</v>
      </c>
      <c r="E1411" s="21" t="s">
        <v>1</v>
      </c>
    </row>
    <row r="1412" spans="2:5">
      <c r="B1412" s="18" t="s">
        <v>1473</v>
      </c>
      <c r="C1412" s="19" t="s">
        <v>27</v>
      </c>
      <c r="D1412" s="20" t="s">
        <v>1474</v>
      </c>
      <c r="E1412" s="21" t="s">
        <v>1738</v>
      </c>
    </row>
    <row r="1413" spans="2:5">
      <c r="B1413" s="18" t="s">
        <v>1473</v>
      </c>
      <c r="C1413" s="19" t="s">
        <v>27</v>
      </c>
      <c r="D1413" s="20" t="s">
        <v>1475</v>
      </c>
      <c r="E1413" s="21" t="s">
        <v>1738</v>
      </c>
    </row>
    <row r="1414" spans="2:5">
      <c r="B1414" s="18" t="s">
        <v>1473</v>
      </c>
      <c r="C1414" s="19" t="s">
        <v>27</v>
      </c>
      <c r="D1414" s="20" t="s">
        <v>1476</v>
      </c>
      <c r="E1414" s="21" t="s">
        <v>1738</v>
      </c>
    </row>
    <row r="1415" spans="2:5">
      <c r="B1415" s="18" t="s">
        <v>1473</v>
      </c>
      <c r="C1415" s="19" t="s">
        <v>27</v>
      </c>
      <c r="D1415" s="20" t="s">
        <v>1477</v>
      </c>
      <c r="E1415" s="21" t="s">
        <v>1738</v>
      </c>
    </row>
    <row r="1416" spans="2:5">
      <c r="B1416" s="18" t="s">
        <v>1473</v>
      </c>
      <c r="C1416" s="19" t="s">
        <v>27</v>
      </c>
      <c r="D1416" s="20" t="s">
        <v>1478</v>
      </c>
      <c r="E1416" s="21" t="s">
        <v>1738</v>
      </c>
    </row>
    <row r="1417" spans="2:5">
      <c r="B1417" s="18" t="s">
        <v>1473</v>
      </c>
      <c r="C1417" s="19" t="s">
        <v>27</v>
      </c>
      <c r="D1417" s="20" t="s">
        <v>1479</v>
      </c>
      <c r="E1417" s="21" t="s">
        <v>1738</v>
      </c>
    </row>
    <row r="1418" spans="2:5">
      <c r="B1418" s="18" t="s">
        <v>1473</v>
      </c>
      <c r="C1418" s="19" t="s">
        <v>27</v>
      </c>
      <c r="D1418" s="20" t="s">
        <v>1480</v>
      </c>
      <c r="E1418" s="21" t="s">
        <v>1738</v>
      </c>
    </row>
    <row r="1419" spans="2:5">
      <c r="B1419" s="18" t="s">
        <v>1473</v>
      </c>
      <c r="C1419" s="19" t="s">
        <v>27</v>
      </c>
      <c r="D1419" s="20" t="s">
        <v>1481</v>
      </c>
      <c r="E1419" s="21" t="s">
        <v>1738</v>
      </c>
    </row>
    <row r="1420" spans="2:5">
      <c r="B1420" s="18" t="s">
        <v>1473</v>
      </c>
      <c r="C1420" s="19" t="s">
        <v>27</v>
      </c>
      <c r="D1420" s="20" t="s">
        <v>1482</v>
      </c>
      <c r="E1420" s="21" t="s">
        <v>1738</v>
      </c>
    </row>
    <row r="1421" spans="2:5">
      <c r="B1421" s="18" t="s">
        <v>1473</v>
      </c>
      <c r="C1421" s="19" t="s">
        <v>27</v>
      </c>
      <c r="D1421" s="20" t="s">
        <v>1483</v>
      </c>
      <c r="E1421" s="21" t="s">
        <v>1738</v>
      </c>
    </row>
    <row r="1422" spans="2:5">
      <c r="B1422" s="18" t="s">
        <v>1473</v>
      </c>
      <c r="C1422" s="19" t="s">
        <v>27</v>
      </c>
      <c r="D1422" s="20" t="s">
        <v>1484</v>
      </c>
      <c r="E1422" s="21" t="s">
        <v>1738</v>
      </c>
    </row>
    <row r="1423" spans="2:5">
      <c r="B1423" s="18" t="s">
        <v>1473</v>
      </c>
      <c r="C1423" s="19" t="s">
        <v>27</v>
      </c>
      <c r="D1423" s="20" t="s">
        <v>1485</v>
      </c>
      <c r="E1423" s="21" t="s">
        <v>1738</v>
      </c>
    </row>
    <row r="1424" spans="2:5">
      <c r="B1424" s="18" t="s">
        <v>1473</v>
      </c>
      <c r="C1424" s="19" t="s">
        <v>27</v>
      </c>
      <c r="D1424" s="20" t="s">
        <v>1486</v>
      </c>
      <c r="E1424" s="21" t="s">
        <v>1738</v>
      </c>
    </row>
    <row r="1425" spans="2:5">
      <c r="B1425" s="18" t="s">
        <v>1473</v>
      </c>
      <c r="C1425" s="19" t="s">
        <v>27</v>
      </c>
      <c r="D1425" s="20" t="s">
        <v>1487</v>
      </c>
      <c r="E1425" s="21" t="s">
        <v>1738</v>
      </c>
    </row>
    <row r="1426" spans="2:5">
      <c r="B1426" s="18" t="s">
        <v>1473</v>
      </c>
      <c r="C1426" s="19" t="s">
        <v>27</v>
      </c>
      <c r="D1426" s="20" t="s">
        <v>1488</v>
      </c>
      <c r="E1426" s="21" t="s">
        <v>1738</v>
      </c>
    </row>
    <row r="1427" spans="2:5">
      <c r="B1427" s="18" t="s">
        <v>1473</v>
      </c>
      <c r="C1427" s="19" t="s">
        <v>27</v>
      </c>
      <c r="D1427" s="20" t="s">
        <v>1489</v>
      </c>
      <c r="E1427" s="21" t="s">
        <v>1738</v>
      </c>
    </row>
    <row r="1428" spans="2:5">
      <c r="B1428" s="18" t="s">
        <v>1473</v>
      </c>
      <c r="C1428" s="19" t="s">
        <v>27</v>
      </c>
      <c r="D1428" s="20" t="s">
        <v>1490</v>
      </c>
      <c r="E1428" s="21" t="s">
        <v>1738</v>
      </c>
    </row>
    <row r="1429" spans="2:5">
      <c r="B1429" s="18" t="s">
        <v>1473</v>
      </c>
      <c r="C1429" s="19" t="s">
        <v>27</v>
      </c>
      <c r="D1429" s="20" t="s">
        <v>1491</v>
      </c>
      <c r="E1429" s="21" t="s">
        <v>1738</v>
      </c>
    </row>
    <row r="1430" spans="2:5">
      <c r="B1430" s="18" t="s">
        <v>1473</v>
      </c>
      <c r="C1430" s="19" t="s">
        <v>27</v>
      </c>
      <c r="D1430" s="20" t="s">
        <v>1492</v>
      </c>
      <c r="E1430" s="21" t="s">
        <v>1738</v>
      </c>
    </row>
    <row r="1431" spans="2:5">
      <c r="B1431" s="18" t="s">
        <v>1473</v>
      </c>
      <c r="C1431" s="19" t="s">
        <v>27</v>
      </c>
      <c r="D1431" s="20" t="s">
        <v>1493</v>
      </c>
      <c r="E1431" s="21" t="s">
        <v>1738</v>
      </c>
    </row>
    <row r="1432" spans="2:5">
      <c r="B1432" s="18" t="s">
        <v>1473</v>
      </c>
      <c r="C1432" s="19" t="s">
        <v>27</v>
      </c>
      <c r="D1432" s="20" t="s">
        <v>1494</v>
      </c>
      <c r="E1432" s="21" t="s">
        <v>1738</v>
      </c>
    </row>
    <row r="1433" spans="2:5">
      <c r="B1433" s="18" t="s">
        <v>1473</v>
      </c>
      <c r="C1433" s="19" t="s">
        <v>27</v>
      </c>
      <c r="D1433" s="20" t="s">
        <v>1495</v>
      </c>
      <c r="E1433" s="21" t="s">
        <v>1738</v>
      </c>
    </row>
    <row r="1434" spans="2:5">
      <c r="B1434" s="18" t="s">
        <v>1473</v>
      </c>
      <c r="C1434" s="19" t="s">
        <v>27</v>
      </c>
      <c r="D1434" s="20" t="s">
        <v>1496</v>
      </c>
      <c r="E1434" s="21" t="s">
        <v>1738</v>
      </c>
    </row>
    <row r="1435" spans="2:5">
      <c r="B1435" s="18" t="s">
        <v>1473</v>
      </c>
      <c r="C1435" s="19" t="s">
        <v>27</v>
      </c>
      <c r="D1435" s="20" t="s">
        <v>1497</v>
      </c>
      <c r="E1435" s="21" t="s">
        <v>1738</v>
      </c>
    </row>
    <row r="1436" spans="2:5">
      <c r="B1436" s="18" t="s">
        <v>1473</v>
      </c>
      <c r="C1436" s="19" t="s">
        <v>27</v>
      </c>
      <c r="D1436" s="20" t="s">
        <v>1498</v>
      </c>
      <c r="E1436" s="21" t="s">
        <v>1738</v>
      </c>
    </row>
    <row r="1437" spans="2:5">
      <c r="B1437" s="18" t="s">
        <v>1473</v>
      </c>
      <c r="C1437" s="19" t="s">
        <v>27</v>
      </c>
      <c r="D1437" s="20" t="s">
        <v>1499</v>
      </c>
      <c r="E1437" s="21" t="s">
        <v>1738</v>
      </c>
    </row>
    <row r="1438" spans="2:5">
      <c r="B1438" s="18" t="s">
        <v>1473</v>
      </c>
      <c r="C1438" s="19" t="s">
        <v>27</v>
      </c>
      <c r="D1438" s="20" t="s">
        <v>1500</v>
      </c>
      <c r="E1438" s="21" t="s">
        <v>1738</v>
      </c>
    </row>
    <row r="1439" spans="2:5">
      <c r="B1439" s="18" t="s">
        <v>1473</v>
      </c>
      <c r="C1439" s="19" t="s">
        <v>27</v>
      </c>
      <c r="D1439" s="20" t="s">
        <v>1501</v>
      </c>
      <c r="E1439" s="21" t="s">
        <v>1738</v>
      </c>
    </row>
    <row r="1440" spans="2:5">
      <c r="B1440" s="18" t="s">
        <v>1473</v>
      </c>
      <c r="C1440" s="19" t="s">
        <v>27</v>
      </c>
      <c r="D1440" s="20" t="s">
        <v>1502</v>
      </c>
      <c r="E1440" s="21" t="s">
        <v>1738</v>
      </c>
    </row>
    <row r="1441" spans="2:5">
      <c r="B1441" s="18" t="s">
        <v>1473</v>
      </c>
      <c r="C1441" s="19" t="s">
        <v>27</v>
      </c>
      <c r="D1441" s="20" t="s">
        <v>1503</v>
      </c>
      <c r="E1441" s="21" t="s">
        <v>1738</v>
      </c>
    </row>
    <row r="1442" spans="2:5">
      <c r="B1442" s="18" t="s">
        <v>1473</v>
      </c>
      <c r="C1442" s="19" t="s">
        <v>27</v>
      </c>
      <c r="D1442" s="20" t="s">
        <v>1504</v>
      </c>
      <c r="E1442" s="21" t="s">
        <v>1738</v>
      </c>
    </row>
    <row r="1443" spans="2:5">
      <c r="B1443" s="18" t="s">
        <v>1473</v>
      </c>
      <c r="C1443" s="19" t="s">
        <v>27</v>
      </c>
      <c r="D1443" s="20" t="s">
        <v>1505</v>
      </c>
      <c r="E1443" s="21" t="s">
        <v>1738</v>
      </c>
    </row>
    <row r="1444" spans="2:5">
      <c r="B1444" s="18" t="s">
        <v>1473</v>
      </c>
      <c r="C1444" s="19" t="s">
        <v>27</v>
      </c>
      <c r="D1444" s="20" t="s">
        <v>1506</v>
      </c>
      <c r="E1444" s="21" t="s">
        <v>1738</v>
      </c>
    </row>
    <row r="1445" spans="2:5">
      <c r="B1445" s="18" t="s">
        <v>1473</v>
      </c>
      <c r="C1445" s="19" t="s">
        <v>27</v>
      </c>
      <c r="D1445" s="20" t="s">
        <v>1507</v>
      </c>
      <c r="E1445" s="21" t="s">
        <v>1738</v>
      </c>
    </row>
    <row r="1446" spans="2:5">
      <c r="B1446" s="18" t="s">
        <v>1473</v>
      </c>
      <c r="C1446" s="19" t="s">
        <v>27</v>
      </c>
      <c r="D1446" s="20" t="s">
        <v>1508</v>
      </c>
      <c r="E1446" s="21" t="s">
        <v>1738</v>
      </c>
    </row>
    <row r="1447" spans="2:5">
      <c r="B1447" s="18" t="s">
        <v>1473</v>
      </c>
      <c r="C1447" s="19" t="s">
        <v>27</v>
      </c>
      <c r="D1447" s="20" t="s">
        <v>1509</v>
      </c>
      <c r="E1447" s="21" t="s">
        <v>1</v>
      </c>
    </row>
    <row r="1448" spans="2:5">
      <c r="B1448" s="18" t="s">
        <v>1473</v>
      </c>
      <c r="C1448" s="19" t="s">
        <v>27</v>
      </c>
      <c r="D1448" s="20" t="s">
        <v>1510</v>
      </c>
      <c r="E1448" s="21" t="s">
        <v>1</v>
      </c>
    </row>
    <row r="1449" spans="2:5">
      <c r="B1449" s="18" t="s">
        <v>1473</v>
      </c>
      <c r="C1449" s="19" t="s">
        <v>27</v>
      </c>
      <c r="D1449" s="20" t="s">
        <v>1511</v>
      </c>
      <c r="E1449" s="21" t="s">
        <v>1</v>
      </c>
    </row>
    <row r="1450" spans="2:5">
      <c r="B1450" s="18" t="s">
        <v>1473</v>
      </c>
      <c r="C1450" s="19" t="s">
        <v>27</v>
      </c>
      <c r="D1450" s="20" t="s">
        <v>1512</v>
      </c>
      <c r="E1450" s="21" t="s">
        <v>1</v>
      </c>
    </row>
    <row r="1451" spans="2:5">
      <c r="B1451" s="18" t="s">
        <v>1473</v>
      </c>
      <c r="C1451" s="19" t="s">
        <v>27</v>
      </c>
      <c r="D1451" s="20" t="s">
        <v>1513</v>
      </c>
      <c r="E1451" s="21" t="s">
        <v>1</v>
      </c>
    </row>
    <row r="1452" spans="2:5">
      <c r="B1452" s="18" t="s">
        <v>1473</v>
      </c>
      <c r="C1452" s="19" t="s">
        <v>27</v>
      </c>
      <c r="D1452" s="20" t="s">
        <v>1514</v>
      </c>
      <c r="E1452" s="21" t="s">
        <v>1</v>
      </c>
    </row>
    <row r="1453" spans="2:5">
      <c r="B1453" s="18" t="s">
        <v>1473</v>
      </c>
      <c r="C1453" s="19" t="s">
        <v>27</v>
      </c>
      <c r="D1453" s="20" t="s">
        <v>1515</v>
      </c>
      <c r="E1453" s="21" t="s">
        <v>1</v>
      </c>
    </row>
    <row r="1454" spans="2:5">
      <c r="B1454" s="18" t="s">
        <v>1473</v>
      </c>
      <c r="C1454" s="19" t="s">
        <v>27</v>
      </c>
      <c r="D1454" s="20" t="s">
        <v>1516</v>
      </c>
      <c r="E1454" s="21" t="s">
        <v>1</v>
      </c>
    </row>
    <row r="1455" spans="2:5">
      <c r="B1455" s="18" t="s">
        <v>1473</v>
      </c>
      <c r="C1455" s="19" t="s">
        <v>27</v>
      </c>
      <c r="D1455" s="20" t="s">
        <v>1517</v>
      </c>
      <c r="E1455" s="21" t="s">
        <v>1</v>
      </c>
    </row>
    <row r="1456" spans="2:5">
      <c r="B1456" s="18" t="s">
        <v>1473</v>
      </c>
      <c r="C1456" s="19" t="s">
        <v>27</v>
      </c>
      <c r="D1456" s="20" t="s">
        <v>1518</v>
      </c>
      <c r="E1456" s="21" t="s">
        <v>1</v>
      </c>
    </row>
    <row r="1457" spans="2:5">
      <c r="B1457" s="18" t="s">
        <v>1473</v>
      </c>
      <c r="C1457" s="19" t="s">
        <v>27</v>
      </c>
      <c r="D1457" s="20" t="s">
        <v>1519</v>
      </c>
      <c r="E1457" s="21" t="s">
        <v>1</v>
      </c>
    </row>
    <row r="1458" spans="2:5">
      <c r="B1458" s="18" t="s">
        <v>1473</v>
      </c>
      <c r="C1458" s="19" t="s">
        <v>27</v>
      </c>
      <c r="D1458" s="20" t="s">
        <v>1520</v>
      </c>
      <c r="E1458" s="21" t="s">
        <v>1</v>
      </c>
    </row>
    <row r="1459" spans="2:5">
      <c r="B1459" s="18" t="s">
        <v>1473</v>
      </c>
      <c r="C1459" s="19" t="s">
        <v>27</v>
      </c>
      <c r="D1459" s="20" t="s">
        <v>1521</v>
      </c>
      <c r="E1459" s="21" t="s">
        <v>1</v>
      </c>
    </row>
    <row r="1460" spans="2:5">
      <c r="B1460" s="18" t="s">
        <v>1473</v>
      </c>
      <c r="C1460" s="19" t="s">
        <v>27</v>
      </c>
      <c r="D1460" s="20" t="s">
        <v>1522</v>
      </c>
      <c r="E1460" s="21" t="s">
        <v>1</v>
      </c>
    </row>
    <row r="1461" spans="2:5">
      <c r="B1461" s="18" t="s">
        <v>1473</v>
      </c>
      <c r="C1461" s="19" t="s">
        <v>27</v>
      </c>
      <c r="D1461" s="20" t="s">
        <v>1523</v>
      </c>
      <c r="E1461" s="21" t="s">
        <v>1</v>
      </c>
    </row>
    <row r="1462" spans="2:5">
      <c r="B1462" s="18" t="s">
        <v>1473</v>
      </c>
      <c r="C1462" s="19" t="s">
        <v>27</v>
      </c>
      <c r="D1462" s="20" t="s">
        <v>1524</v>
      </c>
      <c r="E1462" s="21" t="s">
        <v>1</v>
      </c>
    </row>
    <row r="1463" spans="2:5">
      <c r="B1463" s="18" t="s">
        <v>1473</v>
      </c>
      <c r="C1463" s="19" t="s">
        <v>27</v>
      </c>
      <c r="D1463" s="20" t="s">
        <v>1525</v>
      </c>
      <c r="E1463" s="21" t="s">
        <v>1</v>
      </c>
    </row>
    <row r="1464" spans="2:5">
      <c r="B1464" s="18" t="s">
        <v>1473</v>
      </c>
      <c r="C1464" s="19" t="s">
        <v>27</v>
      </c>
      <c r="D1464" s="20" t="s">
        <v>1526</v>
      </c>
      <c r="E1464" s="21" t="s">
        <v>1</v>
      </c>
    </row>
    <row r="1465" spans="2:5">
      <c r="B1465" s="18" t="s">
        <v>1473</v>
      </c>
      <c r="C1465" s="19" t="s">
        <v>27</v>
      </c>
      <c r="D1465" s="20" t="s">
        <v>1527</v>
      </c>
      <c r="E1465" s="21" t="s">
        <v>1</v>
      </c>
    </row>
    <row r="1466" spans="2:5">
      <c r="B1466" s="18" t="s">
        <v>1473</v>
      </c>
      <c r="C1466" s="19" t="s">
        <v>27</v>
      </c>
      <c r="D1466" s="20" t="s">
        <v>1528</v>
      </c>
      <c r="E1466" s="21" t="s">
        <v>1</v>
      </c>
    </row>
    <row r="1467" spans="2:5">
      <c r="B1467" s="18" t="s">
        <v>1473</v>
      </c>
      <c r="C1467" s="19" t="s">
        <v>27</v>
      </c>
      <c r="D1467" s="20" t="s">
        <v>1529</v>
      </c>
      <c r="E1467" s="21" t="s">
        <v>1</v>
      </c>
    </row>
    <row r="1468" spans="2:5">
      <c r="B1468" s="18" t="s">
        <v>1473</v>
      </c>
      <c r="C1468" s="19" t="s">
        <v>27</v>
      </c>
      <c r="D1468" s="20" t="s">
        <v>1530</v>
      </c>
      <c r="E1468" s="21" t="s">
        <v>1</v>
      </c>
    </row>
    <row r="1469" spans="2:5">
      <c r="B1469" s="18" t="s">
        <v>1473</v>
      </c>
      <c r="C1469" s="19" t="s">
        <v>27</v>
      </c>
      <c r="D1469" s="20" t="s">
        <v>1531</v>
      </c>
      <c r="E1469" s="21" t="s">
        <v>1</v>
      </c>
    </row>
    <row r="1470" spans="2:5">
      <c r="B1470" s="18" t="s">
        <v>1473</v>
      </c>
      <c r="C1470" s="19" t="s">
        <v>27</v>
      </c>
      <c r="D1470" s="20" t="s">
        <v>1532</v>
      </c>
      <c r="E1470" s="21" t="s">
        <v>1</v>
      </c>
    </row>
    <row r="1471" spans="2:5">
      <c r="B1471" s="18" t="s">
        <v>1473</v>
      </c>
      <c r="C1471" s="19" t="s">
        <v>27</v>
      </c>
      <c r="D1471" s="20" t="s">
        <v>1533</v>
      </c>
      <c r="E1471" s="21" t="s">
        <v>1</v>
      </c>
    </row>
    <row r="1472" spans="2:5">
      <c r="B1472" s="18" t="s">
        <v>1473</v>
      </c>
      <c r="C1472" s="19" t="s">
        <v>27</v>
      </c>
      <c r="D1472" s="20" t="s">
        <v>1534</v>
      </c>
      <c r="E1472" s="21" t="s">
        <v>1</v>
      </c>
    </row>
    <row r="1473" spans="2:5">
      <c r="B1473" s="18" t="s">
        <v>1473</v>
      </c>
      <c r="C1473" s="19" t="s">
        <v>27</v>
      </c>
      <c r="D1473" s="20" t="s">
        <v>1535</v>
      </c>
      <c r="E1473" s="21" t="s">
        <v>1</v>
      </c>
    </row>
    <row r="1474" spans="2:5">
      <c r="B1474" s="18" t="s">
        <v>1473</v>
      </c>
      <c r="C1474" s="19" t="s">
        <v>27</v>
      </c>
      <c r="D1474" s="20" t="s">
        <v>1536</v>
      </c>
      <c r="E1474" s="21" t="s">
        <v>1</v>
      </c>
    </row>
    <row r="1475" spans="2:5">
      <c r="B1475" s="18" t="s">
        <v>1473</v>
      </c>
      <c r="C1475" s="19" t="s">
        <v>27</v>
      </c>
      <c r="D1475" s="20" t="s">
        <v>1537</v>
      </c>
      <c r="E1475" s="21" t="s">
        <v>1</v>
      </c>
    </row>
    <row r="1476" spans="2:5">
      <c r="B1476" s="18" t="s">
        <v>1473</v>
      </c>
      <c r="C1476" s="19" t="s">
        <v>27</v>
      </c>
      <c r="D1476" s="20" t="s">
        <v>1538</v>
      </c>
      <c r="E1476" s="21" t="s">
        <v>1</v>
      </c>
    </row>
    <row r="1477" spans="2:5">
      <c r="B1477" s="18" t="s">
        <v>1473</v>
      </c>
      <c r="C1477" s="19" t="s">
        <v>27</v>
      </c>
      <c r="D1477" s="20" t="s">
        <v>1539</v>
      </c>
      <c r="E1477" s="21" t="s">
        <v>1</v>
      </c>
    </row>
    <row r="1478" spans="2:5">
      <c r="B1478" s="18" t="s">
        <v>1473</v>
      </c>
      <c r="C1478" s="19" t="s">
        <v>27</v>
      </c>
      <c r="D1478" s="20" t="s">
        <v>1540</v>
      </c>
      <c r="E1478" s="21" t="s">
        <v>1</v>
      </c>
    </row>
    <row r="1479" spans="2:5">
      <c r="B1479" s="18" t="s">
        <v>1473</v>
      </c>
      <c r="C1479" s="19" t="s">
        <v>27</v>
      </c>
      <c r="D1479" s="20" t="s">
        <v>1541</v>
      </c>
      <c r="E1479" s="21" t="s">
        <v>1</v>
      </c>
    </row>
    <row r="1480" spans="2:5">
      <c r="B1480" s="18" t="s">
        <v>1473</v>
      </c>
      <c r="C1480" s="19" t="s">
        <v>27</v>
      </c>
      <c r="D1480" s="20" t="s">
        <v>1542</v>
      </c>
      <c r="E1480" s="21" t="s">
        <v>1</v>
      </c>
    </row>
    <row r="1481" spans="2:5">
      <c r="B1481" s="18" t="s">
        <v>1473</v>
      </c>
      <c r="C1481" s="19" t="s">
        <v>27</v>
      </c>
      <c r="D1481" s="20" t="s">
        <v>1543</v>
      </c>
      <c r="E1481" s="21" t="s">
        <v>1</v>
      </c>
    </row>
    <row r="1482" spans="2:5">
      <c r="B1482" s="18" t="s">
        <v>1473</v>
      </c>
      <c r="C1482" s="19" t="s">
        <v>27</v>
      </c>
      <c r="D1482" s="20" t="s">
        <v>1544</v>
      </c>
      <c r="E1482" s="21" t="s">
        <v>1</v>
      </c>
    </row>
    <row r="1483" spans="2:5">
      <c r="B1483" s="18" t="s">
        <v>1473</v>
      </c>
      <c r="C1483" s="19" t="s">
        <v>27</v>
      </c>
      <c r="D1483" s="20" t="s">
        <v>1545</v>
      </c>
      <c r="E1483" s="21" t="s">
        <v>1</v>
      </c>
    </row>
    <row r="1484" spans="2:5">
      <c r="B1484" s="18" t="s">
        <v>1473</v>
      </c>
      <c r="C1484" s="19" t="s">
        <v>27</v>
      </c>
      <c r="D1484" s="20" t="s">
        <v>1546</v>
      </c>
      <c r="E1484" s="21" t="s">
        <v>1</v>
      </c>
    </row>
    <row r="1485" spans="2:5">
      <c r="B1485" s="18" t="s">
        <v>1473</v>
      </c>
      <c r="C1485" s="19" t="s">
        <v>27</v>
      </c>
      <c r="D1485" s="20" t="s">
        <v>1547</v>
      </c>
      <c r="E1485" s="21" t="s">
        <v>1</v>
      </c>
    </row>
    <row r="1486" spans="2:5">
      <c r="B1486" s="18" t="s">
        <v>1473</v>
      </c>
      <c r="C1486" s="19" t="s">
        <v>27</v>
      </c>
      <c r="D1486" s="20" t="s">
        <v>1548</v>
      </c>
      <c r="E1486" s="21" t="s">
        <v>1</v>
      </c>
    </row>
    <row r="1487" spans="2:5">
      <c r="B1487" s="18" t="s">
        <v>1473</v>
      </c>
      <c r="C1487" s="19" t="s">
        <v>27</v>
      </c>
      <c r="D1487" s="20" t="s">
        <v>1549</v>
      </c>
      <c r="E1487" s="21" t="s">
        <v>1</v>
      </c>
    </row>
    <row r="1488" spans="2:5">
      <c r="B1488" s="18" t="s">
        <v>1473</v>
      </c>
      <c r="C1488" s="19" t="s">
        <v>27</v>
      </c>
      <c r="D1488" s="20" t="s">
        <v>1550</v>
      </c>
      <c r="E1488" s="21" t="s">
        <v>1</v>
      </c>
    </row>
    <row r="1489" spans="2:5">
      <c r="B1489" s="18" t="s">
        <v>1473</v>
      </c>
      <c r="C1489" s="19" t="s">
        <v>27</v>
      </c>
      <c r="D1489" s="20" t="s">
        <v>1551</v>
      </c>
      <c r="E1489" s="21" t="s">
        <v>1</v>
      </c>
    </row>
    <row r="1490" spans="2:5">
      <c r="B1490" s="18" t="s">
        <v>1473</v>
      </c>
      <c r="C1490" s="19" t="s">
        <v>27</v>
      </c>
      <c r="D1490" s="20" t="s">
        <v>1552</v>
      </c>
      <c r="E1490" s="21" t="s">
        <v>1</v>
      </c>
    </row>
    <row r="1491" spans="2:5">
      <c r="B1491" s="18" t="s">
        <v>1473</v>
      </c>
      <c r="C1491" s="19" t="s">
        <v>27</v>
      </c>
      <c r="D1491" s="20" t="s">
        <v>1553</v>
      </c>
      <c r="E1491" s="21" t="s">
        <v>1</v>
      </c>
    </row>
    <row r="1492" spans="2:5">
      <c r="B1492" s="18" t="s">
        <v>1473</v>
      </c>
      <c r="C1492" s="19" t="s">
        <v>27</v>
      </c>
      <c r="D1492" s="20" t="s">
        <v>1554</v>
      </c>
      <c r="E1492" s="21" t="s">
        <v>1</v>
      </c>
    </row>
    <row r="1493" spans="2:5">
      <c r="B1493" s="18" t="s">
        <v>1473</v>
      </c>
      <c r="C1493" s="19" t="s">
        <v>27</v>
      </c>
      <c r="D1493" s="20" t="s">
        <v>1555</v>
      </c>
      <c r="E1493" s="21" t="s">
        <v>1</v>
      </c>
    </row>
    <row r="1494" spans="2:5">
      <c r="B1494" s="18" t="s">
        <v>1473</v>
      </c>
      <c r="C1494" s="19" t="s">
        <v>27</v>
      </c>
      <c r="D1494" s="20" t="s">
        <v>1556</v>
      </c>
      <c r="E1494" s="21" t="s">
        <v>1</v>
      </c>
    </row>
    <row r="1495" spans="2:5">
      <c r="B1495" s="18" t="s">
        <v>1473</v>
      </c>
      <c r="C1495" s="19" t="s">
        <v>27</v>
      </c>
      <c r="D1495" s="20" t="s">
        <v>1557</v>
      </c>
      <c r="E1495" s="21" t="s">
        <v>1</v>
      </c>
    </row>
    <row r="1496" spans="2:5">
      <c r="B1496" s="18" t="s">
        <v>1473</v>
      </c>
      <c r="C1496" s="19" t="s">
        <v>27</v>
      </c>
      <c r="D1496" s="20" t="s">
        <v>1558</v>
      </c>
      <c r="E1496" s="21" t="s">
        <v>1</v>
      </c>
    </row>
    <row r="1497" spans="2:5">
      <c r="B1497" s="18" t="s">
        <v>1473</v>
      </c>
      <c r="C1497" s="19" t="s">
        <v>27</v>
      </c>
      <c r="D1497" s="20" t="s">
        <v>1559</v>
      </c>
      <c r="E1497" s="21" t="s">
        <v>1</v>
      </c>
    </row>
    <row r="1498" spans="2:5">
      <c r="B1498" s="18" t="s">
        <v>1473</v>
      </c>
      <c r="C1498" s="19" t="s">
        <v>27</v>
      </c>
      <c r="D1498" s="20" t="s">
        <v>1560</v>
      </c>
      <c r="E1498" s="21" t="s">
        <v>1</v>
      </c>
    </row>
    <row r="1499" spans="2:5">
      <c r="B1499" s="18" t="s">
        <v>1473</v>
      </c>
      <c r="C1499" s="19" t="s">
        <v>27</v>
      </c>
      <c r="D1499" s="20" t="s">
        <v>1561</v>
      </c>
      <c r="E1499" s="21" t="s">
        <v>1</v>
      </c>
    </row>
    <row r="1500" spans="2:5">
      <c r="B1500" s="18" t="s">
        <v>1473</v>
      </c>
      <c r="C1500" s="19" t="s">
        <v>27</v>
      </c>
      <c r="D1500" s="20" t="s">
        <v>1562</v>
      </c>
      <c r="E1500" s="21" t="s">
        <v>1</v>
      </c>
    </row>
    <row r="1501" spans="2:5">
      <c r="B1501" s="18" t="s">
        <v>1473</v>
      </c>
      <c r="C1501" s="19" t="s">
        <v>27</v>
      </c>
      <c r="D1501" s="20" t="s">
        <v>1563</v>
      </c>
      <c r="E1501" s="21" t="s">
        <v>1</v>
      </c>
    </row>
    <row r="1502" spans="2:5">
      <c r="B1502" s="18" t="s">
        <v>1473</v>
      </c>
      <c r="C1502" s="19" t="s">
        <v>27</v>
      </c>
      <c r="D1502" s="20" t="s">
        <v>1564</v>
      </c>
      <c r="E1502" s="21" t="s">
        <v>1</v>
      </c>
    </row>
    <row r="1503" spans="2:5">
      <c r="B1503" s="18" t="s">
        <v>1473</v>
      </c>
      <c r="C1503" s="19" t="s">
        <v>27</v>
      </c>
      <c r="D1503" s="20" t="s">
        <v>1565</v>
      </c>
      <c r="E1503" s="21" t="s">
        <v>1</v>
      </c>
    </row>
    <row r="1504" spans="2:5">
      <c r="B1504" s="18" t="s">
        <v>1473</v>
      </c>
      <c r="C1504" s="19" t="s">
        <v>27</v>
      </c>
      <c r="D1504" s="20" t="s">
        <v>1566</v>
      </c>
      <c r="E1504" s="21" t="s">
        <v>1</v>
      </c>
    </row>
    <row r="1505" spans="2:5">
      <c r="B1505" s="18" t="s">
        <v>1473</v>
      </c>
      <c r="C1505" s="19" t="s">
        <v>27</v>
      </c>
      <c r="D1505" s="20" t="s">
        <v>1567</v>
      </c>
      <c r="E1505" s="21" t="s">
        <v>1</v>
      </c>
    </row>
    <row r="1506" spans="2:5">
      <c r="B1506" s="18" t="s">
        <v>1473</v>
      </c>
      <c r="C1506" s="19" t="s">
        <v>27</v>
      </c>
      <c r="D1506" s="20" t="s">
        <v>1568</v>
      </c>
      <c r="E1506" s="21" t="s">
        <v>1</v>
      </c>
    </row>
    <row r="1507" spans="2:5">
      <c r="B1507" s="18" t="s">
        <v>1473</v>
      </c>
      <c r="C1507" s="19" t="s">
        <v>27</v>
      </c>
      <c r="D1507" s="20" t="s">
        <v>1569</v>
      </c>
      <c r="E1507" s="21" t="s">
        <v>1</v>
      </c>
    </row>
    <row r="1508" spans="2:5">
      <c r="B1508" s="18" t="s">
        <v>1473</v>
      </c>
      <c r="C1508" s="19" t="s">
        <v>27</v>
      </c>
      <c r="D1508" s="20" t="s">
        <v>1570</v>
      </c>
      <c r="E1508" s="21" t="s">
        <v>1</v>
      </c>
    </row>
    <row r="1509" spans="2:5">
      <c r="B1509" s="18" t="s">
        <v>1473</v>
      </c>
      <c r="C1509" s="19" t="s">
        <v>27</v>
      </c>
      <c r="D1509" s="20" t="s">
        <v>1571</v>
      </c>
      <c r="E1509" s="21" t="s">
        <v>1</v>
      </c>
    </row>
    <row r="1510" spans="2:5">
      <c r="B1510" s="18" t="s">
        <v>1473</v>
      </c>
      <c r="C1510" s="19" t="s">
        <v>27</v>
      </c>
      <c r="D1510" s="20" t="s">
        <v>1572</v>
      </c>
      <c r="E1510" s="21" t="s">
        <v>1</v>
      </c>
    </row>
    <row r="1511" spans="2:5">
      <c r="B1511" s="18" t="s">
        <v>1473</v>
      </c>
      <c r="C1511" s="19" t="s">
        <v>27</v>
      </c>
      <c r="D1511" s="20" t="s">
        <v>1573</v>
      </c>
      <c r="E1511" s="21" t="s">
        <v>1</v>
      </c>
    </row>
    <row r="1512" spans="2:5">
      <c r="B1512" s="18" t="s">
        <v>1473</v>
      </c>
      <c r="C1512" s="19" t="s">
        <v>27</v>
      </c>
      <c r="D1512" s="20" t="s">
        <v>1574</v>
      </c>
      <c r="E1512" s="21" t="s">
        <v>1</v>
      </c>
    </row>
    <row r="1513" spans="2:5">
      <c r="B1513" s="18" t="s">
        <v>1473</v>
      </c>
      <c r="C1513" s="19" t="s">
        <v>27</v>
      </c>
      <c r="D1513" s="20" t="s">
        <v>1575</v>
      </c>
      <c r="E1513" s="21" t="s">
        <v>1</v>
      </c>
    </row>
    <row r="1514" spans="2:5">
      <c r="B1514" s="18" t="s">
        <v>1473</v>
      </c>
      <c r="C1514" s="19" t="s">
        <v>27</v>
      </c>
      <c r="D1514" s="20" t="s">
        <v>1576</v>
      </c>
      <c r="E1514" s="21" t="s">
        <v>1</v>
      </c>
    </row>
    <row r="1515" spans="2:5">
      <c r="B1515" s="18" t="s">
        <v>1473</v>
      </c>
      <c r="C1515" s="19" t="s">
        <v>27</v>
      </c>
      <c r="D1515" s="20" t="s">
        <v>1577</v>
      </c>
      <c r="E1515" s="21" t="s">
        <v>1</v>
      </c>
    </row>
    <row r="1516" spans="2:5">
      <c r="B1516" s="18" t="s">
        <v>1473</v>
      </c>
      <c r="C1516" s="19" t="s">
        <v>27</v>
      </c>
      <c r="D1516" s="20" t="s">
        <v>1578</v>
      </c>
      <c r="E1516" s="21" t="s">
        <v>1</v>
      </c>
    </row>
    <row r="1517" spans="2:5">
      <c r="B1517" s="18" t="s">
        <v>1473</v>
      </c>
      <c r="C1517" s="19" t="s">
        <v>27</v>
      </c>
      <c r="D1517" s="20" t="s">
        <v>1579</v>
      </c>
      <c r="E1517" s="21" t="s">
        <v>1</v>
      </c>
    </row>
    <row r="1518" spans="2:5">
      <c r="B1518" s="18" t="s">
        <v>1473</v>
      </c>
      <c r="C1518" s="19" t="s">
        <v>27</v>
      </c>
      <c r="D1518" s="20" t="s">
        <v>1580</v>
      </c>
      <c r="E1518" s="21" t="s">
        <v>1</v>
      </c>
    </row>
    <row r="1519" spans="2:5">
      <c r="B1519" s="18" t="s">
        <v>1473</v>
      </c>
      <c r="C1519" s="19" t="s">
        <v>27</v>
      </c>
      <c r="D1519" s="20" t="s">
        <v>1581</v>
      </c>
      <c r="E1519" s="21" t="s">
        <v>1</v>
      </c>
    </row>
    <row r="1520" spans="2:5">
      <c r="B1520" s="18" t="s">
        <v>1473</v>
      </c>
      <c r="C1520" s="19" t="s">
        <v>27</v>
      </c>
      <c r="D1520" s="20" t="s">
        <v>1582</v>
      </c>
      <c r="E1520" s="21" t="s">
        <v>1</v>
      </c>
    </row>
    <row r="1521" spans="2:5">
      <c r="B1521" s="18" t="s">
        <v>1473</v>
      </c>
      <c r="C1521" s="19" t="s">
        <v>27</v>
      </c>
      <c r="D1521" s="20" t="s">
        <v>1583</v>
      </c>
      <c r="E1521" s="21" t="s">
        <v>1</v>
      </c>
    </row>
    <row r="1522" spans="2:5">
      <c r="B1522" s="18" t="s">
        <v>1473</v>
      </c>
      <c r="C1522" s="19" t="s">
        <v>27</v>
      </c>
      <c r="D1522" s="20" t="s">
        <v>1584</v>
      </c>
      <c r="E1522" s="21" t="s">
        <v>1</v>
      </c>
    </row>
    <row r="1523" spans="2:5">
      <c r="B1523" s="18" t="s">
        <v>1473</v>
      </c>
      <c r="C1523" s="19" t="s">
        <v>27</v>
      </c>
      <c r="D1523" s="20" t="s">
        <v>1585</v>
      </c>
      <c r="E1523" s="21" t="s">
        <v>1</v>
      </c>
    </row>
    <row r="1524" spans="2:5">
      <c r="B1524" s="18" t="s">
        <v>1473</v>
      </c>
      <c r="C1524" s="19" t="s">
        <v>27</v>
      </c>
      <c r="D1524" s="20" t="s">
        <v>1586</v>
      </c>
      <c r="E1524" s="21" t="s">
        <v>1</v>
      </c>
    </row>
    <row r="1525" spans="2:5">
      <c r="B1525" s="18" t="s">
        <v>1473</v>
      </c>
      <c r="C1525" s="19" t="s">
        <v>27</v>
      </c>
      <c r="D1525" s="20" t="s">
        <v>1587</v>
      </c>
      <c r="E1525" s="21" t="s">
        <v>1</v>
      </c>
    </row>
    <row r="1526" spans="2:5">
      <c r="B1526" s="18" t="s">
        <v>1473</v>
      </c>
      <c r="C1526" s="19" t="s">
        <v>27</v>
      </c>
      <c r="D1526" s="20" t="s">
        <v>1588</v>
      </c>
      <c r="E1526" s="21" t="s">
        <v>1</v>
      </c>
    </row>
    <row r="1527" spans="2:5">
      <c r="B1527" s="18" t="s">
        <v>1473</v>
      </c>
      <c r="C1527" s="19" t="s">
        <v>27</v>
      </c>
      <c r="D1527" s="20" t="s">
        <v>1589</v>
      </c>
      <c r="E1527" s="21" t="s">
        <v>1</v>
      </c>
    </row>
    <row r="1528" spans="2:5">
      <c r="B1528" s="18" t="s">
        <v>1473</v>
      </c>
      <c r="C1528" s="19" t="s">
        <v>27</v>
      </c>
      <c r="D1528" s="20" t="s">
        <v>1590</v>
      </c>
      <c r="E1528" s="21" t="s">
        <v>1</v>
      </c>
    </row>
    <row r="1529" spans="2:5">
      <c r="B1529" s="18" t="s">
        <v>1473</v>
      </c>
      <c r="C1529" s="19" t="s">
        <v>27</v>
      </c>
      <c r="D1529" s="20" t="s">
        <v>1591</v>
      </c>
      <c r="E1529" s="21" t="s">
        <v>1</v>
      </c>
    </row>
    <row r="1530" spans="2:5">
      <c r="B1530" s="18" t="s">
        <v>1473</v>
      </c>
      <c r="C1530" s="19" t="s">
        <v>27</v>
      </c>
      <c r="D1530" s="20" t="s">
        <v>1592</v>
      </c>
      <c r="E1530" s="21" t="s">
        <v>1</v>
      </c>
    </row>
    <row r="1531" spans="2:5">
      <c r="B1531" s="18" t="s">
        <v>1473</v>
      </c>
      <c r="C1531" s="19" t="s">
        <v>27</v>
      </c>
      <c r="D1531" s="20" t="s">
        <v>1593</v>
      </c>
      <c r="E1531" s="21" t="s">
        <v>1</v>
      </c>
    </row>
    <row r="1532" spans="2:5">
      <c r="B1532" s="18" t="s">
        <v>1473</v>
      </c>
      <c r="C1532" s="19" t="s">
        <v>27</v>
      </c>
      <c r="D1532" s="20" t="s">
        <v>1594</v>
      </c>
      <c r="E1532" s="21" t="s">
        <v>1</v>
      </c>
    </row>
    <row r="1533" spans="2:5">
      <c r="B1533" s="18" t="s">
        <v>1473</v>
      </c>
      <c r="C1533" s="19" t="s">
        <v>27</v>
      </c>
      <c r="D1533" s="20" t="s">
        <v>1595</v>
      </c>
      <c r="E1533" s="21" t="s">
        <v>1</v>
      </c>
    </row>
    <row r="1534" spans="2:5">
      <c r="B1534" s="18" t="s">
        <v>1473</v>
      </c>
      <c r="C1534" s="19" t="s">
        <v>27</v>
      </c>
      <c r="D1534" s="20" t="s">
        <v>1596</v>
      </c>
      <c r="E1534" s="21" t="s">
        <v>1</v>
      </c>
    </row>
    <row r="1535" spans="2:5">
      <c r="B1535" s="18" t="s">
        <v>1473</v>
      </c>
      <c r="C1535" s="19" t="s">
        <v>27</v>
      </c>
      <c r="D1535" s="20" t="s">
        <v>1597</v>
      </c>
      <c r="E1535" s="21" t="s">
        <v>1</v>
      </c>
    </row>
    <row r="1536" spans="2:5">
      <c r="B1536" s="18" t="s">
        <v>1473</v>
      </c>
      <c r="C1536" s="19" t="s">
        <v>27</v>
      </c>
      <c r="D1536" s="20" t="s">
        <v>1598</v>
      </c>
      <c r="E1536" s="21" t="s">
        <v>1</v>
      </c>
    </row>
    <row r="1537" spans="2:5">
      <c r="B1537" s="18" t="s">
        <v>1473</v>
      </c>
      <c r="C1537" s="19" t="s">
        <v>27</v>
      </c>
      <c r="D1537" s="20" t="s">
        <v>1599</v>
      </c>
      <c r="E1537" s="21" t="s">
        <v>1</v>
      </c>
    </row>
    <row r="1538" spans="2:5">
      <c r="B1538" s="18" t="s">
        <v>1473</v>
      </c>
      <c r="C1538" s="19" t="s">
        <v>27</v>
      </c>
      <c r="D1538" s="20" t="s">
        <v>1600</v>
      </c>
      <c r="E1538" s="21" t="s">
        <v>1</v>
      </c>
    </row>
    <row r="1539" spans="2:5">
      <c r="B1539" s="18" t="s">
        <v>1473</v>
      </c>
      <c r="C1539" s="19" t="s">
        <v>27</v>
      </c>
      <c r="D1539" s="20" t="s">
        <v>1601</v>
      </c>
      <c r="E1539" s="21" t="s">
        <v>1</v>
      </c>
    </row>
    <row r="1540" spans="2:5">
      <c r="B1540" s="18" t="s">
        <v>1473</v>
      </c>
      <c r="C1540" s="19" t="s">
        <v>27</v>
      </c>
      <c r="D1540" s="20" t="s">
        <v>1602</v>
      </c>
      <c r="E1540" s="21" t="e">
        <v>#N/A</v>
      </c>
    </row>
    <row r="1541" spans="2:5">
      <c r="B1541" s="18" t="s">
        <v>1473</v>
      </c>
      <c r="C1541" s="19" t="s">
        <v>27</v>
      </c>
      <c r="D1541" s="20" t="s">
        <v>1603</v>
      </c>
      <c r="E1541" s="21" t="s">
        <v>1</v>
      </c>
    </row>
    <row r="1542" spans="2:5">
      <c r="B1542" s="18" t="s">
        <v>1473</v>
      </c>
      <c r="C1542" s="19" t="s">
        <v>27</v>
      </c>
      <c r="D1542" s="20" t="s">
        <v>1604</v>
      </c>
      <c r="E1542" s="21" t="s">
        <v>1</v>
      </c>
    </row>
    <row r="1543" spans="2:5">
      <c r="B1543" s="18" t="s">
        <v>1473</v>
      </c>
      <c r="C1543" s="19" t="s">
        <v>27</v>
      </c>
      <c r="D1543" s="20" t="s">
        <v>1605</v>
      </c>
      <c r="E1543" s="21" t="s">
        <v>1</v>
      </c>
    </row>
    <row r="1544" spans="2:5">
      <c r="B1544" s="18" t="s">
        <v>1473</v>
      </c>
      <c r="C1544" s="19" t="s">
        <v>27</v>
      </c>
      <c r="D1544" s="20" t="s">
        <v>1606</v>
      </c>
      <c r="E1544" s="21" t="s">
        <v>1</v>
      </c>
    </row>
    <row r="1545" spans="2:5">
      <c r="B1545" s="18" t="s">
        <v>1473</v>
      </c>
      <c r="C1545" s="19" t="s">
        <v>27</v>
      </c>
      <c r="D1545" s="20" t="s">
        <v>1607</v>
      </c>
      <c r="E1545" s="21" t="s">
        <v>1</v>
      </c>
    </row>
    <row r="1546" spans="2:5">
      <c r="B1546" s="18" t="s">
        <v>1473</v>
      </c>
      <c r="C1546" s="19" t="s">
        <v>27</v>
      </c>
      <c r="D1546" s="20" t="s">
        <v>1608</v>
      </c>
      <c r="E1546" s="21" t="s">
        <v>1</v>
      </c>
    </row>
    <row r="1547" spans="2:5">
      <c r="B1547" s="18" t="s">
        <v>1473</v>
      </c>
      <c r="C1547" s="19" t="s">
        <v>27</v>
      </c>
      <c r="D1547" s="20" t="s">
        <v>1609</v>
      </c>
      <c r="E1547" s="21" t="s">
        <v>1</v>
      </c>
    </row>
    <row r="1548" spans="2:5">
      <c r="B1548" s="18" t="s">
        <v>1473</v>
      </c>
      <c r="C1548" s="19" t="s">
        <v>27</v>
      </c>
      <c r="D1548" s="20" t="s">
        <v>1610</v>
      </c>
      <c r="E1548" s="21" t="s">
        <v>1</v>
      </c>
    </row>
    <row r="1549" spans="2:5">
      <c r="B1549" s="18" t="s">
        <v>1473</v>
      </c>
      <c r="C1549" s="19" t="s">
        <v>27</v>
      </c>
      <c r="D1549" s="20" t="s">
        <v>1611</v>
      </c>
      <c r="E1549" s="21" t="s">
        <v>1</v>
      </c>
    </row>
    <row r="1550" spans="2:5">
      <c r="B1550" s="18" t="s">
        <v>1473</v>
      </c>
      <c r="C1550" s="19" t="s">
        <v>27</v>
      </c>
      <c r="D1550" s="20" t="s">
        <v>1612</v>
      </c>
      <c r="E1550" s="21" t="s">
        <v>1</v>
      </c>
    </row>
    <row r="1551" spans="2:5">
      <c r="B1551" s="18" t="s">
        <v>1473</v>
      </c>
      <c r="C1551" s="19" t="s">
        <v>27</v>
      </c>
      <c r="D1551" s="20" t="s">
        <v>1613</v>
      </c>
      <c r="E1551" s="21" t="s">
        <v>1</v>
      </c>
    </row>
    <row r="1552" spans="2:5">
      <c r="B1552" s="18" t="s">
        <v>1473</v>
      </c>
      <c r="C1552" s="19" t="s">
        <v>27</v>
      </c>
      <c r="D1552" s="20" t="s">
        <v>1614</v>
      </c>
      <c r="E1552" s="21" t="s">
        <v>1</v>
      </c>
    </row>
    <row r="1553" spans="2:5">
      <c r="B1553" s="18" t="s">
        <v>1473</v>
      </c>
      <c r="C1553" s="19" t="s">
        <v>27</v>
      </c>
      <c r="D1553" s="20" t="s">
        <v>1615</v>
      </c>
      <c r="E1553" s="21" t="s">
        <v>1</v>
      </c>
    </row>
    <row r="1554" spans="2:5">
      <c r="B1554" s="18" t="s">
        <v>1473</v>
      </c>
      <c r="C1554" s="19" t="s">
        <v>27</v>
      </c>
      <c r="D1554" s="20" t="s">
        <v>1616</v>
      </c>
      <c r="E1554" s="21" t="s">
        <v>1</v>
      </c>
    </row>
    <row r="1555" spans="2:5">
      <c r="B1555" s="18" t="s">
        <v>1473</v>
      </c>
      <c r="C1555" s="19" t="s">
        <v>27</v>
      </c>
      <c r="D1555" s="20" t="s">
        <v>1617</v>
      </c>
      <c r="E1555" s="21" t="s">
        <v>1</v>
      </c>
    </row>
    <row r="1556" spans="2:5">
      <c r="B1556" s="18" t="s">
        <v>1473</v>
      </c>
      <c r="C1556" s="19" t="s">
        <v>27</v>
      </c>
      <c r="D1556" s="20" t="s">
        <v>1618</v>
      </c>
      <c r="E1556" s="21" t="s">
        <v>1</v>
      </c>
    </row>
    <row r="1557" spans="2:5">
      <c r="B1557" s="18" t="s">
        <v>1473</v>
      </c>
      <c r="C1557" s="19" t="s">
        <v>27</v>
      </c>
      <c r="D1557" s="20" t="s">
        <v>1619</v>
      </c>
      <c r="E1557" s="21" t="s">
        <v>1</v>
      </c>
    </row>
    <row r="1558" spans="2:5">
      <c r="B1558" s="18" t="s">
        <v>1473</v>
      </c>
      <c r="C1558" s="19" t="s">
        <v>27</v>
      </c>
      <c r="D1558" s="20" t="s">
        <v>1620</v>
      </c>
      <c r="E1558" s="21" t="s">
        <v>1</v>
      </c>
    </row>
    <row r="1559" spans="2:5">
      <c r="B1559" s="18" t="s">
        <v>1473</v>
      </c>
      <c r="C1559" s="19" t="s">
        <v>27</v>
      </c>
      <c r="D1559" s="20" t="s">
        <v>1621</v>
      </c>
      <c r="E1559" s="21" t="s">
        <v>1</v>
      </c>
    </row>
    <row r="1560" spans="2:5">
      <c r="B1560" s="18" t="s">
        <v>1473</v>
      </c>
      <c r="C1560" s="19" t="s">
        <v>27</v>
      </c>
      <c r="D1560" s="20" t="s">
        <v>1622</v>
      </c>
      <c r="E1560" s="21" t="s">
        <v>1</v>
      </c>
    </row>
    <row r="1561" spans="2:5">
      <c r="B1561" s="18" t="s">
        <v>1473</v>
      </c>
      <c r="C1561" s="19" t="s">
        <v>27</v>
      </c>
      <c r="D1561" s="20" t="s">
        <v>1623</v>
      </c>
      <c r="E1561" s="21" t="s">
        <v>1</v>
      </c>
    </row>
    <row r="1562" spans="2:5">
      <c r="B1562" s="18" t="s">
        <v>1473</v>
      </c>
      <c r="C1562" s="19" t="s">
        <v>27</v>
      </c>
      <c r="D1562" s="20" t="s">
        <v>1624</v>
      </c>
      <c r="E1562" s="21" t="s">
        <v>1</v>
      </c>
    </row>
    <row r="1563" spans="2:5">
      <c r="B1563" s="18" t="s">
        <v>1473</v>
      </c>
      <c r="C1563" s="19" t="s">
        <v>27</v>
      </c>
      <c r="D1563" s="20" t="s">
        <v>1625</v>
      </c>
      <c r="E1563" s="21" t="s">
        <v>1</v>
      </c>
    </row>
    <row r="1564" spans="2:5">
      <c r="B1564" s="18" t="s">
        <v>1473</v>
      </c>
      <c r="C1564" s="19" t="s">
        <v>27</v>
      </c>
      <c r="D1564" s="20" t="s">
        <v>1626</v>
      </c>
      <c r="E1564" s="21" t="s">
        <v>1</v>
      </c>
    </row>
    <row r="1565" spans="2:5">
      <c r="B1565" s="18" t="s">
        <v>1473</v>
      </c>
      <c r="C1565" s="19" t="s">
        <v>27</v>
      </c>
      <c r="D1565" s="20" t="s">
        <v>1627</v>
      </c>
      <c r="E1565" s="21" t="s">
        <v>1</v>
      </c>
    </row>
    <row r="1566" spans="2:5">
      <c r="B1566" s="18" t="s">
        <v>1473</v>
      </c>
      <c r="C1566" s="19" t="s">
        <v>27</v>
      </c>
      <c r="D1566" s="20" t="s">
        <v>1628</v>
      </c>
      <c r="E1566" s="21" t="s">
        <v>1</v>
      </c>
    </row>
    <row r="1567" spans="2:5">
      <c r="B1567" s="18" t="s">
        <v>1473</v>
      </c>
      <c r="C1567" s="19" t="s">
        <v>27</v>
      </c>
      <c r="D1567" s="20" t="s">
        <v>1629</v>
      </c>
      <c r="E1567" s="21" t="s">
        <v>1</v>
      </c>
    </row>
    <row r="1568" spans="2:5">
      <c r="B1568" s="18" t="s">
        <v>1473</v>
      </c>
      <c r="C1568" s="19" t="s">
        <v>27</v>
      </c>
      <c r="D1568" s="20" t="s">
        <v>1630</v>
      </c>
      <c r="E1568" s="21" t="s">
        <v>1</v>
      </c>
    </row>
    <row r="1569" spans="2:5">
      <c r="B1569" s="18" t="s">
        <v>1473</v>
      </c>
      <c r="C1569" s="19" t="s">
        <v>27</v>
      </c>
      <c r="D1569" s="20" t="s">
        <v>1631</v>
      </c>
      <c r="E1569" s="21" t="s">
        <v>1</v>
      </c>
    </row>
    <row r="1570" spans="2:5">
      <c r="B1570" s="18" t="s">
        <v>1473</v>
      </c>
      <c r="C1570" s="19" t="s">
        <v>27</v>
      </c>
      <c r="D1570" s="20" t="s">
        <v>1632</v>
      </c>
      <c r="E1570" s="21" t="s">
        <v>1</v>
      </c>
    </row>
    <row r="1571" spans="2:5">
      <c r="B1571" s="18" t="s">
        <v>1473</v>
      </c>
      <c r="C1571" s="19" t="s">
        <v>27</v>
      </c>
      <c r="D1571" s="20" t="s">
        <v>1633</v>
      </c>
      <c r="E1571" s="21" t="s">
        <v>1</v>
      </c>
    </row>
    <row r="1572" spans="2:5">
      <c r="B1572" s="18" t="s">
        <v>1473</v>
      </c>
      <c r="C1572" s="19" t="s">
        <v>27</v>
      </c>
      <c r="D1572" s="20" t="s">
        <v>1634</v>
      </c>
      <c r="E1572" s="21" t="s">
        <v>1</v>
      </c>
    </row>
    <row r="1573" spans="2:5">
      <c r="B1573" s="18" t="s">
        <v>1473</v>
      </c>
      <c r="C1573" s="19" t="s">
        <v>27</v>
      </c>
      <c r="D1573" s="20" t="s">
        <v>1635</v>
      </c>
      <c r="E1573" s="21" t="s">
        <v>1</v>
      </c>
    </row>
    <row r="1574" spans="2:5">
      <c r="B1574" s="18" t="s">
        <v>1473</v>
      </c>
      <c r="C1574" s="19" t="s">
        <v>27</v>
      </c>
      <c r="D1574" s="20" t="s">
        <v>1636</v>
      </c>
      <c r="E1574" s="21" t="s">
        <v>1</v>
      </c>
    </row>
    <row r="1575" spans="2:5">
      <c r="B1575" s="18" t="s">
        <v>1473</v>
      </c>
      <c r="C1575" s="19" t="s">
        <v>27</v>
      </c>
      <c r="D1575" s="20" t="s">
        <v>1637</v>
      </c>
      <c r="E1575" s="21" t="s">
        <v>1</v>
      </c>
    </row>
    <row r="1576" spans="2:5">
      <c r="B1576" s="18" t="s">
        <v>1473</v>
      </c>
      <c r="C1576" s="19" t="s">
        <v>27</v>
      </c>
      <c r="D1576" s="20" t="s">
        <v>1638</v>
      </c>
      <c r="E1576" s="21" t="s">
        <v>1</v>
      </c>
    </row>
    <row r="1577" spans="2:5">
      <c r="B1577" s="18" t="s">
        <v>1473</v>
      </c>
      <c r="C1577" s="19" t="s">
        <v>27</v>
      </c>
      <c r="D1577" s="20" t="s">
        <v>1639</v>
      </c>
      <c r="E1577" s="21" t="s">
        <v>1</v>
      </c>
    </row>
    <row r="1578" spans="2:5">
      <c r="B1578" s="18" t="s">
        <v>1473</v>
      </c>
      <c r="C1578" s="19" t="s">
        <v>27</v>
      </c>
      <c r="D1578" s="20" t="s">
        <v>1640</v>
      </c>
      <c r="E1578" s="21" t="s">
        <v>1</v>
      </c>
    </row>
    <row r="1579" spans="2:5">
      <c r="B1579" s="18" t="s">
        <v>1473</v>
      </c>
      <c r="C1579" s="19" t="s">
        <v>27</v>
      </c>
      <c r="D1579" s="20" t="s">
        <v>1641</v>
      </c>
      <c r="E1579" s="21" t="s">
        <v>1</v>
      </c>
    </row>
    <row r="1580" spans="2:5">
      <c r="B1580" s="18" t="s">
        <v>1473</v>
      </c>
      <c r="C1580" s="19" t="s">
        <v>27</v>
      </c>
      <c r="D1580" s="20" t="s">
        <v>1642</v>
      </c>
      <c r="E1580" s="21" t="s">
        <v>1</v>
      </c>
    </row>
    <row r="1581" spans="2:5">
      <c r="B1581" s="18" t="s">
        <v>1473</v>
      </c>
      <c r="C1581" s="19" t="s">
        <v>27</v>
      </c>
      <c r="D1581" s="20" t="s">
        <v>1643</v>
      </c>
      <c r="E1581" s="21" t="s">
        <v>1</v>
      </c>
    </row>
    <row r="1582" spans="2:5">
      <c r="B1582" s="18" t="s">
        <v>1473</v>
      </c>
      <c r="C1582" s="19" t="s">
        <v>27</v>
      </c>
      <c r="D1582" s="20" t="s">
        <v>1644</v>
      </c>
      <c r="E1582" s="21" t="s">
        <v>1</v>
      </c>
    </row>
    <row r="1583" spans="2:5">
      <c r="B1583" s="18" t="s">
        <v>1473</v>
      </c>
      <c r="C1583" s="19" t="s">
        <v>27</v>
      </c>
      <c r="D1583" s="20" t="s">
        <v>1645</v>
      </c>
      <c r="E1583" s="21" t="s">
        <v>1</v>
      </c>
    </row>
    <row r="1584" spans="2:5">
      <c r="B1584" s="18" t="s">
        <v>1473</v>
      </c>
      <c r="C1584" s="19" t="s">
        <v>27</v>
      </c>
      <c r="D1584" s="20" t="s">
        <v>1646</v>
      </c>
      <c r="E1584" s="21" t="s">
        <v>1</v>
      </c>
    </row>
    <row r="1585" spans="2:5">
      <c r="B1585" s="18" t="s">
        <v>1473</v>
      </c>
      <c r="C1585" s="19" t="s">
        <v>27</v>
      </c>
      <c r="D1585" s="20" t="s">
        <v>1647</v>
      </c>
      <c r="E1585" s="21" t="s">
        <v>1</v>
      </c>
    </row>
    <row r="1586" spans="2:5">
      <c r="B1586" s="18" t="s">
        <v>1473</v>
      </c>
      <c r="C1586" s="19" t="s">
        <v>27</v>
      </c>
      <c r="D1586" s="20" t="s">
        <v>1648</v>
      </c>
      <c r="E1586" s="21" t="s">
        <v>1</v>
      </c>
    </row>
    <row r="1587" spans="2:5">
      <c r="B1587" s="18" t="s">
        <v>1473</v>
      </c>
      <c r="C1587" s="19" t="s">
        <v>27</v>
      </c>
      <c r="D1587" s="20" t="s">
        <v>1649</v>
      </c>
      <c r="E1587" s="21" t="s">
        <v>1</v>
      </c>
    </row>
    <row r="1588" spans="2:5">
      <c r="B1588" s="18" t="s">
        <v>1473</v>
      </c>
      <c r="C1588" s="19" t="s">
        <v>27</v>
      </c>
      <c r="D1588" s="20" t="s">
        <v>1650</v>
      </c>
      <c r="E1588" s="21" t="s">
        <v>1</v>
      </c>
    </row>
    <row r="1589" spans="2:5">
      <c r="B1589" s="18" t="s">
        <v>1473</v>
      </c>
      <c r="C1589" s="19" t="s">
        <v>27</v>
      </c>
      <c r="D1589" s="20" t="s">
        <v>1651</v>
      </c>
      <c r="E1589" s="21" t="s">
        <v>1</v>
      </c>
    </row>
    <row r="1590" spans="2:5">
      <c r="B1590" s="18" t="s">
        <v>1473</v>
      </c>
      <c r="C1590" s="19" t="s">
        <v>27</v>
      </c>
      <c r="D1590" s="20" t="s">
        <v>1652</v>
      </c>
      <c r="E1590" s="21" t="s">
        <v>1</v>
      </c>
    </row>
    <row r="1591" spans="2:5">
      <c r="B1591" s="18" t="s">
        <v>1473</v>
      </c>
      <c r="C1591" s="19" t="s">
        <v>27</v>
      </c>
      <c r="D1591" s="20" t="s">
        <v>1653</v>
      </c>
      <c r="E1591" s="21" t="s">
        <v>1</v>
      </c>
    </row>
    <row r="1592" spans="2:5">
      <c r="B1592" s="18" t="s">
        <v>1473</v>
      </c>
      <c r="C1592" s="19" t="s">
        <v>27</v>
      </c>
      <c r="D1592" s="20" t="s">
        <v>1654</v>
      </c>
      <c r="E1592" s="21" t="s">
        <v>1</v>
      </c>
    </row>
    <row r="1593" spans="2:5">
      <c r="B1593" s="18" t="s">
        <v>1473</v>
      </c>
      <c r="C1593" s="19" t="s">
        <v>27</v>
      </c>
      <c r="D1593" s="20" t="s">
        <v>1655</v>
      </c>
      <c r="E1593" s="21" t="s">
        <v>1</v>
      </c>
    </row>
    <row r="1594" spans="2:5">
      <c r="B1594" s="18" t="s">
        <v>1473</v>
      </c>
      <c r="C1594" s="19" t="s">
        <v>27</v>
      </c>
      <c r="D1594" s="20" t="s">
        <v>1656</v>
      </c>
      <c r="E1594" s="21" t="s">
        <v>1</v>
      </c>
    </row>
    <row r="1595" spans="2:5">
      <c r="B1595" s="18" t="s">
        <v>1473</v>
      </c>
      <c r="C1595" s="19" t="s">
        <v>27</v>
      </c>
      <c r="D1595" s="20" t="s">
        <v>1657</v>
      </c>
      <c r="E1595" s="21" t="s">
        <v>1</v>
      </c>
    </row>
    <row r="1596" spans="2:5">
      <c r="B1596" s="18" t="s">
        <v>1473</v>
      </c>
      <c r="C1596" s="19" t="s">
        <v>27</v>
      </c>
      <c r="D1596" s="20" t="s">
        <v>1658</v>
      </c>
      <c r="E1596" s="21" t="s">
        <v>1</v>
      </c>
    </row>
    <row r="1597" spans="2:5">
      <c r="B1597" s="18" t="s">
        <v>1473</v>
      </c>
      <c r="C1597" s="19" t="s">
        <v>27</v>
      </c>
      <c r="D1597" s="20" t="s">
        <v>1659</v>
      </c>
      <c r="E1597" s="21" t="s">
        <v>1</v>
      </c>
    </row>
    <row r="1598" spans="2:5">
      <c r="B1598" s="18" t="s">
        <v>1473</v>
      </c>
      <c r="C1598" s="19" t="s">
        <v>27</v>
      </c>
      <c r="D1598" s="20" t="s">
        <v>1660</v>
      </c>
      <c r="E1598" s="21" t="s">
        <v>1</v>
      </c>
    </row>
    <row r="1599" spans="2:5">
      <c r="B1599" s="18" t="s">
        <v>1473</v>
      </c>
      <c r="C1599" s="19" t="s">
        <v>27</v>
      </c>
      <c r="D1599" s="20" t="s">
        <v>1661</v>
      </c>
      <c r="E1599" s="21" t="s">
        <v>1</v>
      </c>
    </row>
    <row r="1600" spans="2:5">
      <c r="B1600" s="18" t="s">
        <v>1473</v>
      </c>
      <c r="C1600" s="19" t="s">
        <v>27</v>
      </c>
      <c r="D1600" s="20" t="s">
        <v>1662</v>
      </c>
      <c r="E1600" s="21" t="s">
        <v>1</v>
      </c>
    </row>
    <row r="1601" spans="2:5">
      <c r="B1601" s="18" t="s">
        <v>1473</v>
      </c>
      <c r="C1601" s="19" t="s">
        <v>27</v>
      </c>
      <c r="D1601" s="20" t="s">
        <v>1663</v>
      </c>
      <c r="E1601" s="21" t="s">
        <v>1</v>
      </c>
    </row>
    <row r="1602" spans="2:5">
      <c r="B1602" s="18" t="s">
        <v>1473</v>
      </c>
      <c r="C1602" s="19" t="s">
        <v>27</v>
      </c>
      <c r="D1602" s="20" t="s">
        <v>1664</v>
      </c>
      <c r="E1602" s="21" t="s">
        <v>1</v>
      </c>
    </row>
    <row r="1603" spans="2:5">
      <c r="B1603" s="18" t="s">
        <v>1473</v>
      </c>
      <c r="C1603" s="19" t="s">
        <v>27</v>
      </c>
      <c r="D1603" s="20" t="s">
        <v>1665</v>
      </c>
      <c r="E1603" s="21" t="s">
        <v>1</v>
      </c>
    </row>
    <row r="1604" spans="2:5">
      <c r="B1604" s="18" t="s">
        <v>1473</v>
      </c>
      <c r="C1604" s="19" t="s">
        <v>27</v>
      </c>
      <c r="D1604" s="20" t="s">
        <v>1666</v>
      </c>
      <c r="E1604" s="21" t="s">
        <v>1</v>
      </c>
    </row>
    <row r="1605" spans="2:5">
      <c r="B1605" s="18" t="s">
        <v>1473</v>
      </c>
      <c r="C1605" s="19" t="s">
        <v>27</v>
      </c>
      <c r="D1605" s="20" t="s">
        <v>1667</v>
      </c>
      <c r="E1605" s="21" t="s">
        <v>1</v>
      </c>
    </row>
    <row r="1606" spans="2:5">
      <c r="B1606" s="18" t="s">
        <v>1473</v>
      </c>
      <c r="C1606" s="19" t="s">
        <v>27</v>
      </c>
      <c r="D1606" s="20" t="s">
        <v>1668</v>
      </c>
      <c r="E1606" s="21" t="s">
        <v>1</v>
      </c>
    </row>
    <row r="1607" spans="2:5">
      <c r="B1607" s="18" t="s">
        <v>1473</v>
      </c>
      <c r="C1607" s="19" t="s">
        <v>27</v>
      </c>
      <c r="D1607" s="20" t="s">
        <v>1669</v>
      </c>
      <c r="E1607" s="21" t="s">
        <v>1</v>
      </c>
    </row>
    <row r="1608" spans="2:5">
      <c r="B1608" s="18" t="s">
        <v>1473</v>
      </c>
      <c r="C1608" s="19" t="s">
        <v>27</v>
      </c>
      <c r="D1608" s="20" t="s">
        <v>1670</v>
      </c>
      <c r="E1608" s="21" t="s">
        <v>1</v>
      </c>
    </row>
    <row r="1609" spans="2:5">
      <c r="B1609" s="18" t="s">
        <v>1473</v>
      </c>
      <c r="C1609" s="19" t="s">
        <v>27</v>
      </c>
      <c r="D1609" s="20" t="s">
        <v>1671</v>
      </c>
      <c r="E1609" s="21" t="s">
        <v>1</v>
      </c>
    </row>
    <row r="1610" spans="2:5">
      <c r="B1610" s="18" t="s">
        <v>1473</v>
      </c>
      <c r="C1610" s="19" t="s">
        <v>27</v>
      </c>
      <c r="D1610" s="20" t="s">
        <v>1672</v>
      </c>
      <c r="E1610" s="21" t="s">
        <v>1</v>
      </c>
    </row>
    <row r="1611" spans="2:5">
      <c r="B1611" s="18" t="s">
        <v>1473</v>
      </c>
      <c r="C1611" s="19" t="s">
        <v>27</v>
      </c>
      <c r="D1611" s="20" t="s">
        <v>1673</v>
      </c>
      <c r="E1611" s="21" t="s">
        <v>1</v>
      </c>
    </row>
    <row r="1612" spans="2:5">
      <c r="B1612" s="18" t="s">
        <v>1473</v>
      </c>
      <c r="C1612" s="19" t="s">
        <v>27</v>
      </c>
      <c r="D1612" s="20" t="s">
        <v>1674</v>
      </c>
      <c r="E1612" s="21" t="s">
        <v>1</v>
      </c>
    </row>
    <row r="1613" spans="2:5">
      <c r="B1613" s="18" t="s">
        <v>1473</v>
      </c>
      <c r="C1613" s="19" t="s">
        <v>27</v>
      </c>
      <c r="D1613" s="20" t="s">
        <v>1675</v>
      </c>
      <c r="E1613" s="21" t="s">
        <v>1</v>
      </c>
    </row>
    <row r="1614" spans="2:5">
      <c r="B1614" s="18" t="s">
        <v>1473</v>
      </c>
      <c r="C1614" s="19" t="s">
        <v>27</v>
      </c>
      <c r="D1614" s="20" t="s">
        <v>1676</v>
      </c>
      <c r="E1614" s="21" t="s">
        <v>1</v>
      </c>
    </row>
    <row r="1615" spans="2:5">
      <c r="B1615" s="18" t="s">
        <v>1473</v>
      </c>
      <c r="C1615" s="19" t="s">
        <v>27</v>
      </c>
      <c r="D1615" s="20" t="s">
        <v>1677</v>
      </c>
      <c r="E1615" s="21" t="s">
        <v>1</v>
      </c>
    </row>
    <row r="1616" spans="2:5">
      <c r="B1616" s="18" t="s">
        <v>1473</v>
      </c>
      <c r="C1616" s="19" t="s">
        <v>27</v>
      </c>
      <c r="D1616" s="20" t="s">
        <v>1678</v>
      </c>
      <c r="E1616" s="21" t="s">
        <v>1</v>
      </c>
    </row>
    <row r="1617" spans="2:5">
      <c r="B1617" s="18" t="s">
        <v>1473</v>
      </c>
      <c r="C1617" s="19" t="s">
        <v>27</v>
      </c>
      <c r="D1617" s="20" t="s">
        <v>1679</v>
      </c>
      <c r="E1617" s="21" t="s">
        <v>1</v>
      </c>
    </row>
    <row r="1618" spans="2:5">
      <c r="B1618" s="18" t="s">
        <v>1473</v>
      </c>
      <c r="C1618" s="19" t="s">
        <v>27</v>
      </c>
      <c r="D1618" s="20" t="s">
        <v>1680</v>
      </c>
      <c r="E1618" s="21" t="s">
        <v>1</v>
      </c>
    </row>
    <row r="1619" spans="2:5">
      <c r="B1619" s="18" t="s">
        <v>1473</v>
      </c>
      <c r="C1619" s="19" t="s">
        <v>27</v>
      </c>
      <c r="D1619" s="20" t="s">
        <v>1681</v>
      </c>
      <c r="E1619" s="21" t="s">
        <v>1</v>
      </c>
    </row>
    <row r="1620" spans="2:5">
      <c r="B1620" s="18" t="s">
        <v>1473</v>
      </c>
      <c r="C1620" s="19" t="s">
        <v>27</v>
      </c>
      <c r="D1620" s="20" t="s">
        <v>1682</v>
      </c>
      <c r="E1620" s="21" t="s">
        <v>1</v>
      </c>
    </row>
    <row r="1621" spans="2:5">
      <c r="B1621" s="18" t="s">
        <v>1473</v>
      </c>
      <c r="C1621" s="19" t="s">
        <v>27</v>
      </c>
      <c r="D1621" s="20" t="s">
        <v>1683</v>
      </c>
      <c r="E1621" s="21" t="s">
        <v>1</v>
      </c>
    </row>
    <row r="1622" spans="2:5">
      <c r="B1622" s="18" t="s">
        <v>1473</v>
      </c>
      <c r="C1622" s="19" t="s">
        <v>27</v>
      </c>
      <c r="D1622" s="20" t="s">
        <v>1684</v>
      </c>
      <c r="E1622" s="21" t="s">
        <v>1</v>
      </c>
    </row>
    <row r="1623" spans="2:5">
      <c r="B1623" s="18" t="s">
        <v>1473</v>
      </c>
      <c r="C1623" s="19" t="s">
        <v>27</v>
      </c>
      <c r="D1623" s="20" t="s">
        <v>1685</v>
      </c>
      <c r="E1623" s="21" t="s">
        <v>1</v>
      </c>
    </row>
    <row r="1624" spans="2:5">
      <c r="B1624" s="18" t="s">
        <v>1473</v>
      </c>
      <c r="C1624" s="19" t="s">
        <v>27</v>
      </c>
      <c r="D1624" s="20" t="s">
        <v>1686</v>
      </c>
      <c r="E1624" s="21" t="s">
        <v>1</v>
      </c>
    </row>
    <row r="1625" spans="2:5">
      <c r="B1625" s="18" t="s">
        <v>1473</v>
      </c>
      <c r="C1625" s="19" t="s">
        <v>27</v>
      </c>
      <c r="D1625" s="20" t="s">
        <v>1687</v>
      </c>
      <c r="E1625" s="21" t="s">
        <v>1</v>
      </c>
    </row>
    <row r="1626" spans="2:5">
      <c r="B1626" s="18" t="s">
        <v>1473</v>
      </c>
      <c r="C1626" s="19" t="s">
        <v>27</v>
      </c>
      <c r="D1626" s="20" t="s">
        <v>1688</v>
      </c>
      <c r="E1626" s="21" t="s">
        <v>1</v>
      </c>
    </row>
    <row r="1627" spans="2:5">
      <c r="B1627" s="18" t="s">
        <v>1473</v>
      </c>
      <c r="C1627" s="19" t="s">
        <v>27</v>
      </c>
      <c r="D1627" s="20" t="s">
        <v>1689</v>
      </c>
      <c r="E1627" s="21" t="s">
        <v>1</v>
      </c>
    </row>
    <row r="1628" spans="2:5">
      <c r="B1628" s="18" t="s">
        <v>1473</v>
      </c>
      <c r="C1628" s="19" t="s">
        <v>27</v>
      </c>
      <c r="D1628" s="20" t="s">
        <v>1690</v>
      </c>
      <c r="E1628" s="21" t="s">
        <v>1</v>
      </c>
    </row>
    <row r="1629" spans="2:5">
      <c r="B1629" s="18" t="s">
        <v>1473</v>
      </c>
      <c r="C1629" s="19" t="s">
        <v>27</v>
      </c>
      <c r="D1629" s="20" t="s">
        <v>1691</v>
      </c>
      <c r="E1629" s="21" t="s">
        <v>1</v>
      </c>
    </row>
    <row r="1630" spans="2:5">
      <c r="B1630" s="18" t="s">
        <v>1473</v>
      </c>
      <c r="C1630" s="19" t="s">
        <v>27</v>
      </c>
      <c r="D1630" s="20" t="s">
        <v>1692</v>
      </c>
      <c r="E1630" s="21" t="s">
        <v>1</v>
      </c>
    </row>
    <row r="1631" spans="2:5">
      <c r="B1631" s="18" t="s">
        <v>1473</v>
      </c>
      <c r="C1631" s="19" t="s">
        <v>27</v>
      </c>
      <c r="D1631" s="20" t="s">
        <v>1693</v>
      </c>
      <c r="E1631" s="21" t="s">
        <v>1</v>
      </c>
    </row>
    <row r="1632" spans="2:5">
      <c r="B1632" s="18" t="s">
        <v>1473</v>
      </c>
      <c r="C1632" s="19" t="s">
        <v>27</v>
      </c>
      <c r="D1632" s="20" t="s">
        <v>1694</v>
      </c>
      <c r="E1632" s="21" t="s">
        <v>1</v>
      </c>
    </row>
    <row r="1633" spans="2:5">
      <c r="B1633" s="18" t="s">
        <v>1473</v>
      </c>
      <c r="C1633" s="19" t="s">
        <v>27</v>
      </c>
      <c r="D1633" s="20" t="s">
        <v>1695</v>
      </c>
      <c r="E1633" s="21" t="s">
        <v>1</v>
      </c>
    </row>
    <row r="1634" spans="2:5">
      <c r="B1634" s="18" t="s">
        <v>1473</v>
      </c>
      <c r="C1634" s="19" t="s">
        <v>27</v>
      </c>
      <c r="D1634" s="20" t="s">
        <v>1696</v>
      </c>
      <c r="E1634" s="21" t="s">
        <v>1</v>
      </c>
    </row>
    <row r="1635" spans="2:5">
      <c r="B1635" s="18" t="s">
        <v>1473</v>
      </c>
      <c r="C1635" s="19" t="s">
        <v>27</v>
      </c>
      <c r="D1635" s="20" t="s">
        <v>1697</v>
      </c>
      <c r="E1635" s="21" t="s">
        <v>1</v>
      </c>
    </row>
    <row r="1636" spans="2:5">
      <c r="B1636" s="18" t="s">
        <v>1473</v>
      </c>
      <c r="C1636" s="19" t="s">
        <v>27</v>
      </c>
      <c r="D1636" s="20" t="s">
        <v>1698</v>
      </c>
      <c r="E1636" s="21" t="s">
        <v>1</v>
      </c>
    </row>
    <row r="1637" spans="2:5">
      <c r="B1637" s="18" t="s">
        <v>1473</v>
      </c>
      <c r="C1637" s="19" t="s">
        <v>27</v>
      </c>
      <c r="D1637" s="20" t="s">
        <v>1699</v>
      </c>
      <c r="E1637" s="21" t="s">
        <v>1</v>
      </c>
    </row>
    <row r="1638" spans="2:5">
      <c r="B1638" s="18" t="s">
        <v>1473</v>
      </c>
      <c r="C1638" s="19" t="s">
        <v>27</v>
      </c>
      <c r="D1638" s="20" t="s">
        <v>1700</v>
      </c>
      <c r="E1638" s="21" t="s">
        <v>1</v>
      </c>
    </row>
    <row r="1639" spans="2:5">
      <c r="B1639" s="18" t="s">
        <v>1473</v>
      </c>
      <c r="C1639" s="19" t="s">
        <v>27</v>
      </c>
      <c r="D1639" s="20" t="s">
        <v>1701</v>
      </c>
      <c r="E1639" s="21" t="s">
        <v>1</v>
      </c>
    </row>
    <row r="1640" spans="2:5">
      <c r="B1640" s="18" t="s">
        <v>1473</v>
      </c>
      <c r="C1640" s="19" t="s">
        <v>27</v>
      </c>
      <c r="D1640" s="20" t="s">
        <v>1702</v>
      </c>
      <c r="E1640" s="21" t="s">
        <v>1</v>
      </c>
    </row>
    <row r="1641" spans="2:5">
      <c r="B1641" s="18" t="s">
        <v>1473</v>
      </c>
      <c r="C1641" s="19" t="s">
        <v>27</v>
      </c>
      <c r="D1641" s="20" t="s">
        <v>1703</v>
      </c>
      <c r="E1641" s="21" t="e">
        <v>#N/A</v>
      </c>
    </row>
    <row r="1642" spans="2:5">
      <c r="B1642" s="18" t="s">
        <v>1473</v>
      </c>
      <c r="C1642" s="19" t="s">
        <v>27</v>
      </c>
      <c r="D1642" s="20" t="s">
        <v>1704</v>
      </c>
      <c r="E1642" s="21" t="e">
        <v>#N/A</v>
      </c>
    </row>
    <row r="1643" spans="2:5">
      <c r="B1643" s="18" t="s">
        <v>1473</v>
      </c>
      <c r="C1643" s="19" t="s">
        <v>27</v>
      </c>
      <c r="D1643" s="20" t="s">
        <v>1705</v>
      </c>
      <c r="E1643" s="21" t="s">
        <v>1738</v>
      </c>
    </row>
    <row r="1644" spans="2:5">
      <c r="B1644" s="18" t="s">
        <v>1473</v>
      </c>
      <c r="C1644" s="19" t="s">
        <v>27</v>
      </c>
      <c r="D1644" s="20" t="s">
        <v>1706</v>
      </c>
      <c r="E1644" s="21" t="s">
        <v>1</v>
      </c>
    </row>
    <row r="1645" spans="2:5">
      <c r="B1645" s="18" t="s">
        <v>1473</v>
      </c>
      <c r="C1645" s="19" t="s">
        <v>27</v>
      </c>
      <c r="D1645" s="20" t="s">
        <v>1707</v>
      </c>
      <c r="E1645" s="21" t="s">
        <v>1</v>
      </c>
    </row>
    <row r="1646" spans="2:5">
      <c r="B1646" s="18" t="s">
        <v>1473</v>
      </c>
      <c r="C1646" s="19" t="s">
        <v>27</v>
      </c>
      <c r="D1646" s="20" t="s">
        <v>1708</v>
      </c>
      <c r="E1646" s="21" t="s">
        <v>1</v>
      </c>
    </row>
    <row r="1647" spans="2:5">
      <c r="B1647" s="18" t="s">
        <v>1473</v>
      </c>
      <c r="C1647" s="19" t="s">
        <v>27</v>
      </c>
      <c r="D1647" s="20" t="s">
        <v>1709</v>
      </c>
      <c r="E1647" s="21" t="s">
        <v>1</v>
      </c>
    </row>
    <row r="1648" spans="2:5">
      <c r="B1648" s="18" t="s">
        <v>1473</v>
      </c>
      <c r="C1648" s="19" t="s">
        <v>27</v>
      </c>
      <c r="D1648" s="20" t="s">
        <v>1710</v>
      </c>
      <c r="E1648" s="21" t="s">
        <v>1</v>
      </c>
    </row>
    <row r="1649" spans="2:5">
      <c r="B1649" s="18" t="s">
        <v>1473</v>
      </c>
      <c r="C1649" s="19" t="s">
        <v>27</v>
      </c>
      <c r="D1649" s="20" t="s">
        <v>1711</v>
      </c>
      <c r="E1649" s="21" t="s">
        <v>1</v>
      </c>
    </row>
    <row r="1650" spans="2:5">
      <c r="B1650" s="18" t="s">
        <v>1473</v>
      </c>
      <c r="C1650" s="19" t="s">
        <v>27</v>
      </c>
      <c r="D1650" s="20" t="s">
        <v>1712</v>
      </c>
      <c r="E1650" s="21" t="s">
        <v>1</v>
      </c>
    </row>
    <row r="1651" spans="2:5">
      <c r="B1651" s="18" t="s">
        <v>1473</v>
      </c>
      <c r="C1651" s="19" t="s">
        <v>27</v>
      </c>
      <c r="D1651" s="20" t="s">
        <v>1713</v>
      </c>
      <c r="E1651" s="21" t="s">
        <v>1</v>
      </c>
    </row>
    <row r="1652" spans="2:5">
      <c r="B1652" s="18" t="s">
        <v>1473</v>
      </c>
      <c r="C1652" s="19" t="s">
        <v>27</v>
      </c>
      <c r="D1652" s="20" t="s">
        <v>1714</v>
      </c>
      <c r="E1652" s="21" t="s">
        <v>1</v>
      </c>
    </row>
    <row r="1653" spans="2:5">
      <c r="B1653" s="18" t="s">
        <v>1473</v>
      </c>
      <c r="C1653" s="19" t="s">
        <v>27</v>
      </c>
      <c r="D1653" s="20" t="s">
        <v>1715</v>
      </c>
      <c r="E1653" s="21" t="s">
        <v>1</v>
      </c>
    </row>
    <row r="1654" spans="2:5">
      <c r="B1654" s="18" t="s">
        <v>1473</v>
      </c>
      <c r="C1654" s="19" t="s">
        <v>27</v>
      </c>
      <c r="D1654" s="20" t="s">
        <v>1716</v>
      </c>
      <c r="E1654" s="21" t="s">
        <v>1</v>
      </c>
    </row>
    <row r="1655" spans="2:5">
      <c r="B1655" s="18" t="s">
        <v>1473</v>
      </c>
      <c r="C1655" s="19" t="s">
        <v>27</v>
      </c>
      <c r="D1655" s="20" t="s">
        <v>1717</v>
      </c>
      <c r="E1655" s="21" t="s">
        <v>1</v>
      </c>
    </row>
    <row r="1656" spans="2:5">
      <c r="B1656" s="18" t="s">
        <v>1473</v>
      </c>
      <c r="C1656" s="19" t="s">
        <v>27</v>
      </c>
      <c r="D1656" s="20" t="s">
        <v>1718</v>
      </c>
      <c r="E1656" s="21" t="s">
        <v>1</v>
      </c>
    </row>
    <row r="1657" spans="2:5">
      <c r="B1657" s="18" t="s">
        <v>1473</v>
      </c>
      <c r="C1657" s="19" t="s">
        <v>27</v>
      </c>
      <c r="D1657" s="20" t="s">
        <v>1719</v>
      </c>
      <c r="E1657" s="21" t="s">
        <v>1</v>
      </c>
    </row>
    <row r="1658" spans="2:5">
      <c r="B1658" s="18" t="s">
        <v>1473</v>
      </c>
      <c r="C1658" s="19" t="s">
        <v>27</v>
      </c>
      <c r="D1658" s="20" t="s">
        <v>1720</v>
      </c>
      <c r="E1658" s="21" t="s">
        <v>1</v>
      </c>
    </row>
    <row r="1659" spans="2:5">
      <c r="B1659" s="18" t="s">
        <v>1473</v>
      </c>
      <c r="C1659" s="19" t="s">
        <v>27</v>
      </c>
      <c r="D1659" s="20" t="s">
        <v>1721</v>
      </c>
      <c r="E1659" s="21" t="s">
        <v>1</v>
      </c>
    </row>
    <row r="1660" spans="2:5">
      <c r="B1660" s="18" t="s">
        <v>1473</v>
      </c>
      <c r="C1660" s="19" t="s">
        <v>27</v>
      </c>
      <c r="D1660" s="20" t="s">
        <v>1722</v>
      </c>
      <c r="E1660" s="21" t="s">
        <v>1</v>
      </c>
    </row>
    <row r="1661" spans="2:5">
      <c r="B1661" s="18" t="s">
        <v>1473</v>
      </c>
      <c r="C1661" s="19" t="s">
        <v>27</v>
      </c>
      <c r="D1661" s="20" t="s">
        <v>1723</v>
      </c>
      <c r="E1661" s="21" t="s">
        <v>1</v>
      </c>
    </row>
    <row r="1662" spans="2:5">
      <c r="B1662" s="18" t="s">
        <v>1473</v>
      </c>
      <c r="C1662" s="19" t="s">
        <v>27</v>
      </c>
      <c r="D1662" s="20" t="s">
        <v>1724</v>
      </c>
      <c r="E1662" s="21" t="s">
        <v>1</v>
      </c>
    </row>
    <row r="1663" spans="2:5">
      <c r="B1663" s="18" t="s">
        <v>1473</v>
      </c>
      <c r="C1663" s="19" t="s">
        <v>27</v>
      </c>
      <c r="D1663" s="20" t="s">
        <v>1725</v>
      </c>
      <c r="E1663" s="21" t="s">
        <v>1</v>
      </c>
    </row>
    <row r="1664" spans="2:5">
      <c r="B1664" s="18" t="s">
        <v>1473</v>
      </c>
      <c r="C1664" s="19" t="s">
        <v>27</v>
      </c>
      <c r="D1664" s="20" t="s">
        <v>1726</v>
      </c>
      <c r="E1664" s="21" t="s">
        <v>1</v>
      </c>
    </row>
    <row r="1665" spans="2:5">
      <c r="B1665" s="18" t="s">
        <v>1473</v>
      </c>
      <c r="C1665" s="19" t="s">
        <v>27</v>
      </c>
      <c r="D1665" s="20" t="s">
        <v>1727</v>
      </c>
      <c r="E1665" s="21" t="s">
        <v>1</v>
      </c>
    </row>
    <row r="1666" spans="2:5">
      <c r="B1666" s="18" t="s">
        <v>1473</v>
      </c>
      <c r="C1666" s="19" t="s">
        <v>27</v>
      </c>
      <c r="D1666" s="20" t="s">
        <v>1728</v>
      </c>
      <c r="E1666" s="21" t="s">
        <v>1</v>
      </c>
    </row>
    <row r="1667" spans="2:5">
      <c r="B1667" s="18" t="s">
        <v>1473</v>
      </c>
      <c r="C1667" s="19" t="s">
        <v>27</v>
      </c>
      <c r="D1667" s="20" t="s">
        <v>1729</v>
      </c>
      <c r="E1667" s="21" t="s">
        <v>1</v>
      </c>
    </row>
    <row r="1668" spans="2:5">
      <c r="B1668" s="18" t="s">
        <v>1473</v>
      </c>
      <c r="C1668" s="19" t="s">
        <v>27</v>
      </c>
      <c r="D1668" s="20" t="s">
        <v>1730</v>
      </c>
      <c r="E1668" s="21" t="s">
        <v>1</v>
      </c>
    </row>
    <row r="1669" spans="2:5">
      <c r="B1669" s="18" t="s">
        <v>1473</v>
      </c>
      <c r="C1669" s="19" t="s">
        <v>27</v>
      </c>
      <c r="D1669" s="20" t="s">
        <v>1731</v>
      </c>
      <c r="E1669" s="21" t="s">
        <v>1</v>
      </c>
    </row>
    <row r="1670" ht="15.25" spans="2:5">
      <c r="B1670" s="22" t="s">
        <v>1473</v>
      </c>
      <c r="C1670" s="23" t="s">
        <v>27</v>
      </c>
      <c r="D1670" s="24" t="s">
        <v>1732</v>
      </c>
      <c r="E1670" s="25" t="s">
        <v>1</v>
      </c>
    </row>
  </sheetData>
  <mergeCells count="4">
    <mergeCell ref="B2:B4"/>
    <mergeCell ref="C2:C4"/>
    <mergeCell ref="D2:D4"/>
    <mergeCell ref="E2:E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06.30, 07.30, &amp; 12.00</vt:lpstr>
      <vt:lpstr>R-2, TPTW, Persentase TTD</vt:lpstr>
      <vt:lpstr>Pickup &amp; Retur Non Ecom</vt:lpstr>
      <vt:lpstr>ALL DP DATA</vt:lpstr>
      <vt:lpstr>Fr&amp;Ag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dennis.huang</dc:creator>
  <cp:lastModifiedBy>dennis.huang</cp:lastModifiedBy>
  <dcterms:created xsi:type="dcterms:W3CDTF">2026-07-24T09:48:00Z</dcterms:created>
  <dcterms:modified xsi:type="dcterms:W3CDTF">2026-08-10T04:41:10Z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1194BD22EF5F4AC0862E63ECE80D29E3_13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